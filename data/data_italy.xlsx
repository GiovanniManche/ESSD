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"/>
    </mc:Choice>
  </mc:AlternateContent>
  <xr:revisionPtr revIDLastSave="5" documentId="13_ncr:1_{F13A57C5-3355-9746-AC86-793EBFAD16C1}" xr6:coauthVersionLast="47" xr6:coauthVersionMax="47" xr10:uidLastSave="{4CFE1E15-F306-4984-96D5-9F31E1F9252B}"/>
  <bookViews>
    <workbookView xWindow="2510" yWindow="1830" windowWidth="14400" windowHeight="7280" activeTab="1" xr2:uid="{8B4CB837-B624-B647-8E85-3149EDD8356C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3" i="2" l="1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tc={5A1A7996-CAFC-AA4D-B68F-EDAE2C17E9EF}</author>
    <author>tc={E91A1947-AEF6-B944-829D-A42364114231}</author>
    <author>tc={40513397-8AF4-3649-BB13-1AA85FF469BB}</author>
    <author>tc={212A3C0C-930D-094C-983F-B7DCFCA6BBF0}</author>
    <author>tc={F342FA91-3287-F940-BA1D-30024577E935}</author>
    <author>tc={590FE022-7B02-C445-A306-8609782C1D19}</author>
    <author>tc={44705508-63BE-144E-8CB5-20AF238D2080}</author>
    <author>tc={EE529AF6-6B2D-D94B-800C-F80BABF7D7E0}</author>
    <author>tc={B422699C-701D-2C47-8093-8894F2D3D705}</author>
    <author>tc={5A385021-A9B1-D842-85B7-92F57B27E817}</author>
  </authors>
  <commentList>
    <comment ref="B1" authorId="0" shapeId="0" xr:uid="{5A1A7996-CAFC-AA4D-B68F-EDAE2C17E9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 (pas seaso adjusted): https://ec.europa.eu/eurostat/databrowser/view/gov_10q_ggnfa__custom_20214181/default/table</t>
      </text>
    </comment>
    <comment ref="E1" authorId="1" shapeId="0" xr:uid="{E91A1947-AEF6-B944-829D-A423641142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Labour cost index, dbnomics</t>
      </text>
    </comment>
    <comment ref="F1" authorId="2" shapeId="0" xr:uid="{40513397-8AF4-3649-BB13-1AA85FF469B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Banque de France: https://webstat.banque-france.fr/en/catalog/sts/STS.M.IT.Y.PROD.NS0020.4.000
</t>
      </text>
    </comment>
    <comment ref="G1" authorId="3" shapeId="0" xr:uid="{212A3C0C-930D-094C-983F-B7DCFCA6BB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4" shapeId="0" xr:uid="{F342FA91-3287-F940-BA1D-30024577E9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</t>
      </text>
    </comment>
    <comment ref="K1" authorId="5" shapeId="0" xr:uid="{590FE022-7B02-C445-A306-8609782C1D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6" shapeId="0" xr:uid="{44705508-63BE-144E-8CB5-20AF238D20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  <comment ref="M1" authorId="7" shapeId="0" xr:uid="{EE529AF6-6B2D-D94B-800C-F80BABF7D7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>
      </text>
    </comment>
    <comment ref="O1" authorId="8" shapeId="0" xr:uid="{B422699C-701D-2C47-8093-8894F2D3D7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9" shapeId="0" xr:uid="{5A385021-A9B1-D842-85B7-92F57B27E81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CSCICP02DEM460S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tc={1B9C7156-2316-5E4F-B723-8E04472A3120}</author>
    <author>tc={91B43E1C-9333-6D49-A222-7520588F425A}</author>
    <author>tc={16CE420C-553C-EB46-B4E7-08593B4B4681}</author>
    <author>tc={8842BC12-DC25-A145-9847-E0B0A6B801EB}</author>
    <author>tc={BAD3394B-3DB4-7846-8B68-CF2C3B3FA320}</author>
    <author>tc={730B5810-3CC5-DB44-B527-D416535EF78D}</author>
    <author>tc={3223D2AB-00A3-7041-AD81-6775A86E1035}</author>
    <author>tc={7906B812-B718-DF48-807C-39D26C09A5C0}</author>
    <author>tc={E4668F44-F982-644D-B1A2-1EBE21426F19}</author>
  </authors>
  <commentList>
    <comment ref="B1" authorId="0" shapeId="0" xr:uid="{1B9C7156-2316-5E4F-B723-8E04472A31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pas seaso adjusted https://ec.europa.eu/eurostat/databrowser/view/gov_10q_ggnfa__custom_20214181/default/table</t>
      </text>
    </comment>
    <comment ref="C1" authorId="1" shapeId="0" xr:uid="{91B43E1C-9333-6D49-A222-7520588F42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IRLTLT01ITM156N</t>
      </text>
    </comment>
    <comment ref="D1" authorId="2" shapeId="0" xr:uid="{16CE420C-553C-EB46-B4E7-08593B4B468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8842BC12-DC25-A145-9847-E0B0A6B801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
https://ec.europa.eu/eurostat/databrowser/view/gov_10q_ggdebt__custom_20213100/default/table</t>
      </text>
    </comment>
    <comment ref="F1" authorId="4" shapeId="0" xr:uid="{BAD3394B-3DB4-7846-8B68-CF2C3B3FA32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K1" authorId="5" shapeId="0" xr:uid="{730B5810-3CC5-DB44-B527-D416535EF7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6" shapeId="0" xr:uid="{3223D2AB-00A3-7041-AD81-6775A86E103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Série actuelle (BDF): 
Banque de France: https://webstat.banque-france.fr/en/catalog/sts/STS.M.IT.Y.PROD.NS0020.4.000
</t>
      </text>
    </comment>
    <comment ref="M1" authorId="7" shapeId="0" xr:uid="{7906B812-B718-DF48-807C-39D26C09A5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Série actuelle (BDF): 
Banque de France: https://webstat.banque-france.fr/en/catalog/sts/STS.M.IT.Y.PROD.NS0020.4.000
Réponse :
    Série actuelle (BDF): https://webstat.banque-france.fr/en/catalog/sts/STS.M.IT.Y.TOVV.NS4701.4.000</t>
      </text>
    </comment>
    <comment ref="P1" authorId="8" shapeId="0" xr:uid="{E4668F44-F982-644D-B1A2-1EBE21426F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</commentList>
</comments>
</file>

<file path=xl/sharedStrings.xml><?xml version="1.0" encoding="utf-8"?>
<sst xmlns="http://schemas.openxmlformats.org/spreadsheetml/2006/main" count="115" uniqueCount="54">
  <si>
    <t>Dates</t>
  </si>
  <si>
    <t>10y yield</t>
  </si>
  <si>
    <t>HICPX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</si>
  <si>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</si>
  <si>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</si>
  <si>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</si>
  <si>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</si>
  <si>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</si>
  <si>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</si>
  <si>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</si>
  <si>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IP</t>
  </si>
  <si>
    <t>Retail sales</t>
  </si>
  <si>
    <t>Hours worked</t>
  </si>
  <si>
    <t>Payroll mass</t>
  </si>
  <si>
    <t>Energy prices</t>
  </si>
  <si>
    <t>Sovereign credit rating revisions</t>
  </si>
  <si>
    <t>Payroll Mass</t>
  </si>
  <si>
    <t>Hourly earnings</t>
  </si>
  <si>
    <t>Business turnover index</t>
  </si>
  <si>
    <t>Private consumption</t>
  </si>
  <si>
    <t>Employment</t>
  </si>
  <si>
    <t>Profit share</t>
  </si>
  <si>
    <t xml:space="preserve">Stock market </t>
  </si>
  <si>
    <t>Consumer confidence</t>
  </si>
  <si>
    <t>ESI</t>
  </si>
  <si>
    <t>Total revenue</t>
  </si>
  <si>
    <t>AA-Stable</t>
  </si>
  <si>
    <t>Aa2Stable</t>
  </si>
  <si>
    <t>AAStable</t>
  </si>
  <si>
    <t>AANegative</t>
  </si>
  <si>
    <t>AA-Negative</t>
  </si>
  <si>
    <t>A+Stable</t>
  </si>
  <si>
    <t>A+Negative</t>
  </si>
  <si>
    <t>Aa2Negative watch</t>
  </si>
  <si>
    <t>ANegative</t>
  </si>
  <si>
    <t>A2Negative</t>
  </si>
  <si>
    <t>ANegative watch</t>
  </si>
  <si>
    <t>BBB+Negative</t>
  </si>
  <si>
    <t>A3Negative</t>
  </si>
  <si>
    <t>A-Negative</t>
  </si>
  <si>
    <t>Baa2Negative</t>
  </si>
  <si>
    <t>BBBNegative</t>
  </si>
  <si>
    <t>Baa2Stable</t>
  </si>
  <si>
    <t>BBB+Stable</t>
  </si>
  <si>
    <t>BBB-Stable</t>
  </si>
  <si>
    <t>BBBStable</t>
  </si>
  <si>
    <t>A-Under Review</t>
  </si>
  <si>
    <t>A-Stable</t>
  </si>
  <si>
    <t>Baa3Stable</t>
  </si>
  <si>
    <t>Baa3Negative</t>
  </si>
  <si>
    <t>BBBPositive</t>
  </si>
  <si>
    <t>Baa3Positive</t>
  </si>
  <si>
    <t>BBB+Positive</t>
  </si>
  <si>
    <t>Total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</si>
</sst>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#,##0.##########"/>
    <numFmt numFmtId="167" formatCode="#,##0.0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1" fillId="0" borderId="0" xfId="0" applyNumberFormat="1" applyFont="1" applyAlignment="1">
      <alignment horizontal="right" vertical="center" shrinkToFit="1"/>
    </xf>
    <xf numFmtId="167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0" borderId="0" xfId="0" applyNumberFormat="1"/>
    <xf numFmtId="3" fontId="2" fillId="0" borderId="0" xfId="0" applyNumberFormat="1" applyFont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3" fontId="0" fillId="0" borderId="5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46270E8E-1E90-394F-B10B-F3659AF50910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14:26.60" personId="{46270E8E-1E90-394F-B10B-F3659AF50910}" id="{5A1A7996-CAFC-AA4D-B68F-EDAE2C17E9EF}">
    <text>Eurostat (pas seaso adjusted):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618742960</xltc2:checksum>
        <xltc2:hyperlink startIndex="31" length="91" url="https://ec.europa.eu/eurostat/databrowser/view/gov_10q_ggnfa__custom_20214181/default/table"/>
      </x:ext>
    </extLst>
  </threadedComment>
  <threadedComment ref="E1" dT="2026-02-22T16:43:59.48" personId="{46270E8E-1E90-394F-B10B-F3659AF50910}" id="{E91A1947-AEF6-B944-829D-A42364114231}">
    <text>Labour cost index, dbnomics</text>
  </threadedComment>
  <threadedComment ref="F1" dT="2026-02-09T16:58:18.17" personId="{46270E8E-1E90-394F-B10B-F3659AF50910}" id="{40513397-8AF4-3649-BB13-1AA85FF469BB}">
    <text xml:space="preserve">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4098497863</xltc2:checksum>
        <xltc2:hyperlink startIndex="18" length="76" url="https://webstat.banque-france.fr/en/catalog/sts/STS.M.IT.Y.PROD.NS0020.4.000"/>
      </x:ext>
    </extLst>
  </threadedComment>
  <threadedComment ref="G1" dT="2026-02-22T16:14:15.18" personId="{46270E8E-1E90-394F-B10B-F3659AF50910}" id="{212A3C0C-930D-094C-983F-B7DCFCA6BBF0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46270E8E-1E90-394F-B10B-F3659AF50910}" id="{F342FA91-3287-F940-BA1D-30024577E935}">
    <text xml:space="preserve">'OECD/KEI/SLRTTO01.DEU.ST.M', ...
    'OECD/KEI/SLRTTO01.ESP.ST.M', ...
    'OECD/KEI/SLRTTO01.ITA.ST.M', ...
    'OECD/KEI/SLRTTO01.FRA.ST.M', ...
    'OECD/KEI/SLRTTO01.GRC.ST.M'
</text>
  </threadedComment>
  <threadedComment ref="K1" dT="2026-02-09T16:45:14.15" personId="{46270E8E-1E90-394F-B10B-F3659AF50910}" id="{590FE022-7B02-C445-A306-8609782C1D19}">
    <text>Eurostat/prc_hicp_manr/M.RCH_A.TOT_X_NRG.DE+ES+IT+FR+EL</text>
  </threadedComment>
  <threadedComment ref="L1" dT="2026-02-09T16:19:09.52" personId="{46270E8E-1E90-394F-B10B-F3659AF50910}" id="{44705508-63BE-144E-8CB5-20AF238D2080}">
    <text>DEUCPIENGMINMEI</text>
  </threadedComment>
  <threadedComment ref="M1" dT="2026-02-22T22:43:19.09" personId="{46270E8E-1E90-394F-B10B-F3659AF50910}" id="{EE529AF6-6B2D-D94B-800C-F80BABF7D7E0}">
    <text>Istat: https://www.istat.it/en/press-release/employment-and-unemployment-provisional-estimates-july-2025/
+ https://www.google.com/url?sa=t&amp;source=web&amp;rct=j&amp;opi=89978449&amp;url=https://www.istat.it/wp-content/uploads/2025/01/monthly-series-employment-unemployment-november-2024.xlsx&amp;ved=2ahUKEwiPi7iHlu6SAxUdWaQEHc5KG_AQFnoECBwQAQ&amp;usg=AOvVaw0yBlEbCb-9TZwSe50bCCWI</text>
    <extLst>
      <x:ext xmlns:xltc2="http://schemas.microsoft.com/office/spreadsheetml/2020/threadedcomments2" uri="{F7C98A9C-CBB3-438F-8F68-D28B6AF4A901}">
        <xltc2:checksum>3177603868</xltc2:checksum>
        <xltc2:hyperlink startIndex="7" length="98" url="https://www.istat.it/en/press-release/employment-and-unemployment-provisional-estimates-july-2025/"/>
        <xltc2:hyperlink startIndex="108" length="252" url="https://www.google.com/url?sa=t&amp;source=web&amp;rct=j&amp;opi=89978449&amp;url=https://www.istat.it/wp-content/uploads/2025/01/monthly-series-employment-unemployment-november-2024.xlsx&amp;ved=2ahUKEwiPi7iHlu6SAxUdWaQEHc5KG_AQFnoECBwQAQ&amp;usg=AOvVaw0yBlEbCb-9TZwSe50bCCWI"/>
      </x:ext>
    </extLst>
  </threadedComment>
  <threadedComment ref="O1" dT="2026-02-09T16:46:20.14" personId="{46270E8E-1E90-394F-B10B-F3659AF50910}" id="{B422699C-701D-2C47-8093-8894F2D3D705}">
    <text>Yahoo finance log returns</text>
  </threadedComment>
  <threadedComment ref="P1" dT="2026-02-09T16:16:35.84" personId="{46270E8E-1E90-394F-B10B-F3659AF50910}" id="{5A385021-A9B1-D842-85B7-92F57B27E817}">
    <text>CSCICP02DEM460S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14:40.78" personId="{46270E8E-1E90-394F-B10B-F3659AF50910}" id="{1B9C7156-2316-5E4F-B723-8E04472A3120}">
    <text>Eurostat: pas seaso adjusted https://ec.europa.eu/eurostat/databrowser/view/gov_10q_ggnfa__custom_20214181/default/table</text>
    <extLst>
      <x:ext xmlns:xltc2="http://schemas.microsoft.com/office/spreadsheetml/2020/threadedcomments2" uri="{F7C98A9C-CBB3-438F-8F68-D28B6AF4A901}">
        <xltc2:checksum>3885194552</xltc2:checksum>
        <xltc2:hyperlink startIndex="29" length="91" url="https://ec.europa.eu/eurostat/databrowser/view/gov_10q_ggnfa__custom_20214181/default/table"/>
      </x:ext>
    </extLst>
  </threadedComment>
  <threadedComment ref="C1" dT="2026-02-09T16:20:04.23" personId="{46270E8E-1E90-394F-B10B-F3659AF50910}" id="{91B43E1C-9333-6D49-A222-7520588F425A}">
    <text>IRLTLT01ITM156N</text>
  </threadedComment>
  <threadedComment ref="D1" dT="2026-02-09T16:44:34.99" personId="{46270E8E-1E90-394F-B10B-F3659AF50910}" id="{16CE420C-553C-EB46-B4E7-08593B4B4681}">
    <text xml:space="preserve">Eurostat/prc_hicp_manr/M.RCH_A.TOT_X_NRG.DE+ES+IT+FR+EL
</text>
  </threadedComment>
  <threadedComment ref="E1" dT="2026-02-22T17:50:17.84" personId="{46270E8E-1E90-394F-B10B-F3659AF50910}" id="{8842BC12-DC25-A145-9847-E0B0A6B801EB}">
    <text>Eurostat:
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4192921393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46270E8E-1E90-394F-B10B-F3659AF50910}" id="{BAD3394B-3DB4-7846-8B68-CF2C3B3FA320}">
    <text xml:space="preserve">OECD/DSD_LFS@DF_IALFS_UNE_M/DEU.UNE_LF_M.PT_LF_SUB._Z.Y._T.Y_GE15._Z.M
</text>
  </threadedComment>
  <threadedComment ref="K1" dT="2026-02-09T17:43:17.34" personId="{46270E8E-1E90-394F-B10B-F3659AF50910}" id="{730B5810-3CC5-DB44-B527-D416535EF78D}">
    <text>[mat,tab]=call_dbnomics('Eurostat/PRC_REM_NR/S.TOTAL.NR.DE+ES+IT+FR+EL')
Pb avec cette commande</text>
  </threadedComment>
  <threadedComment ref="L1" dT="2026-02-09T16:58:28.09" personId="{46270E8E-1E90-394F-B10B-F3659AF50910}" id="{3223D2AB-00A3-7041-AD81-6775A86E1035}">
    <text xml:space="preserve">Eurostat/STS_INPR_M/M.PRD.B_C_X_FD_MIG_NRG.SCA.I10.DE+ES+IT+FR+EL
</text>
  </threadedComment>
  <threadedComment ref="L1" dT="2026-02-22T17:05:01.40" personId="{46270E8E-1E90-394F-B10B-F3659AF50910}" id="{D96420DE-CB16-194F-89C6-E020FB74E94E}" parentId="{3223D2AB-00A3-7041-AD81-6775A86E1035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09T17:09:45.74" personId="{46270E8E-1E90-394F-B10B-F3659AF50910}" id="{7906B812-B718-DF48-807C-39D26C09A5C0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04:45.60" personId="{46270E8E-1E90-394F-B10B-F3659AF50910}" id="{8C22EA4E-EFDD-6947-922B-D4F815C30679}" parentId="{7906B812-B718-DF48-807C-39D26C09A5C0}">
    <text xml:space="preserve">Série actuelle (BDF): 
Banque de France: https://webstat.banque-france.fr/en/catalog/sts/STS.M.IT.Y.PROD.NS0020.4.000
</text>
    <extLst>
      <x:ext xmlns:xltc2="http://schemas.microsoft.com/office/spreadsheetml/2020/threadedcomments2" uri="{F7C98A9C-CBB3-438F-8F68-D28B6AF4A901}">
        <xltc2:checksum>2151097573</xltc2:checksum>
        <xltc2:hyperlink startIndex="41" length="76" url="https://webstat.banque-france.fr/en/catalog/sts/STS.M.IT.Y.PROD.NS0020.4.000"/>
      </x:ext>
    </extLst>
  </threadedComment>
  <threadedComment ref="M1" dT="2026-02-22T17:05:26.07" personId="{46270E8E-1E90-394F-B10B-F3659AF50910}" id="{5BCBFEFB-F67B-8841-A71E-527B4728C717}" parentId="{7906B812-B718-DF48-807C-39D26C09A5C0}">
    <text>Série actuelle (BDF): https://webstat.banque-france.fr/en/catalog/sts/STS.M.IT.Y.TOVV.NS4701.4.000</text>
    <extLst>
      <x:ext xmlns:xltc2="http://schemas.microsoft.com/office/spreadsheetml/2020/threadedcomments2" uri="{F7C98A9C-CBB3-438F-8F68-D28B6AF4A901}">
        <xltc2:checksum>3013412008</xltc2:checksum>
        <xltc2:hyperlink startIndex="22" length="76" url="https://webstat.banque-france.fr/en/catalog/sts/STS.M.IT.Y.TOVV.NS4701.4.000"/>
      </x:ext>
    </extLst>
  </threadedComment>
  <threadedComment ref="P1" dT="2026-02-09T16:14:06.77" personId="{46270E8E-1E90-394F-B10B-F3659AF50910}" id="{E4668F44-F982-644D-B1A2-1EBE21426F19}">
    <text>DBnomics Energy prices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ACEA-D50C-1743-BA74-DBD880D476B7}">
  <dimension ref="A1:P313"/>
  <sheetViews>
    <sheetView workbookViewId="0">
      <selection activeCell="G14" sqref="G14"/>
    </sheetView>
  </sheetViews>
  <sheetFormatPr baseColWidth="10" defaultRowHeight="16" x14ac:dyDescent="0.4"/>
  <cols>
    <col min="2" max="2" width="12" bestFit="1" customWidth="1"/>
    <col min="3" max="3" width="11.1640625" bestFit="1" customWidth="1"/>
    <col min="4" max="4" width="12.1640625" bestFit="1" customWidth="1"/>
    <col min="5" max="5" width="13.6640625" bestFit="1" customWidth="1"/>
    <col min="7" max="7" width="20.33203125" bestFit="1" customWidth="1"/>
    <col min="9" max="9" width="10.5" bestFit="1" customWidth="1"/>
    <col min="10" max="10" width="17.83203125" bestFit="1" customWidth="1"/>
    <col min="16" max="16" width="19" bestFit="1" customWidth="1"/>
  </cols>
  <sheetData>
    <row r="1" spans="1:16" ht="16.5" thickBot="1" x14ac:dyDescent="0.45">
      <c r="A1" s="7" t="s">
        <v>0</v>
      </c>
      <c r="B1" s="8" t="s">
        <v>25</v>
      </c>
      <c r="C1" s="8" t="s">
        <v>16</v>
      </c>
      <c r="D1" s="8" t="s">
        <v>12</v>
      </c>
      <c r="E1" s="8" t="s">
        <v>17</v>
      </c>
      <c r="F1" s="8" t="s">
        <v>10</v>
      </c>
      <c r="G1" s="8" t="s">
        <v>18</v>
      </c>
      <c r="H1" s="8" t="s">
        <v>24</v>
      </c>
      <c r="I1" s="8" t="s">
        <v>11</v>
      </c>
      <c r="J1" s="8" t="s">
        <v>19</v>
      </c>
      <c r="K1" s="8" t="s">
        <v>2</v>
      </c>
      <c r="L1" s="8" t="s">
        <v>14</v>
      </c>
      <c r="M1" s="8" t="s">
        <v>20</v>
      </c>
      <c r="N1" s="8" t="s">
        <v>21</v>
      </c>
      <c r="O1" s="8" t="s">
        <v>22</v>
      </c>
      <c r="P1" s="9" t="s">
        <v>23</v>
      </c>
    </row>
    <row r="2" spans="1:16" x14ac:dyDescent="0.4">
      <c r="A2" s="1">
        <v>36526</v>
      </c>
      <c r="B2" s="10">
        <v>113806</v>
      </c>
      <c r="C2">
        <v>102740.4</v>
      </c>
      <c r="D2">
        <v>101.7</v>
      </c>
      <c r="E2">
        <v>62.1</v>
      </c>
      <c r="F2">
        <v>118.7</v>
      </c>
      <c r="G2" s="4">
        <v>73.2</v>
      </c>
      <c r="H2">
        <v>118.3</v>
      </c>
      <c r="I2">
        <v>107.8</v>
      </c>
      <c r="J2">
        <v>181366.3</v>
      </c>
      <c r="L2">
        <v>63.2</v>
      </c>
      <c r="O2">
        <v>0.156329251195613</v>
      </c>
      <c r="P2">
        <v>-2.2999999999999998</v>
      </c>
    </row>
    <row r="3" spans="1:16" x14ac:dyDescent="0.4">
      <c r="A3" s="1">
        <v>36557</v>
      </c>
      <c r="B3" s="10" t="e">
        <v>#N/A</v>
      </c>
      <c r="C3" t="e">
        <v>#N/A</v>
      </c>
      <c r="D3" t="e">
        <v>#N/A</v>
      </c>
      <c r="E3" t="e">
        <v>#N/A</v>
      </c>
      <c r="F3">
        <v>119.4</v>
      </c>
      <c r="G3" s="4">
        <v>76.3</v>
      </c>
      <c r="H3">
        <v>120.7</v>
      </c>
      <c r="I3">
        <v>106.8</v>
      </c>
      <c r="J3" t="e">
        <v>#N/A</v>
      </c>
      <c r="L3">
        <v>63.8</v>
      </c>
      <c r="O3">
        <v>-6.5794836419117403E-2</v>
      </c>
      <c r="P3">
        <v>-4.2</v>
      </c>
    </row>
    <row r="4" spans="1:16" x14ac:dyDescent="0.4">
      <c r="A4" s="1">
        <v>36586</v>
      </c>
      <c r="B4" s="10" t="e">
        <v>#N/A</v>
      </c>
      <c r="C4" t="e">
        <v>#N/A</v>
      </c>
      <c r="D4" t="e">
        <v>#N/A</v>
      </c>
      <c r="E4" t="e">
        <v>#N/A</v>
      </c>
      <c r="F4">
        <v>120.4</v>
      </c>
      <c r="G4" s="4">
        <v>74.900000000000006</v>
      </c>
      <c r="H4">
        <v>119</v>
      </c>
      <c r="I4">
        <v>107.6</v>
      </c>
      <c r="J4" t="e">
        <v>#N/A</v>
      </c>
      <c r="L4">
        <v>65.5</v>
      </c>
      <c r="O4">
        <v>-1.3105417466103801E-2</v>
      </c>
      <c r="P4">
        <v>-5.4</v>
      </c>
    </row>
    <row r="5" spans="1:16" x14ac:dyDescent="0.4">
      <c r="A5" s="1">
        <v>36617</v>
      </c>
      <c r="B5" s="10">
        <v>135092</v>
      </c>
      <c r="C5">
        <v>113445.2</v>
      </c>
      <c r="D5">
        <v>101.9</v>
      </c>
      <c r="E5">
        <v>62.8</v>
      </c>
      <c r="F5">
        <v>121.3</v>
      </c>
      <c r="G5" s="4">
        <v>76.3</v>
      </c>
      <c r="H5">
        <v>122</v>
      </c>
      <c r="I5">
        <v>108</v>
      </c>
      <c r="J5">
        <v>184481.8</v>
      </c>
      <c r="L5">
        <v>64.8</v>
      </c>
      <c r="O5">
        <v>9.1763127932367201E-3</v>
      </c>
      <c r="P5">
        <v>-4.8</v>
      </c>
    </row>
    <row r="6" spans="1:16" x14ac:dyDescent="0.4">
      <c r="A6" s="1">
        <v>36647</v>
      </c>
      <c r="B6" s="10" t="e">
        <v>#N/A</v>
      </c>
      <c r="C6" t="e">
        <v>#N/A</v>
      </c>
      <c r="D6" t="e">
        <v>#N/A</v>
      </c>
      <c r="E6" t="e">
        <v>#N/A</v>
      </c>
      <c r="F6">
        <v>122</v>
      </c>
      <c r="G6" s="4">
        <v>76.900000000000006</v>
      </c>
      <c r="H6">
        <v>123.7</v>
      </c>
      <c r="I6">
        <v>108.5</v>
      </c>
      <c r="J6" t="e">
        <v>#N/A</v>
      </c>
      <c r="L6">
        <v>66</v>
      </c>
      <c r="O6">
        <v>2.6926633888645999E-2</v>
      </c>
      <c r="P6">
        <v>-6.7</v>
      </c>
    </row>
    <row r="7" spans="1:16" x14ac:dyDescent="0.4">
      <c r="A7" s="1">
        <v>36678</v>
      </c>
      <c r="B7" s="10" t="e">
        <v>#N/A</v>
      </c>
      <c r="C7" t="e">
        <v>#N/A</v>
      </c>
      <c r="D7" t="e">
        <v>#N/A</v>
      </c>
      <c r="E7" t="e">
        <v>#N/A</v>
      </c>
      <c r="F7">
        <v>121.8</v>
      </c>
      <c r="G7" s="4">
        <v>74.900000000000006</v>
      </c>
      <c r="H7">
        <v>120.9</v>
      </c>
      <c r="I7">
        <v>108.3</v>
      </c>
      <c r="J7" t="e">
        <v>#N/A</v>
      </c>
      <c r="L7">
        <v>67.099999999999994</v>
      </c>
      <c r="O7">
        <v>-2.9970806310508601E-3</v>
      </c>
      <c r="P7">
        <v>-6.1</v>
      </c>
    </row>
    <row r="8" spans="1:16" x14ac:dyDescent="0.4">
      <c r="A8" s="1">
        <v>36708</v>
      </c>
      <c r="B8" s="10">
        <v>126633</v>
      </c>
      <c r="C8">
        <v>106716.3</v>
      </c>
      <c r="D8">
        <v>102.5</v>
      </c>
      <c r="E8">
        <v>63.4</v>
      </c>
      <c r="F8">
        <v>121</v>
      </c>
      <c r="G8" s="4">
        <v>78.2</v>
      </c>
      <c r="H8">
        <v>116.6</v>
      </c>
      <c r="I8">
        <v>108.6</v>
      </c>
      <c r="J8">
        <v>186411.1</v>
      </c>
      <c r="L8">
        <v>68</v>
      </c>
      <c r="O8">
        <v>3.8673236578706097E-2</v>
      </c>
      <c r="P8">
        <v>-5.4</v>
      </c>
    </row>
    <row r="9" spans="1:16" x14ac:dyDescent="0.4">
      <c r="A9" s="1">
        <v>36739</v>
      </c>
      <c r="B9" s="10" t="e">
        <v>#N/A</v>
      </c>
      <c r="C9" t="e">
        <v>#N/A</v>
      </c>
      <c r="D9" t="e">
        <v>#N/A</v>
      </c>
      <c r="E9" t="e">
        <v>#N/A</v>
      </c>
      <c r="F9">
        <v>122</v>
      </c>
      <c r="G9" s="4">
        <v>78.2</v>
      </c>
      <c r="H9">
        <v>117.3</v>
      </c>
      <c r="I9">
        <v>108.3</v>
      </c>
      <c r="J9" t="e">
        <v>#N/A</v>
      </c>
      <c r="L9">
        <v>67.8</v>
      </c>
      <c r="O9">
        <v>-5.8079043527605699E-2</v>
      </c>
      <c r="P9">
        <v>-4.2</v>
      </c>
    </row>
    <row r="10" spans="1:16" x14ac:dyDescent="0.4">
      <c r="A10" s="1">
        <v>36770</v>
      </c>
      <c r="B10" s="10" t="e">
        <v>#N/A</v>
      </c>
      <c r="C10" t="e">
        <v>#N/A</v>
      </c>
      <c r="D10" t="e">
        <v>#N/A</v>
      </c>
      <c r="E10" t="e">
        <v>#N/A</v>
      </c>
      <c r="F10">
        <v>121.9</v>
      </c>
      <c r="G10" s="4">
        <v>78.400000000000006</v>
      </c>
      <c r="H10">
        <v>114</v>
      </c>
      <c r="I10">
        <v>109.1</v>
      </c>
      <c r="J10" t="e">
        <v>#N/A</v>
      </c>
      <c r="L10">
        <v>69.599999999999994</v>
      </c>
      <c r="O10">
        <v>4.3935660708257301E-2</v>
      </c>
      <c r="P10">
        <v>-7.6</v>
      </c>
    </row>
    <row r="11" spans="1:16" x14ac:dyDescent="0.4">
      <c r="A11" s="1">
        <v>36800</v>
      </c>
      <c r="B11" s="10">
        <v>171514</v>
      </c>
      <c r="C11">
        <v>133793.60000000001</v>
      </c>
      <c r="D11">
        <v>102.5</v>
      </c>
      <c r="E11">
        <v>63.9</v>
      </c>
      <c r="F11">
        <v>122.4</v>
      </c>
      <c r="G11" s="4">
        <v>78.5</v>
      </c>
      <c r="H11">
        <v>116.1</v>
      </c>
      <c r="I11">
        <v>108.5</v>
      </c>
      <c r="J11">
        <v>188549.6</v>
      </c>
      <c r="L11">
        <v>69.400000000000006</v>
      </c>
      <c r="O11">
        <v>-2.4940225367402001E-2</v>
      </c>
      <c r="P11">
        <v>-3.5</v>
      </c>
    </row>
    <row r="12" spans="1:16" x14ac:dyDescent="0.4">
      <c r="A12" s="1">
        <v>36831</v>
      </c>
      <c r="B12" s="10" t="e">
        <v>#N/A</v>
      </c>
      <c r="C12" t="e">
        <v>#N/A</v>
      </c>
      <c r="D12" t="e">
        <v>#N/A</v>
      </c>
      <c r="E12" t="e">
        <v>#N/A</v>
      </c>
      <c r="F12">
        <v>124</v>
      </c>
      <c r="G12" s="4">
        <v>79.2</v>
      </c>
      <c r="H12">
        <v>115.5</v>
      </c>
      <c r="I12">
        <v>109.2</v>
      </c>
      <c r="J12" t="e">
        <v>#N/A</v>
      </c>
      <c r="L12">
        <v>70.3</v>
      </c>
      <c r="O12">
        <v>-5.8447796450174401E-2</v>
      </c>
      <c r="P12">
        <v>-5.7</v>
      </c>
    </row>
    <row r="13" spans="1:16" x14ac:dyDescent="0.4">
      <c r="A13" s="1">
        <v>36861</v>
      </c>
      <c r="B13" s="10" t="e">
        <v>#N/A</v>
      </c>
      <c r="C13" t="e">
        <v>#N/A</v>
      </c>
      <c r="D13" t="e">
        <v>#N/A</v>
      </c>
      <c r="E13" t="e">
        <v>#N/A</v>
      </c>
      <c r="F13">
        <v>125.5</v>
      </c>
      <c r="G13" s="5">
        <v>82</v>
      </c>
      <c r="H13">
        <v>116.4</v>
      </c>
      <c r="I13">
        <v>108.4</v>
      </c>
      <c r="J13" t="e">
        <v>#N/A</v>
      </c>
      <c r="K13">
        <v>2.2999999999999998</v>
      </c>
      <c r="L13">
        <v>69.8</v>
      </c>
      <c r="O13">
        <v>3.16721127701012E-2</v>
      </c>
      <c r="P13">
        <v>-4.7</v>
      </c>
    </row>
    <row r="14" spans="1:16" x14ac:dyDescent="0.4">
      <c r="A14" s="1">
        <v>36892</v>
      </c>
      <c r="B14" s="10">
        <v>108676</v>
      </c>
      <c r="C14">
        <v>108355.2</v>
      </c>
      <c r="D14">
        <v>103.8</v>
      </c>
      <c r="E14">
        <v>65.099999999999994</v>
      </c>
      <c r="F14">
        <v>122.2</v>
      </c>
      <c r="G14" s="4">
        <v>78.5</v>
      </c>
      <c r="H14">
        <v>114.8</v>
      </c>
      <c r="I14">
        <v>108.9</v>
      </c>
      <c r="J14">
        <v>190041.4</v>
      </c>
      <c r="K14">
        <v>1.9</v>
      </c>
      <c r="L14">
        <v>69</v>
      </c>
      <c r="O14">
        <v>-0.118371222006333</v>
      </c>
      <c r="P14">
        <v>-4.8</v>
      </c>
    </row>
    <row r="15" spans="1:16" x14ac:dyDescent="0.4">
      <c r="A15" s="1">
        <v>36923</v>
      </c>
      <c r="B15" s="10" t="e">
        <v>#N/A</v>
      </c>
      <c r="C15" t="e">
        <v>#N/A</v>
      </c>
      <c r="D15" t="e">
        <v>#N/A</v>
      </c>
      <c r="E15" t="e">
        <v>#N/A</v>
      </c>
      <c r="F15">
        <v>121.5</v>
      </c>
      <c r="G15" s="4">
        <v>78.900000000000006</v>
      </c>
      <c r="H15">
        <v>111.5</v>
      </c>
      <c r="I15">
        <v>109.7</v>
      </c>
      <c r="J15" t="e">
        <v>#N/A</v>
      </c>
      <c r="K15">
        <v>1.1000000000000001</v>
      </c>
      <c r="L15">
        <v>68.900000000000006</v>
      </c>
      <c r="O15">
        <v>-2.6319972589746499E-2</v>
      </c>
      <c r="P15">
        <v>-5.5</v>
      </c>
    </row>
    <row r="16" spans="1:16" x14ac:dyDescent="0.4">
      <c r="A16" s="1">
        <v>36951</v>
      </c>
      <c r="B16" s="10" t="e">
        <v>#N/A</v>
      </c>
      <c r="C16" t="e">
        <v>#N/A</v>
      </c>
      <c r="D16" t="e">
        <v>#N/A</v>
      </c>
      <c r="E16" t="e">
        <v>#N/A</v>
      </c>
      <c r="F16">
        <v>121.6</v>
      </c>
      <c r="G16" s="4">
        <v>79.2</v>
      </c>
      <c r="H16">
        <v>109.8</v>
      </c>
      <c r="I16">
        <v>108.9</v>
      </c>
      <c r="J16" t="e">
        <v>#N/A</v>
      </c>
      <c r="K16">
        <v>2</v>
      </c>
      <c r="L16">
        <v>69</v>
      </c>
      <c r="O16">
        <v>5.3084181329383598E-2</v>
      </c>
      <c r="P16">
        <v>-5.2</v>
      </c>
    </row>
    <row r="17" spans="1:16" x14ac:dyDescent="0.4">
      <c r="A17" s="1">
        <v>36982</v>
      </c>
      <c r="B17" s="10">
        <v>144644</v>
      </c>
      <c r="C17">
        <v>118938.4</v>
      </c>
      <c r="D17">
        <v>102.7</v>
      </c>
      <c r="E17">
        <v>66</v>
      </c>
      <c r="F17">
        <v>120.1</v>
      </c>
      <c r="G17" s="4">
        <v>78.400000000000006</v>
      </c>
      <c r="H17">
        <v>103.1</v>
      </c>
      <c r="I17">
        <v>108.6</v>
      </c>
      <c r="J17">
        <v>191807.9</v>
      </c>
      <c r="K17">
        <v>2.7</v>
      </c>
      <c r="L17">
        <v>69.099999999999994</v>
      </c>
      <c r="O17">
        <v>-5.3084181329383598E-2</v>
      </c>
      <c r="P17">
        <v>-5.2</v>
      </c>
    </row>
    <row r="18" spans="1:16" x14ac:dyDescent="0.4">
      <c r="A18" s="1">
        <v>37012</v>
      </c>
      <c r="B18" s="10" t="e">
        <v>#N/A</v>
      </c>
      <c r="C18" t="e">
        <v>#N/A</v>
      </c>
      <c r="D18" t="e">
        <v>#N/A</v>
      </c>
      <c r="E18" t="e">
        <v>#N/A</v>
      </c>
      <c r="F18">
        <v>120.2</v>
      </c>
      <c r="G18" s="4">
        <v>78.599999999999994</v>
      </c>
      <c r="H18">
        <v>104.9</v>
      </c>
      <c r="I18">
        <v>109</v>
      </c>
      <c r="J18" t="e">
        <v>#N/A</v>
      </c>
      <c r="K18">
        <v>2.8</v>
      </c>
      <c r="L18">
        <v>69.2</v>
      </c>
      <c r="O18">
        <v>-4.4063686183674698E-2</v>
      </c>
      <c r="P18">
        <v>-3</v>
      </c>
    </row>
    <row r="19" spans="1:16" x14ac:dyDescent="0.4">
      <c r="A19" s="1">
        <v>37043</v>
      </c>
      <c r="B19" s="10" t="e">
        <v>#N/A</v>
      </c>
      <c r="C19" t="e">
        <v>#N/A</v>
      </c>
      <c r="D19" t="e">
        <v>#N/A</v>
      </c>
      <c r="E19" t="e">
        <v>#N/A</v>
      </c>
      <c r="F19">
        <v>120.5</v>
      </c>
      <c r="G19" s="5">
        <v>80</v>
      </c>
      <c r="H19">
        <v>106</v>
      </c>
      <c r="I19">
        <v>108.9</v>
      </c>
      <c r="J19" t="e">
        <v>#N/A</v>
      </c>
      <c r="K19">
        <v>2.7</v>
      </c>
      <c r="L19">
        <v>69.599999999999994</v>
      </c>
      <c r="O19">
        <v>-2.18913675605776E-2</v>
      </c>
      <c r="P19">
        <v>-1.5</v>
      </c>
    </row>
    <row r="20" spans="1:16" x14ac:dyDescent="0.4">
      <c r="A20" s="1">
        <v>37073</v>
      </c>
      <c r="B20" s="10">
        <v>136251</v>
      </c>
      <c r="C20">
        <v>112693.3</v>
      </c>
      <c r="D20">
        <v>102.7</v>
      </c>
      <c r="E20">
        <v>66.900000000000006</v>
      </c>
      <c r="F20">
        <v>118.1</v>
      </c>
      <c r="G20" s="4">
        <v>76.900000000000006</v>
      </c>
      <c r="H20">
        <v>108.8</v>
      </c>
      <c r="I20">
        <v>108.7</v>
      </c>
      <c r="J20">
        <v>191333.1</v>
      </c>
      <c r="K20">
        <v>2.7</v>
      </c>
      <c r="L20">
        <v>68.400000000000006</v>
      </c>
      <c r="O20">
        <v>-5.2408337997711399E-2</v>
      </c>
      <c r="P20">
        <v>-0.9</v>
      </c>
    </row>
    <row r="21" spans="1:16" x14ac:dyDescent="0.4">
      <c r="A21" s="1">
        <v>37104</v>
      </c>
      <c r="B21" s="10" t="e">
        <v>#N/A</v>
      </c>
      <c r="C21" t="e">
        <v>#N/A</v>
      </c>
      <c r="D21" t="e">
        <v>#N/A</v>
      </c>
      <c r="E21" t="e">
        <v>#N/A</v>
      </c>
      <c r="F21">
        <v>120.1</v>
      </c>
      <c r="G21" s="5">
        <v>77</v>
      </c>
      <c r="H21">
        <v>106.7</v>
      </c>
      <c r="I21">
        <v>109.6</v>
      </c>
      <c r="J21" t="e">
        <v>#N/A</v>
      </c>
      <c r="K21">
        <v>2.1</v>
      </c>
      <c r="L21">
        <v>67.5</v>
      </c>
      <c r="O21">
        <v>-0.17776537287448399</v>
      </c>
      <c r="P21">
        <v>-1.4</v>
      </c>
    </row>
    <row r="22" spans="1:16" x14ac:dyDescent="0.4">
      <c r="A22" s="1">
        <v>37135</v>
      </c>
      <c r="B22" s="10" t="e">
        <v>#N/A</v>
      </c>
      <c r="C22" t="e">
        <v>#N/A</v>
      </c>
      <c r="D22" t="e">
        <v>#N/A</v>
      </c>
      <c r="E22" t="e">
        <v>#N/A</v>
      </c>
      <c r="F22">
        <v>118.5</v>
      </c>
      <c r="G22" s="4">
        <v>76.8</v>
      </c>
      <c r="H22">
        <v>97.9</v>
      </c>
      <c r="I22">
        <v>109.2</v>
      </c>
      <c r="J22" t="e">
        <v>#N/A</v>
      </c>
      <c r="K22">
        <v>2.5</v>
      </c>
      <c r="L22">
        <v>67.5</v>
      </c>
      <c r="O22">
        <v>5.3506284763926701E-2</v>
      </c>
      <c r="P22">
        <v>-3.4</v>
      </c>
    </row>
    <row r="23" spans="1:16" x14ac:dyDescent="0.4">
      <c r="A23" s="1">
        <v>37165</v>
      </c>
      <c r="B23" s="10">
        <v>185581</v>
      </c>
      <c r="C23">
        <v>141287.20000000001</v>
      </c>
      <c r="D23">
        <v>103.5</v>
      </c>
      <c r="E23">
        <v>67.7</v>
      </c>
      <c r="F23">
        <v>117.6</v>
      </c>
      <c r="G23" s="4">
        <v>76.5</v>
      </c>
      <c r="H23">
        <v>90.6</v>
      </c>
      <c r="I23">
        <v>108.8</v>
      </c>
      <c r="J23">
        <v>191866</v>
      </c>
      <c r="K23">
        <v>2.9</v>
      </c>
      <c r="L23">
        <v>66.900000000000006</v>
      </c>
      <c r="O23">
        <v>4.1330445070668603E-2</v>
      </c>
      <c r="P23">
        <v>-4.0999999999999996</v>
      </c>
    </row>
    <row r="24" spans="1:16" x14ac:dyDescent="0.4">
      <c r="A24" s="1">
        <v>37196</v>
      </c>
      <c r="B24" s="10" t="e">
        <v>#N/A</v>
      </c>
      <c r="C24" t="e">
        <v>#N/A</v>
      </c>
      <c r="D24" t="e">
        <v>#N/A</v>
      </c>
      <c r="E24" t="e">
        <v>#N/A</v>
      </c>
      <c r="F24">
        <v>115.9</v>
      </c>
      <c r="G24" s="4">
        <v>75.599999999999994</v>
      </c>
      <c r="H24">
        <v>90.7</v>
      </c>
      <c r="I24">
        <v>108.9</v>
      </c>
      <c r="J24" t="e">
        <v>#N/A</v>
      </c>
      <c r="K24">
        <v>2.9</v>
      </c>
      <c r="L24">
        <v>66.7</v>
      </c>
      <c r="O24">
        <v>1.3426365577334599E-2</v>
      </c>
      <c r="P24">
        <v>-7.5</v>
      </c>
    </row>
    <row r="25" spans="1:16" x14ac:dyDescent="0.4">
      <c r="A25" s="1">
        <v>37226</v>
      </c>
      <c r="B25" s="10" t="e">
        <v>#N/A</v>
      </c>
      <c r="C25" t="e">
        <v>#N/A</v>
      </c>
      <c r="D25" t="e">
        <v>#N/A</v>
      </c>
      <c r="E25" t="e">
        <v>#N/A</v>
      </c>
      <c r="F25">
        <v>117.6</v>
      </c>
      <c r="G25" s="4">
        <v>75.5</v>
      </c>
      <c r="H25">
        <v>99.3</v>
      </c>
      <c r="I25">
        <v>109.1</v>
      </c>
      <c r="J25" t="e">
        <v>#N/A</v>
      </c>
      <c r="K25">
        <v>2.8</v>
      </c>
      <c r="L25">
        <v>66.3</v>
      </c>
      <c r="O25">
        <v>-4.5279819330250604E-3</v>
      </c>
      <c r="P25">
        <v>-4.7</v>
      </c>
    </row>
    <row r="26" spans="1:16" x14ac:dyDescent="0.4">
      <c r="A26" s="1">
        <v>37257</v>
      </c>
      <c r="B26" s="10">
        <v>113688</v>
      </c>
      <c r="C26">
        <v>113957.7</v>
      </c>
      <c r="D26">
        <v>103.7</v>
      </c>
      <c r="E26">
        <v>68</v>
      </c>
      <c r="F26">
        <v>116.7</v>
      </c>
      <c r="G26" s="4">
        <v>78.400000000000006</v>
      </c>
      <c r="H26">
        <v>100.5</v>
      </c>
      <c r="I26">
        <v>108.8</v>
      </c>
      <c r="J26">
        <v>194245.4</v>
      </c>
      <c r="K26">
        <v>2.9</v>
      </c>
      <c r="L26">
        <v>65.400000000000006</v>
      </c>
      <c r="O26">
        <v>-1.09704027198418E-2</v>
      </c>
      <c r="P26">
        <v>-3.6</v>
      </c>
    </row>
    <row r="27" spans="1:16" x14ac:dyDescent="0.4">
      <c r="A27" s="1">
        <v>37288</v>
      </c>
      <c r="B27" s="10" t="e">
        <v>#N/A</v>
      </c>
      <c r="C27" t="e">
        <v>#N/A</v>
      </c>
      <c r="D27" t="e">
        <v>#N/A</v>
      </c>
      <c r="E27" t="e">
        <v>#N/A</v>
      </c>
      <c r="F27">
        <v>118</v>
      </c>
      <c r="G27" s="4">
        <v>77.2</v>
      </c>
      <c r="H27">
        <v>105.2</v>
      </c>
      <c r="I27">
        <v>108.7</v>
      </c>
      <c r="J27" t="e">
        <v>#N/A</v>
      </c>
      <c r="K27">
        <v>3.2</v>
      </c>
      <c r="L27">
        <v>65.599999999999994</v>
      </c>
      <c r="O27">
        <v>5.6779474812291397E-2</v>
      </c>
      <c r="P27">
        <v>-3.6</v>
      </c>
    </row>
    <row r="28" spans="1:16" x14ac:dyDescent="0.4">
      <c r="A28" s="1">
        <v>37316</v>
      </c>
      <c r="B28" s="10" t="e">
        <v>#N/A</v>
      </c>
      <c r="C28" t="e">
        <v>#N/A</v>
      </c>
      <c r="D28" t="e">
        <v>#N/A</v>
      </c>
      <c r="E28" t="e">
        <v>#N/A</v>
      </c>
      <c r="F28">
        <v>118.8</v>
      </c>
      <c r="G28" s="4">
        <v>77.900000000000006</v>
      </c>
      <c r="H28">
        <v>109.5</v>
      </c>
      <c r="I28">
        <v>108.4</v>
      </c>
      <c r="J28" t="e">
        <v>#N/A</v>
      </c>
      <c r="K28">
        <v>3</v>
      </c>
      <c r="L28">
        <v>65.599999999999994</v>
      </c>
      <c r="O28">
        <v>-3.6434728557010097E-2</v>
      </c>
      <c r="P28">
        <v>-4.0999999999999996</v>
      </c>
    </row>
    <row r="29" spans="1:16" x14ac:dyDescent="0.4">
      <c r="A29" s="1">
        <v>37347</v>
      </c>
      <c r="B29" s="10">
        <v>147209</v>
      </c>
      <c r="C29">
        <v>124834.4</v>
      </c>
      <c r="D29">
        <v>104.1</v>
      </c>
      <c r="E29">
        <v>68.400000000000006</v>
      </c>
      <c r="F29">
        <v>115.2</v>
      </c>
      <c r="G29" s="4">
        <v>76.599999999999994</v>
      </c>
      <c r="H29">
        <v>106.2</v>
      </c>
      <c r="I29">
        <v>108.8</v>
      </c>
      <c r="J29">
        <v>195778.9</v>
      </c>
      <c r="K29">
        <v>3</v>
      </c>
      <c r="L29">
        <v>66.400000000000006</v>
      </c>
      <c r="O29">
        <v>-7.4487045418907299E-2</v>
      </c>
      <c r="P29">
        <v>-6.3</v>
      </c>
    </row>
    <row r="30" spans="1:16" x14ac:dyDescent="0.4">
      <c r="A30" s="1">
        <v>37377</v>
      </c>
      <c r="B30" s="10" t="e">
        <v>#N/A</v>
      </c>
      <c r="C30" t="e">
        <v>#N/A</v>
      </c>
      <c r="D30" t="e">
        <v>#N/A</v>
      </c>
      <c r="E30" t="e">
        <v>#N/A</v>
      </c>
      <c r="F30">
        <v>119.3</v>
      </c>
      <c r="G30" s="4">
        <v>77.099999999999994</v>
      </c>
      <c r="H30">
        <v>106.7</v>
      </c>
      <c r="I30">
        <v>108.3</v>
      </c>
      <c r="J30" t="e">
        <v>#N/A</v>
      </c>
      <c r="K30">
        <v>2.9</v>
      </c>
      <c r="L30">
        <v>66.5</v>
      </c>
      <c r="O30">
        <v>-7.0503483405921899E-2</v>
      </c>
      <c r="P30">
        <v>-7</v>
      </c>
    </row>
    <row r="31" spans="1:16" x14ac:dyDescent="0.4">
      <c r="A31" s="1">
        <v>37408</v>
      </c>
      <c r="B31" s="10" t="e">
        <v>#N/A</v>
      </c>
      <c r="C31" t="e">
        <v>#N/A</v>
      </c>
      <c r="D31" t="e">
        <v>#N/A</v>
      </c>
      <c r="E31" t="e">
        <v>#N/A</v>
      </c>
      <c r="F31">
        <v>118.2</v>
      </c>
      <c r="G31" s="4">
        <v>76.5</v>
      </c>
      <c r="H31">
        <v>103.1</v>
      </c>
      <c r="I31">
        <v>108.9</v>
      </c>
      <c r="J31" t="e">
        <v>#N/A</v>
      </c>
      <c r="K31">
        <v>2.9</v>
      </c>
      <c r="L31">
        <v>66.3</v>
      </c>
      <c r="O31">
        <v>-0.10484249259619299</v>
      </c>
      <c r="P31">
        <v>-8</v>
      </c>
    </row>
    <row r="32" spans="1:16" x14ac:dyDescent="0.4">
      <c r="A32" s="1">
        <v>37438</v>
      </c>
      <c r="B32" s="10">
        <v>137280</v>
      </c>
      <c r="C32">
        <v>117486.2</v>
      </c>
      <c r="D32">
        <v>104.2</v>
      </c>
      <c r="E32">
        <v>69.2</v>
      </c>
      <c r="F32">
        <v>117.5</v>
      </c>
      <c r="G32" s="4">
        <v>77.099999999999994</v>
      </c>
      <c r="H32">
        <v>100.8</v>
      </c>
      <c r="I32">
        <v>109.1</v>
      </c>
      <c r="J32">
        <v>197032.3</v>
      </c>
      <c r="K32">
        <v>2.7</v>
      </c>
      <c r="L32">
        <v>66.5</v>
      </c>
      <c r="O32">
        <v>1.0147978842741901E-2</v>
      </c>
      <c r="P32">
        <v>-7.7</v>
      </c>
    </row>
    <row r="33" spans="1:16" x14ac:dyDescent="0.4">
      <c r="A33" s="1">
        <v>37469</v>
      </c>
      <c r="B33" s="10" t="e">
        <v>#N/A</v>
      </c>
      <c r="C33" t="e">
        <v>#N/A</v>
      </c>
      <c r="D33" t="e">
        <v>#N/A</v>
      </c>
      <c r="E33" t="e">
        <v>#N/A</v>
      </c>
      <c r="F33">
        <v>116</v>
      </c>
      <c r="G33" s="4">
        <v>75.5</v>
      </c>
      <c r="H33">
        <v>99</v>
      </c>
      <c r="I33">
        <v>109</v>
      </c>
      <c r="J33" t="e">
        <v>#N/A</v>
      </c>
      <c r="K33">
        <v>2.9</v>
      </c>
      <c r="L33">
        <v>66.5</v>
      </c>
      <c r="O33">
        <v>-0.183081051492469</v>
      </c>
      <c r="P33">
        <v>-8.6</v>
      </c>
    </row>
    <row r="34" spans="1:16" x14ac:dyDescent="0.4">
      <c r="A34" s="1">
        <v>37500</v>
      </c>
      <c r="B34" s="10" t="e">
        <v>#N/A</v>
      </c>
      <c r="C34" t="e">
        <v>#N/A</v>
      </c>
      <c r="D34" t="e">
        <v>#N/A</v>
      </c>
      <c r="E34" t="e">
        <v>#N/A</v>
      </c>
      <c r="F34">
        <v>118.5</v>
      </c>
      <c r="G34" s="4">
        <v>78.099999999999994</v>
      </c>
      <c r="H34">
        <v>103.4</v>
      </c>
      <c r="I34">
        <v>108.4</v>
      </c>
      <c r="J34" t="e">
        <v>#N/A</v>
      </c>
      <c r="K34">
        <v>3.1</v>
      </c>
      <c r="L34">
        <v>66.900000000000006</v>
      </c>
      <c r="O34">
        <v>0.10174934111629599</v>
      </c>
      <c r="P34">
        <v>-10.4</v>
      </c>
    </row>
    <row r="35" spans="1:16" x14ac:dyDescent="0.4">
      <c r="A35" s="1">
        <v>37530</v>
      </c>
      <c r="B35" s="10">
        <v>193012</v>
      </c>
      <c r="C35">
        <v>147250.70000000001</v>
      </c>
      <c r="D35">
        <v>104.3</v>
      </c>
      <c r="E35">
        <v>69.599999999999994</v>
      </c>
      <c r="F35">
        <v>116.9</v>
      </c>
      <c r="G35" s="4">
        <v>78.599999999999994</v>
      </c>
      <c r="H35">
        <v>96.1</v>
      </c>
      <c r="I35">
        <v>109.3</v>
      </c>
      <c r="J35">
        <v>200020.2</v>
      </c>
      <c r="K35">
        <v>3</v>
      </c>
      <c r="L35">
        <v>67.3</v>
      </c>
      <c r="O35">
        <v>9.5553274282453401E-2</v>
      </c>
      <c r="P35">
        <v>-10.199999999999999</v>
      </c>
    </row>
    <row r="36" spans="1:16" x14ac:dyDescent="0.4">
      <c r="A36" s="1">
        <v>37561</v>
      </c>
      <c r="B36" s="10" t="e">
        <v>#N/A</v>
      </c>
      <c r="C36" t="e">
        <v>#N/A</v>
      </c>
      <c r="D36" t="e">
        <v>#N/A</v>
      </c>
      <c r="E36" t="e">
        <v>#N/A</v>
      </c>
      <c r="F36">
        <v>119.1</v>
      </c>
      <c r="G36" s="5">
        <v>79</v>
      </c>
      <c r="H36">
        <v>100</v>
      </c>
      <c r="I36">
        <v>109.1</v>
      </c>
      <c r="J36" t="e">
        <v>#N/A</v>
      </c>
      <c r="K36">
        <v>3.1</v>
      </c>
      <c r="L36">
        <v>67</v>
      </c>
      <c r="O36">
        <v>-9.7635501742518102E-2</v>
      </c>
      <c r="P36">
        <v>-10</v>
      </c>
    </row>
    <row r="37" spans="1:16" x14ac:dyDescent="0.4">
      <c r="A37" s="1">
        <v>37591</v>
      </c>
      <c r="B37" s="10" t="e">
        <v>#N/A</v>
      </c>
      <c r="C37" t="e">
        <v>#N/A</v>
      </c>
      <c r="D37" t="e">
        <v>#N/A</v>
      </c>
      <c r="E37" t="e">
        <v>#N/A</v>
      </c>
      <c r="F37">
        <v>117.9</v>
      </c>
      <c r="G37" s="4">
        <v>79.3</v>
      </c>
      <c r="H37">
        <v>96.9</v>
      </c>
      <c r="I37">
        <v>109.2</v>
      </c>
      <c r="J37" t="e">
        <v>#N/A</v>
      </c>
      <c r="K37">
        <v>3.1</v>
      </c>
      <c r="L37">
        <v>66.8</v>
      </c>
      <c r="O37">
        <v>-4.2404267717937899E-2</v>
      </c>
      <c r="P37">
        <v>-13</v>
      </c>
    </row>
    <row r="38" spans="1:16" x14ac:dyDescent="0.4">
      <c r="A38" s="1">
        <v>37622</v>
      </c>
      <c r="B38" s="10">
        <v>117169</v>
      </c>
      <c r="C38">
        <v>117996.7</v>
      </c>
      <c r="D38">
        <v>105</v>
      </c>
      <c r="E38">
        <v>69.900000000000006</v>
      </c>
      <c r="F38">
        <v>119.1</v>
      </c>
      <c r="G38" s="4">
        <v>79.8</v>
      </c>
      <c r="H38">
        <v>101.1</v>
      </c>
      <c r="I38">
        <v>108.8</v>
      </c>
      <c r="J38">
        <v>202174.1</v>
      </c>
      <c r="K38">
        <v>2.7</v>
      </c>
      <c r="L38">
        <v>68.2</v>
      </c>
      <c r="O38">
        <v>3.2615145581703003E-2</v>
      </c>
      <c r="P38">
        <v>-13</v>
      </c>
    </row>
    <row r="39" spans="1:16" x14ac:dyDescent="0.4">
      <c r="A39" s="1">
        <v>37653</v>
      </c>
      <c r="B39" s="10" t="e">
        <v>#N/A</v>
      </c>
      <c r="C39" t="e">
        <v>#N/A</v>
      </c>
      <c r="D39" t="e">
        <v>#N/A</v>
      </c>
      <c r="E39" t="e">
        <v>#N/A</v>
      </c>
      <c r="F39">
        <v>116.8</v>
      </c>
      <c r="G39" s="4">
        <v>76.5</v>
      </c>
      <c r="H39">
        <v>99.8</v>
      </c>
      <c r="I39">
        <v>110.2</v>
      </c>
      <c r="J39" t="e">
        <v>#N/A</v>
      </c>
      <c r="K39">
        <v>2.5</v>
      </c>
      <c r="L39">
        <v>69</v>
      </c>
      <c r="O39">
        <v>-7.4626897230272604E-2</v>
      </c>
      <c r="P39">
        <v>-12</v>
      </c>
    </row>
    <row r="40" spans="1:16" x14ac:dyDescent="0.4">
      <c r="A40" s="1">
        <v>37681</v>
      </c>
      <c r="B40" s="10" t="e">
        <v>#N/A</v>
      </c>
      <c r="C40" t="e">
        <v>#N/A</v>
      </c>
      <c r="D40" t="e">
        <v>#N/A</v>
      </c>
      <c r="E40" t="e">
        <v>#N/A</v>
      </c>
      <c r="F40">
        <v>117</v>
      </c>
      <c r="G40" s="4">
        <v>76.7</v>
      </c>
      <c r="H40">
        <v>100.4</v>
      </c>
      <c r="I40">
        <v>109.7</v>
      </c>
      <c r="J40" t="e">
        <v>#N/A</v>
      </c>
      <c r="K40">
        <v>2.8</v>
      </c>
      <c r="L40">
        <v>69.8</v>
      </c>
      <c r="O40">
        <v>0.100409608513926</v>
      </c>
      <c r="P40">
        <v>-13.9</v>
      </c>
    </row>
    <row r="41" spans="1:16" x14ac:dyDescent="0.4">
      <c r="A41" s="1">
        <v>37712</v>
      </c>
      <c r="B41" s="10">
        <v>162438</v>
      </c>
      <c r="C41">
        <v>130173.6</v>
      </c>
      <c r="D41">
        <v>105</v>
      </c>
      <c r="E41">
        <v>71</v>
      </c>
      <c r="F41">
        <v>118.5</v>
      </c>
      <c r="G41" s="4">
        <v>75.7</v>
      </c>
      <c r="H41">
        <v>97.7</v>
      </c>
      <c r="I41">
        <v>109.3</v>
      </c>
      <c r="J41">
        <v>203487.3</v>
      </c>
      <c r="K41">
        <v>2.8</v>
      </c>
      <c r="L41">
        <v>69.400000000000006</v>
      </c>
      <c r="O41">
        <v>4.3379110805693302E-2</v>
      </c>
      <c r="P41">
        <v>-13.5</v>
      </c>
    </row>
    <row r="42" spans="1:16" x14ac:dyDescent="0.4">
      <c r="A42" s="1">
        <v>37742</v>
      </c>
      <c r="B42" s="10" t="e">
        <v>#N/A</v>
      </c>
      <c r="C42" t="e">
        <v>#N/A</v>
      </c>
      <c r="D42" t="e">
        <v>#N/A</v>
      </c>
      <c r="E42" t="e">
        <v>#N/A</v>
      </c>
      <c r="F42">
        <v>114.5</v>
      </c>
      <c r="G42" s="5">
        <v>75</v>
      </c>
      <c r="H42">
        <v>96.4</v>
      </c>
      <c r="I42">
        <v>109.5</v>
      </c>
      <c r="J42" t="e">
        <v>#N/A</v>
      </c>
      <c r="K42">
        <v>2.9</v>
      </c>
      <c r="L42">
        <v>68.3</v>
      </c>
      <c r="O42">
        <v>-1.0841852970569801E-2</v>
      </c>
      <c r="P42">
        <v>-13.7</v>
      </c>
    </row>
    <row r="43" spans="1:16" x14ac:dyDescent="0.4">
      <c r="A43" s="1">
        <v>37773</v>
      </c>
      <c r="B43" s="10" t="e">
        <v>#N/A</v>
      </c>
      <c r="C43" t="e">
        <v>#N/A</v>
      </c>
      <c r="D43" t="e">
        <v>#N/A</v>
      </c>
      <c r="E43" t="e">
        <v>#N/A</v>
      </c>
      <c r="F43">
        <v>116</v>
      </c>
      <c r="G43" s="4">
        <v>76.599999999999994</v>
      </c>
      <c r="H43">
        <v>96.5</v>
      </c>
      <c r="I43">
        <v>108.5</v>
      </c>
      <c r="J43" t="e">
        <v>#N/A</v>
      </c>
      <c r="K43">
        <v>2.9</v>
      </c>
      <c r="L43">
        <v>67.8</v>
      </c>
      <c r="O43">
        <v>1.8270298807753001E-2</v>
      </c>
      <c r="P43">
        <v>-11.6</v>
      </c>
    </row>
    <row r="44" spans="1:16" x14ac:dyDescent="0.4">
      <c r="A44" s="1">
        <v>37803</v>
      </c>
      <c r="B44" s="10">
        <v>140141</v>
      </c>
      <c r="C44">
        <v>124740.9</v>
      </c>
      <c r="D44">
        <v>104.8</v>
      </c>
      <c r="E44">
        <v>73.2</v>
      </c>
      <c r="F44">
        <v>117.7</v>
      </c>
      <c r="G44" s="4">
        <v>76.099999999999994</v>
      </c>
      <c r="H44">
        <v>93.3</v>
      </c>
      <c r="I44">
        <v>108.8</v>
      </c>
      <c r="J44">
        <v>205020.6</v>
      </c>
      <c r="K44">
        <v>2.9</v>
      </c>
      <c r="L44">
        <v>67.900000000000006</v>
      </c>
      <c r="O44">
        <v>4.5654022407895E-3</v>
      </c>
      <c r="P44">
        <v>-12.7</v>
      </c>
    </row>
    <row r="45" spans="1:16" x14ac:dyDescent="0.4">
      <c r="A45" s="1">
        <v>37834</v>
      </c>
      <c r="B45" s="10" t="e">
        <v>#N/A</v>
      </c>
      <c r="C45" t="e">
        <v>#N/A</v>
      </c>
      <c r="D45" t="e">
        <v>#N/A</v>
      </c>
      <c r="E45" t="e">
        <v>#N/A</v>
      </c>
      <c r="F45">
        <v>114.7</v>
      </c>
      <c r="G45" s="4">
        <v>73.599999999999994</v>
      </c>
      <c r="H45">
        <v>97.3</v>
      </c>
      <c r="I45">
        <v>108.1</v>
      </c>
      <c r="J45" t="e">
        <v>#N/A</v>
      </c>
      <c r="K45">
        <v>2.8</v>
      </c>
      <c r="L45">
        <v>68.3</v>
      </c>
      <c r="O45">
        <v>-2.5351323571325E-2</v>
      </c>
      <c r="P45">
        <v>-13.6</v>
      </c>
    </row>
    <row r="46" spans="1:16" x14ac:dyDescent="0.4">
      <c r="A46" s="1">
        <v>37865</v>
      </c>
      <c r="B46" s="10" t="e">
        <v>#N/A</v>
      </c>
      <c r="C46" t="e">
        <v>#N/A</v>
      </c>
      <c r="D46" t="e">
        <v>#N/A</v>
      </c>
      <c r="E46" t="e">
        <v>#N/A</v>
      </c>
      <c r="F46">
        <v>115.4</v>
      </c>
      <c r="G46" s="4">
        <v>75.099999999999994</v>
      </c>
      <c r="H46">
        <v>97</v>
      </c>
      <c r="I46">
        <v>108.6</v>
      </c>
      <c r="J46" t="e">
        <v>#N/A</v>
      </c>
      <c r="K46">
        <v>2.9</v>
      </c>
      <c r="L46">
        <v>68.900000000000006</v>
      </c>
      <c r="O46">
        <v>5.3701523698087797E-2</v>
      </c>
      <c r="P46">
        <v>-13</v>
      </c>
    </row>
    <row r="47" spans="1:16" x14ac:dyDescent="0.4">
      <c r="A47" s="1">
        <v>37895</v>
      </c>
      <c r="B47" s="10">
        <v>192377</v>
      </c>
      <c r="C47">
        <v>151477.9</v>
      </c>
      <c r="D47">
        <v>105.4</v>
      </c>
      <c r="E47">
        <v>71.7</v>
      </c>
      <c r="F47">
        <v>116.8</v>
      </c>
      <c r="G47" s="4">
        <v>76.400000000000006</v>
      </c>
      <c r="H47">
        <v>98.5</v>
      </c>
      <c r="I47">
        <v>108.6</v>
      </c>
      <c r="J47">
        <v>206407.9</v>
      </c>
      <c r="K47">
        <v>2.9</v>
      </c>
      <c r="L47">
        <v>68</v>
      </c>
      <c r="O47">
        <v>4.4540479531148598E-2</v>
      </c>
      <c r="P47">
        <v>-12.4</v>
      </c>
    </row>
    <row r="48" spans="1:16" x14ac:dyDescent="0.4">
      <c r="A48" s="1">
        <v>37926</v>
      </c>
      <c r="B48" s="10" t="e">
        <v>#N/A</v>
      </c>
      <c r="C48" t="e">
        <v>#N/A</v>
      </c>
      <c r="D48" t="e">
        <v>#N/A</v>
      </c>
      <c r="E48" t="e">
        <v>#N/A</v>
      </c>
      <c r="F48">
        <v>118.3</v>
      </c>
      <c r="G48" s="4">
        <v>77.599999999999994</v>
      </c>
      <c r="H48">
        <v>99.3</v>
      </c>
      <c r="I48">
        <v>107.2</v>
      </c>
      <c r="J48" t="e">
        <v>#N/A</v>
      </c>
      <c r="K48">
        <v>2.9</v>
      </c>
      <c r="L48">
        <v>68.099999999999994</v>
      </c>
      <c r="O48">
        <v>-9.9551180203203398E-3</v>
      </c>
      <c r="P48">
        <v>-13</v>
      </c>
    </row>
    <row r="49" spans="1:16" x14ac:dyDescent="0.4">
      <c r="A49" s="1">
        <v>37956</v>
      </c>
      <c r="B49" s="10" t="e">
        <v>#N/A</v>
      </c>
      <c r="C49" t="e">
        <v>#N/A</v>
      </c>
      <c r="D49" t="e">
        <v>#N/A</v>
      </c>
      <c r="E49" t="e">
        <v>#N/A</v>
      </c>
      <c r="F49">
        <v>118.3</v>
      </c>
      <c r="G49" s="4">
        <v>78.2</v>
      </c>
      <c r="H49">
        <v>97.8</v>
      </c>
      <c r="I49">
        <v>107.6</v>
      </c>
      <c r="J49" t="e">
        <v>#N/A</v>
      </c>
      <c r="K49">
        <v>2.7</v>
      </c>
      <c r="L49">
        <v>68.099999999999994</v>
      </c>
      <c r="O49">
        <v>3.2457432858107503E-2</v>
      </c>
      <c r="P49">
        <v>-14</v>
      </c>
    </row>
    <row r="50" spans="1:16" x14ac:dyDescent="0.4">
      <c r="A50" s="1">
        <v>37987</v>
      </c>
      <c r="B50" s="10">
        <v>119869</v>
      </c>
      <c r="C50">
        <v>122667.7</v>
      </c>
      <c r="D50">
        <v>104.9</v>
      </c>
      <c r="E50">
        <v>72.400000000000006</v>
      </c>
      <c r="F50">
        <v>118.4</v>
      </c>
      <c r="G50" s="4">
        <v>77.099999999999994</v>
      </c>
      <c r="H50">
        <v>96.5</v>
      </c>
      <c r="I50">
        <v>108.5</v>
      </c>
      <c r="J50">
        <v>208592.1</v>
      </c>
      <c r="K50">
        <v>2.4</v>
      </c>
      <c r="L50">
        <v>68.2</v>
      </c>
      <c r="M50" s="11">
        <v>22209.574999999997</v>
      </c>
      <c r="O50">
        <v>6.5672841944390799E-3</v>
      </c>
      <c r="P50">
        <v>-13.8</v>
      </c>
    </row>
    <row r="51" spans="1:16" x14ac:dyDescent="0.4">
      <c r="A51" s="1">
        <v>38018</v>
      </c>
      <c r="B51" s="10" t="e">
        <v>#N/A</v>
      </c>
      <c r="C51" t="e">
        <v>#N/A</v>
      </c>
      <c r="D51" t="e">
        <v>#N/A</v>
      </c>
      <c r="E51" t="e">
        <v>#N/A</v>
      </c>
      <c r="F51">
        <v>117.9</v>
      </c>
      <c r="G51" s="4">
        <v>78.3</v>
      </c>
      <c r="H51">
        <v>96.8</v>
      </c>
      <c r="I51">
        <v>107.3</v>
      </c>
      <c r="J51" t="e">
        <v>#N/A</v>
      </c>
      <c r="K51">
        <v>2.8</v>
      </c>
      <c r="L51">
        <v>68.3</v>
      </c>
      <c r="M51" s="11">
        <v>22240.091999999997</v>
      </c>
      <c r="O51">
        <v>-2.9364236630115701E-2</v>
      </c>
      <c r="P51">
        <v>-15.5</v>
      </c>
    </row>
    <row r="52" spans="1:16" x14ac:dyDescent="0.4">
      <c r="A52" s="1">
        <v>38047</v>
      </c>
      <c r="B52" s="10" t="e">
        <v>#N/A</v>
      </c>
      <c r="C52" t="e">
        <v>#N/A</v>
      </c>
      <c r="D52" t="e">
        <v>#N/A</v>
      </c>
      <c r="E52" t="e">
        <v>#N/A</v>
      </c>
      <c r="F52">
        <v>115.8</v>
      </c>
      <c r="G52" s="4">
        <v>77.900000000000006</v>
      </c>
      <c r="H52">
        <v>97.7</v>
      </c>
      <c r="I52">
        <v>107</v>
      </c>
      <c r="J52" t="e">
        <v>#N/A</v>
      </c>
      <c r="K52">
        <v>2.6</v>
      </c>
      <c r="L52">
        <v>68.7</v>
      </c>
      <c r="M52" s="11">
        <v>22309.097000000002</v>
      </c>
      <c r="O52">
        <v>3.1615162067350197E-2</v>
      </c>
      <c r="P52">
        <v>-14.5</v>
      </c>
    </row>
    <row r="53" spans="1:16" x14ac:dyDescent="0.4">
      <c r="A53" s="1">
        <v>38078</v>
      </c>
      <c r="B53" s="10">
        <v>161466</v>
      </c>
      <c r="C53">
        <v>136350.6</v>
      </c>
      <c r="D53">
        <v>104.5</v>
      </c>
      <c r="E53">
        <v>74</v>
      </c>
      <c r="F53">
        <v>118</v>
      </c>
      <c r="G53" s="4">
        <v>79.5</v>
      </c>
      <c r="H53">
        <v>100</v>
      </c>
      <c r="I53">
        <v>107</v>
      </c>
      <c r="J53">
        <v>210419.8</v>
      </c>
      <c r="K53">
        <v>2.6</v>
      </c>
      <c r="L53">
        <v>68.8</v>
      </c>
      <c r="M53" s="11">
        <v>22207.351999999999</v>
      </c>
      <c r="O53">
        <v>-2.4019213393072999E-2</v>
      </c>
      <c r="P53">
        <v>-14.7</v>
      </c>
    </row>
    <row r="54" spans="1:16" x14ac:dyDescent="0.4">
      <c r="A54" s="1">
        <v>38108</v>
      </c>
      <c r="B54" s="10" t="e">
        <v>#N/A</v>
      </c>
      <c r="C54" t="e">
        <v>#N/A</v>
      </c>
      <c r="D54" t="e">
        <v>#N/A</v>
      </c>
      <c r="E54" t="e">
        <v>#N/A</v>
      </c>
      <c r="F54">
        <v>117.7</v>
      </c>
      <c r="G54" s="4">
        <v>77.5</v>
      </c>
      <c r="H54">
        <v>100.9</v>
      </c>
      <c r="I54">
        <v>105.2</v>
      </c>
      <c r="J54" t="e">
        <v>#N/A</v>
      </c>
      <c r="K54">
        <v>2.2999999999999998</v>
      </c>
      <c r="L54">
        <v>69.599999999999994</v>
      </c>
      <c r="M54" s="11">
        <v>22394.845999999998</v>
      </c>
      <c r="O54">
        <v>2.6585510780984499E-2</v>
      </c>
      <c r="P54">
        <v>-15.5</v>
      </c>
    </row>
    <row r="55" spans="1:16" x14ac:dyDescent="0.4">
      <c r="A55" s="1">
        <v>38139</v>
      </c>
      <c r="B55" s="10" t="e">
        <v>#N/A</v>
      </c>
      <c r="C55" t="e">
        <v>#N/A</v>
      </c>
      <c r="D55" t="e">
        <v>#N/A</v>
      </c>
      <c r="E55" t="e">
        <v>#N/A</v>
      </c>
      <c r="F55">
        <v>117</v>
      </c>
      <c r="G55" s="4">
        <v>78.099999999999994</v>
      </c>
      <c r="H55">
        <v>103.3</v>
      </c>
      <c r="I55">
        <v>106.9</v>
      </c>
      <c r="J55" t="e">
        <v>#N/A</v>
      </c>
      <c r="K55">
        <v>2.5</v>
      </c>
      <c r="L55">
        <v>70.2</v>
      </c>
      <c r="M55" s="11">
        <v>22442.224999999999</v>
      </c>
      <c r="O55">
        <v>-1.9917969274592599E-2</v>
      </c>
      <c r="P55">
        <v>-12.9</v>
      </c>
    </row>
    <row r="56" spans="1:16" x14ac:dyDescent="0.4">
      <c r="A56" s="1">
        <v>38169</v>
      </c>
      <c r="B56" s="10">
        <v>142080</v>
      </c>
      <c r="C56">
        <v>126200</v>
      </c>
      <c r="D56">
        <v>105</v>
      </c>
      <c r="E56">
        <v>73.8</v>
      </c>
      <c r="F56">
        <v>117.3</v>
      </c>
      <c r="G56" s="4">
        <v>77.900000000000006</v>
      </c>
      <c r="H56">
        <v>100.7</v>
      </c>
      <c r="I56">
        <v>105.9</v>
      </c>
      <c r="J56">
        <v>212201.7</v>
      </c>
      <c r="K56">
        <v>2.2000000000000002</v>
      </c>
      <c r="L56">
        <v>70.2</v>
      </c>
      <c r="M56" s="11">
        <v>22400.932999999997</v>
      </c>
      <c r="O56">
        <v>-2.2957427776924898E-2</v>
      </c>
      <c r="P56">
        <v>-13.9</v>
      </c>
    </row>
    <row r="57" spans="1:16" x14ac:dyDescent="0.4">
      <c r="A57" s="1">
        <v>38200</v>
      </c>
      <c r="B57" s="10" t="e">
        <v>#N/A</v>
      </c>
      <c r="C57" t="e">
        <v>#N/A</v>
      </c>
      <c r="D57" t="e">
        <v>#N/A</v>
      </c>
      <c r="E57" t="e">
        <v>#N/A</v>
      </c>
      <c r="F57">
        <v>114.5</v>
      </c>
      <c r="G57" s="4">
        <v>76.099999999999994</v>
      </c>
      <c r="H57">
        <v>101.4</v>
      </c>
      <c r="I57">
        <v>105.8</v>
      </c>
      <c r="J57" t="e">
        <v>#N/A</v>
      </c>
      <c r="K57">
        <v>2.2999999999999998</v>
      </c>
      <c r="L57">
        <v>70.7</v>
      </c>
      <c r="M57" s="11">
        <v>22344.85</v>
      </c>
      <c r="O57">
        <v>3.2210728819133998E-2</v>
      </c>
      <c r="P57">
        <v>-13.5</v>
      </c>
    </row>
    <row r="58" spans="1:16" x14ac:dyDescent="0.4">
      <c r="A58" s="1">
        <v>38231</v>
      </c>
      <c r="B58" s="10" t="e">
        <v>#N/A</v>
      </c>
      <c r="C58" t="e">
        <v>#N/A</v>
      </c>
      <c r="D58" t="e">
        <v>#N/A</v>
      </c>
      <c r="E58" t="e">
        <v>#N/A</v>
      </c>
      <c r="F58">
        <v>116.4</v>
      </c>
      <c r="G58" s="4">
        <v>79.599999999999994</v>
      </c>
      <c r="H58">
        <v>100.7</v>
      </c>
      <c r="I58">
        <v>105.5</v>
      </c>
      <c r="J58" t="e">
        <v>#N/A</v>
      </c>
      <c r="K58">
        <v>2.2000000000000002</v>
      </c>
      <c r="L58">
        <v>71</v>
      </c>
      <c r="M58" s="11">
        <v>22330.596000000001</v>
      </c>
      <c r="O58">
        <v>3.1414712562659403E-2</v>
      </c>
      <c r="P58">
        <v>-13.5</v>
      </c>
    </row>
    <row r="59" spans="1:16" x14ac:dyDescent="0.4">
      <c r="A59" s="1">
        <v>38261</v>
      </c>
      <c r="B59" s="10">
        <v>206248</v>
      </c>
      <c r="C59">
        <v>158159.6</v>
      </c>
      <c r="D59">
        <v>105.2</v>
      </c>
      <c r="E59">
        <v>74.3</v>
      </c>
      <c r="F59">
        <v>117.5</v>
      </c>
      <c r="G59" s="4">
        <v>82.2</v>
      </c>
      <c r="H59">
        <v>102.3</v>
      </c>
      <c r="I59">
        <v>105.8</v>
      </c>
      <c r="J59">
        <v>214368.9</v>
      </c>
      <c r="K59">
        <v>2</v>
      </c>
      <c r="L59">
        <v>72</v>
      </c>
      <c r="M59" s="11">
        <v>22404.767</v>
      </c>
      <c r="O59">
        <v>3.2046107101878697E-2</v>
      </c>
      <c r="P59">
        <v>-11.4</v>
      </c>
    </row>
    <row r="60" spans="1:16" x14ac:dyDescent="0.4">
      <c r="A60" s="1">
        <v>38292</v>
      </c>
      <c r="B60" s="10" t="e">
        <v>#N/A</v>
      </c>
      <c r="C60" t="e">
        <v>#N/A</v>
      </c>
      <c r="D60" t="e">
        <v>#N/A</v>
      </c>
      <c r="E60" t="e">
        <v>#N/A</v>
      </c>
      <c r="F60">
        <v>115.6</v>
      </c>
      <c r="G60" s="4">
        <v>79.3</v>
      </c>
      <c r="H60">
        <v>100.4</v>
      </c>
      <c r="I60">
        <v>105.8</v>
      </c>
      <c r="J60" t="e">
        <v>#N/A</v>
      </c>
      <c r="K60">
        <v>1.8</v>
      </c>
      <c r="L60">
        <v>72.2</v>
      </c>
      <c r="M60" s="11">
        <v>22356.101999999999</v>
      </c>
      <c r="O60">
        <v>4.2572276840738603E-2</v>
      </c>
      <c r="P60">
        <v>-11.9</v>
      </c>
    </row>
    <row r="61" spans="1:16" x14ac:dyDescent="0.4">
      <c r="A61" s="1">
        <v>38322</v>
      </c>
      <c r="B61" s="10" t="e">
        <v>#N/A</v>
      </c>
      <c r="C61" t="e">
        <v>#N/A</v>
      </c>
      <c r="D61" t="e">
        <v>#N/A</v>
      </c>
      <c r="E61" t="e">
        <v>#N/A</v>
      </c>
      <c r="F61">
        <v>114.6</v>
      </c>
      <c r="G61" s="4">
        <v>77.2</v>
      </c>
      <c r="H61">
        <v>96.3</v>
      </c>
      <c r="I61">
        <v>106.4</v>
      </c>
      <c r="J61" t="e">
        <v>#N/A</v>
      </c>
      <c r="K61">
        <v>2.1</v>
      </c>
      <c r="L61">
        <v>71.8</v>
      </c>
      <c r="M61" s="12">
        <v>22313.902999999998</v>
      </c>
      <c r="O61">
        <v>1.38505034016294E-2</v>
      </c>
      <c r="P61">
        <v>-12.6</v>
      </c>
    </row>
    <row r="62" spans="1:16" x14ac:dyDescent="0.4">
      <c r="A62" s="1">
        <v>38353</v>
      </c>
      <c r="B62" s="10">
        <v>125765</v>
      </c>
      <c r="C62">
        <v>127417.1</v>
      </c>
      <c r="D62">
        <v>105.4</v>
      </c>
      <c r="E62">
        <v>75.3</v>
      </c>
      <c r="F62">
        <v>114.7</v>
      </c>
      <c r="G62" s="4">
        <v>78.3</v>
      </c>
      <c r="H62">
        <v>97.1</v>
      </c>
      <c r="I62">
        <v>105.3</v>
      </c>
      <c r="J62">
        <v>214894.8</v>
      </c>
      <c r="K62">
        <v>1.8</v>
      </c>
      <c r="L62">
        <v>71.599999999999994</v>
      </c>
      <c r="M62" s="11">
        <v>22366.216</v>
      </c>
      <c r="O62">
        <v>1.6333612046876701E-2</v>
      </c>
      <c r="P62">
        <v>-12.6</v>
      </c>
    </row>
    <row r="63" spans="1:16" x14ac:dyDescent="0.4">
      <c r="A63" s="1">
        <v>38384</v>
      </c>
      <c r="B63" s="10" t="e">
        <v>#N/A</v>
      </c>
      <c r="C63" t="e">
        <v>#N/A</v>
      </c>
      <c r="D63" t="e">
        <v>#N/A</v>
      </c>
      <c r="E63" t="e">
        <v>#N/A</v>
      </c>
      <c r="F63">
        <v>115.3</v>
      </c>
      <c r="G63" s="4">
        <v>79.099999999999994</v>
      </c>
      <c r="H63">
        <v>96.7</v>
      </c>
      <c r="I63">
        <v>105</v>
      </c>
      <c r="J63" t="e">
        <v>#N/A</v>
      </c>
      <c r="K63">
        <v>1.7</v>
      </c>
      <c r="L63">
        <v>72.400000000000006</v>
      </c>
      <c r="M63" s="11">
        <v>22357.904000000002</v>
      </c>
      <c r="O63">
        <v>1.4091765798148999E-2</v>
      </c>
      <c r="P63">
        <v>-11.4</v>
      </c>
    </row>
    <row r="64" spans="1:16" x14ac:dyDescent="0.4">
      <c r="A64" s="1">
        <v>38412</v>
      </c>
      <c r="B64" s="10" t="e">
        <v>#N/A</v>
      </c>
      <c r="C64" t="e">
        <v>#N/A</v>
      </c>
      <c r="D64" t="e">
        <v>#N/A</v>
      </c>
      <c r="E64" t="e">
        <v>#N/A</v>
      </c>
      <c r="F64">
        <v>115.1</v>
      </c>
      <c r="G64" s="4">
        <v>79.599999999999994</v>
      </c>
      <c r="H64">
        <v>97.5</v>
      </c>
      <c r="I64">
        <v>105.6</v>
      </c>
      <c r="J64" t="e">
        <v>#N/A</v>
      </c>
      <c r="K64">
        <v>1.7</v>
      </c>
      <c r="L64">
        <v>73.5</v>
      </c>
      <c r="M64" s="11">
        <v>22331.055</v>
      </c>
      <c r="O64">
        <v>-4.4017040205963198E-2</v>
      </c>
      <c r="P64">
        <v>-12</v>
      </c>
    </row>
    <row r="65" spans="1:16" x14ac:dyDescent="0.4">
      <c r="A65" s="1">
        <v>38443</v>
      </c>
      <c r="B65" s="10">
        <v>156750</v>
      </c>
      <c r="C65">
        <v>140263.5</v>
      </c>
      <c r="D65">
        <v>106</v>
      </c>
      <c r="E65">
        <v>74.7</v>
      </c>
      <c r="F65">
        <v>118</v>
      </c>
      <c r="G65" s="4">
        <v>80.2</v>
      </c>
      <c r="H65">
        <v>97.2</v>
      </c>
      <c r="I65">
        <v>106</v>
      </c>
      <c r="J65">
        <v>217908.5</v>
      </c>
      <c r="K65">
        <v>1.8</v>
      </c>
      <c r="L65">
        <v>75.400000000000006</v>
      </c>
      <c r="M65" s="11">
        <v>22362.601999999999</v>
      </c>
      <c r="O65">
        <v>2.6434101005444102E-2</v>
      </c>
      <c r="P65">
        <v>-11.3</v>
      </c>
    </row>
    <row r="66" spans="1:16" x14ac:dyDescent="0.4">
      <c r="A66" s="1">
        <v>38473</v>
      </c>
      <c r="B66" s="10" t="e">
        <v>#N/A</v>
      </c>
      <c r="C66" t="e">
        <v>#N/A</v>
      </c>
      <c r="D66" t="e">
        <v>#N/A</v>
      </c>
      <c r="E66" t="e">
        <v>#N/A</v>
      </c>
      <c r="F66">
        <v>115</v>
      </c>
      <c r="G66" s="4">
        <v>78.3</v>
      </c>
      <c r="H66">
        <v>96.4</v>
      </c>
      <c r="I66">
        <v>106.2</v>
      </c>
      <c r="J66" t="e">
        <v>#N/A</v>
      </c>
      <c r="K66">
        <v>1.9</v>
      </c>
      <c r="L66">
        <v>75.3</v>
      </c>
      <c r="M66" s="11">
        <v>22353.802</v>
      </c>
      <c r="O66">
        <v>1.8851405609288101E-2</v>
      </c>
      <c r="P66">
        <v>-14.1</v>
      </c>
    </row>
    <row r="67" spans="1:16" x14ac:dyDescent="0.4">
      <c r="A67" s="1">
        <v>38504</v>
      </c>
      <c r="B67" s="10" t="e">
        <v>#N/A</v>
      </c>
      <c r="C67" t="e">
        <v>#N/A</v>
      </c>
      <c r="D67" t="e">
        <v>#N/A</v>
      </c>
      <c r="E67" t="e">
        <v>#N/A</v>
      </c>
      <c r="F67">
        <v>115</v>
      </c>
      <c r="G67" s="4">
        <v>79.2</v>
      </c>
      <c r="H67">
        <v>94.5</v>
      </c>
      <c r="I67">
        <v>105.4</v>
      </c>
      <c r="J67" t="e">
        <v>#N/A</v>
      </c>
      <c r="K67">
        <v>1.8</v>
      </c>
      <c r="L67">
        <v>75.099999999999994</v>
      </c>
      <c r="M67" s="11">
        <v>22336.847999999998</v>
      </c>
      <c r="O67">
        <v>4.0892486423917497E-2</v>
      </c>
      <c r="P67">
        <v>-16.100000000000001</v>
      </c>
    </row>
    <row r="68" spans="1:16" x14ac:dyDescent="0.4">
      <c r="A68" s="1">
        <v>38534</v>
      </c>
      <c r="B68" s="10">
        <v>148454</v>
      </c>
      <c r="C68">
        <v>130088.7</v>
      </c>
      <c r="D68">
        <v>105.2</v>
      </c>
      <c r="E68">
        <v>75.5</v>
      </c>
      <c r="F68">
        <v>116.6</v>
      </c>
      <c r="G68" s="4">
        <v>81.400000000000006</v>
      </c>
      <c r="H68">
        <v>97.3</v>
      </c>
      <c r="I68">
        <v>105.8</v>
      </c>
      <c r="J68">
        <v>220270.6</v>
      </c>
      <c r="K68">
        <v>1.7</v>
      </c>
      <c r="L68">
        <v>77.099999999999994</v>
      </c>
      <c r="M68" s="11">
        <v>22270.367999999999</v>
      </c>
      <c r="O68">
        <v>-5.1478250351255604E-3</v>
      </c>
      <c r="P68">
        <v>-15.1</v>
      </c>
    </row>
    <row r="69" spans="1:16" x14ac:dyDescent="0.4">
      <c r="A69" s="1">
        <v>38565</v>
      </c>
      <c r="B69" s="10" t="e">
        <v>#N/A</v>
      </c>
      <c r="C69" t="e">
        <v>#N/A</v>
      </c>
      <c r="D69" t="e">
        <v>#N/A</v>
      </c>
      <c r="E69" t="e">
        <v>#N/A</v>
      </c>
      <c r="F69">
        <v>115.9</v>
      </c>
      <c r="G69" s="4">
        <v>79.7</v>
      </c>
      <c r="H69">
        <v>100.3</v>
      </c>
      <c r="I69">
        <v>106</v>
      </c>
      <c r="J69" t="e">
        <v>#N/A</v>
      </c>
      <c r="K69">
        <v>1.6</v>
      </c>
      <c r="L69">
        <v>77.599999999999994</v>
      </c>
      <c r="M69" s="11">
        <v>22282.220999999998</v>
      </c>
      <c r="O69">
        <v>3.6756462195624499E-2</v>
      </c>
      <c r="P69">
        <v>-14.6</v>
      </c>
    </row>
    <row r="70" spans="1:16" x14ac:dyDescent="0.4">
      <c r="A70" s="1">
        <v>38596</v>
      </c>
      <c r="B70" s="10" t="e">
        <v>#N/A</v>
      </c>
      <c r="C70" t="e">
        <v>#N/A</v>
      </c>
      <c r="D70" t="e">
        <v>#N/A</v>
      </c>
      <c r="E70" t="e">
        <v>#N/A</v>
      </c>
      <c r="F70">
        <v>116.3</v>
      </c>
      <c r="G70" s="4">
        <v>82.5</v>
      </c>
      <c r="H70">
        <v>100.5</v>
      </c>
      <c r="I70">
        <v>106.9</v>
      </c>
      <c r="J70" t="e">
        <v>#N/A</v>
      </c>
      <c r="K70">
        <v>1.6</v>
      </c>
      <c r="L70">
        <v>79</v>
      </c>
      <c r="M70" s="11">
        <v>22378.811000000002</v>
      </c>
      <c r="O70">
        <v>-5.9019153542338998E-2</v>
      </c>
      <c r="P70">
        <v>-15.4</v>
      </c>
    </row>
    <row r="71" spans="1:16" x14ac:dyDescent="0.4">
      <c r="A71" s="1">
        <v>38626</v>
      </c>
      <c r="B71" s="10">
        <v>212955</v>
      </c>
      <c r="C71">
        <v>168965.9</v>
      </c>
      <c r="D71">
        <v>106.5</v>
      </c>
      <c r="E71">
        <v>78.599999999999994</v>
      </c>
      <c r="F71">
        <v>116.5</v>
      </c>
      <c r="G71" s="4">
        <v>82.4</v>
      </c>
      <c r="H71">
        <v>104.4</v>
      </c>
      <c r="I71">
        <v>106.5</v>
      </c>
      <c r="J71">
        <v>221909.2</v>
      </c>
      <c r="K71">
        <v>1.8</v>
      </c>
      <c r="L71">
        <v>80.900000000000006</v>
      </c>
      <c r="M71" s="11">
        <v>22425.561000000002</v>
      </c>
      <c r="O71">
        <v>3.9124501882643201E-2</v>
      </c>
      <c r="P71">
        <v>-12.5</v>
      </c>
    </row>
    <row r="72" spans="1:16" x14ac:dyDescent="0.4">
      <c r="A72" s="1">
        <v>38657</v>
      </c>
      <c r="B72" s="10" t="e">
        <v>#N/A</v>
      </c>
      <c r="C72" t="e">
        <v>#N/A</v>
      </c>
      <c r="D72" t="e">
        <v>#N/A</v>
      </c>
      <c r="E72" t="e">
        <v>#N/A</v>
      </c>
      <c r="F72">
        <v>117.7</v>
      </c>
      <c r="G72" s="4">
        <v>83.7</v>
      </c>
      <c r="H72">
        <v>105.9</v>
      </c>
      <c r="I72">
        <v>106.3</v>
      </c>
      <c r="J72" t="e">
        <v>#N/A</v>
      </c>
      <c r="K72">
        <v>1.7</v>
      </c>
      <c r="L72">
        <v>79.099999999999994</v>
      </c>
      <c r="M72" s="11">
        <v>22451.061000000002</v>
      </c>
      <c r="O72">
        <v>4.62586411771575E-2</v>
      </c>
      <c r="P72">
        <v>-12.9</v>
      </c>
    </row>
    <row r="73" spans="1:16" x14ac:dyDescent="0.4">
      <c r="A73" s="1">
        <v>38687</v>
      </c>
      <c r="B73" s="10" t="e">
        <v>#N/A</v>
      </c>
      <c r="C73" t="e">
        <v>#N/A</v>
      </c>
      <c r="D73" t="e">
        <v>#N/A</v>
      </c>
      <c r="E73" t="e">
        <v>#N/A</v>
      </c>
      <c r="F73">
        <v>115.9</v>
      </c>
      <c r="G73" s="4">
        <v>85.7</v>
      </c>
      <c r="H73">
        <v>105.6</v>
      </c>
      <c r="I73">
        <v>106.3</v>
      </c>
      <c r="J73" t="e">
        <v>#N/A</v>
      </c>
      <c r="K73">
        <v>1.5</v>
      </c>
      <c r="L73">
        <v>78.400000000000006</v>
      </c>
      <c r="M73" s="12">
        <v>22452.726000000002</v>
      </c>
      <c r="O73">
        <v>2.6259835568716E-2</v>
      </c>
      <c r="P73">
        <v>-12.3</v>
      </c>
    </row>
    <row r="74" spans="1:16" x14ac:dyDescent="0.4">
      <c r="A74" s="1">
        <v>38718</v>
      </c>
      <c r="B74" s="10">
        <v>132307</v>
      </c>
      <c r="C74">
        <v>134323</v>
      </c>
      <c r="D74">
        <v>107.1</v>
      </c>
      <c r="E74">
        <v>77.7</v>
      </c>
      <c r="F74">
        <v>116.3</v>
      </c>
      <c r="G74" s="4">
        <v>84.6</v>
      </c>
      <c r="H74">
        <v>108.5</v>
      </c>
      <c r="I74">
        <v>106.8</v>
      </c>
      <c r="J74">
        <v>224824.1</v>
      </c>
      <c r="K74">
        <v>1.4</v>
      </c>
      <c r="L74">
        <v>79.400000000000006</v>
      </c>
      <c r="M74" s="11">
        <v>22521.876</v>
      </c>
      <c r="O74">
        <v>2.6810391350217299E-2</v>
      </c>
      <c r="P74">
        <v>-14</v>
      </c>
    </row>
    <row r="75" spans="1:16" x14ac:dyDescent="0.4">
      <c r="A75" s="1">
        <v>38749</v>
      </c>
      <c r="B75" s="10" t="e">
        <v>#N/A</v>
      </c>
      <c r="C75" t="e">
        <v>#N/A</v>
      </c>
      <c r="D75" t="e">
        <v>#N/A</v>
      </c>
      <c r="E75" t="e">
        <v>#N/A</v>
      </c>
      <c r="F75">
        <v>118.7</v>
      </c>
      <c r="G75" s="4">
        <v>85.8</v>
      </c>
      <c r="H75">
        <v>107.8</v>
      </c>
      <c r="I75">
        <v>106.9</v>
      </c>
      <c r="J75" t="e">
        <v>#N/A</v>
      </c>
      <c r="K75">
        <v>1.4</v>
      </c>
      <c r="L75">
        <v>80.099999999999994</v>
      </c>
      <c r="M75" s="11">
        <v>22590.214</v>
      </c>
      <c r="O75">
        <v>7.35667135391438E-3</v>
      </c>
      <c r="P75">
        <v>-12.8</v>
      </c>
    </row>
    <row r="76" spans="1:16" x14ac:dyDescent="0.4">
      <c r="A76" s="1">
        <v>38777</v>
      </c>
      <c r="B76" s="10" t="e">
        <v>#N/A</v>
      </c>
      <c r="C76" t="e">
        <v>#N/A</v>
      </c>
      <c r="D76" t="e">
        <v>#N/A</v>
      </c>
      <c r="E76" t="e">
        <v>#N/A</v>
      </c>
      <c r="F76">
        <v>119.3</v>
      </c>
      <c r="G76" s="4">
        <v>86.6</v>
      </c>
      <c r="H76">
        <v>109.3</v>
      </c>
      <c r="I76">
        <v>106.6</v>
      </c>
      <c r="J76" t="e">
        <v>#N/A</v>
      </c>
      <c r="K76">
        <v>1.7</v>
      </c>
      <c r="L76">
        <v>80.5</v>
      </c>
      <c r="M76" s="11">
        <v>22659.743000000002</v>
      </c>
      <c r="O76">
        <v>-4.09506391214265E-3</v>
      </c>
      <c r="P76">
        <v>-11</v>
      </c>
    </row>
    <row r="77" spans="1:16" x14ac:dyDescent="0.4">
      <c r="A77" s="1">
        <v>38808</v>
      </c>
      <c r="B77" s="10">
        <v>174216</v>
      </c>
      <c r="C77">
        <v>148311.6</v>
      </c>
      <c r="D77">
        <v>108.1</v>
      </c>
      <c r="E77">
        <v>79.400000000000006</v>
      </c>
      <c r="F77">
        <v>118.2</v>
      </c>
      <c r="G77" s="5">
        <v>86</v>
      </c>
      <c r="H77">
        <v>111.2</v>
      </c>
      <c r="I77">
        <v>106.9</v>
      </c>
      <c r="J77">
        <v>226613.6</v>
      </c>
      <c r="K77">
        <v>1.7</v>
      </c>
      <c r="L77">
        <v>82.4</v>
      </c>
      <c r="M77" s="11">
        <v>22713.837</v>
      </c>
      <c r="O77">
        <v>-3.5653103233006099E-2</v>
      </c>
      <c r="P77">
        <v>-11.4</v>
      </c>
    </row>
    <row r="78" spans="1:16" x14ac:dyDescent="0.4">
      <c r="A78" s="1">
        <v>38838</v>
      </c>
      <c r="B78" s="10" t="e">
        <v>#N/A</v>
      </c>
      <c r="C78" t="e">
        <v>#N/A</v>
      </c>
      <c r="D78" t="e">
        <v>#N/A</v>
      </c>
      <c r="E78" t="e">
        <v>#N/A</v>
      </c>
      <c r="F78">
        <v>121.1</v>
      </c>
      <c r="G78" s="4">
        <v>88.3</v>
      </c>
      <c r="H78">
        <v>110.9</v>
      </c>
      <c r="I78">
        <v>106.7</v>
      </c>
      <c r="J78" t="e">
        <v>#N/A</v>
      </c>
      <c r="K78">
        <v>1.7</v>
      </c>
      <c r="L78">
        <v>83.2</v>
      </c>
      <c r="M78" s="11">
        <v>22710.061999999998</v>
      </c>
      <c r="O78">
        <v>-1.6462260305516501E-4</v>
      </c>
      <c r="P78">
        <v>-9.8000000000000007</v>
      </c>
    </row>
    <row r="79" spans="1:16" x14ac:dyDescent="0.4">
      <c r="A79" s="1">
        <v>38869</v>
      </c>
      <c r="B79" s="10" t="e">
        <v>#N/A</v>
      </c>
      <c r="C79" t="e">
        <v>#N/A</v>
      </c>
      <c r="D79" t="e">
        <v>#N/A</v>
      </c>
      <c r="E79" t="e">
        <v>#N/A</v>
      </c>
      <c r="F79">
        <v>121.3</v>
      </c>
      <c r="G79" s="4">
        <v>88.4</v>
      </c>
      <c r="H79">
        <v>112.6</v>
      </c>
      <c r="I79">
        <v>107.3</v>
      </c>
      <c r="J79" t="e">
        <v>#N/A</v>
      </c>
      <c r="K79">
        <v>1.6</v>
      </c>
      <c r="L79">
        <v>83</v>
      </c>
      <c r="M79" s="11">
        <v>22719.417999999998</v>
      </c>
      <c r="O79">
        <v>4.4353255461580003E-3</v>
      </c>
      <c r="P79">
        <v>-12.4</v>
      </c>
    </row>
    <row r="80" spans="1:16" x14ac:dyDescent="0.4">
      <c r="A80" s="1">
        <v>38899</v>
      </c>
      <c r="B80" s="10">
        <v>155954</v>
      </c>
      <c r="C80">
        <v>138140.9</v>
      </c>
      <c r="D80">
        <v>108.4</v>
      </c>
      <c r="E80">
        <v>79.2</v>
      </c>
      <c r="F80">
        <v>119.5</v>
      </c>
      <c r="G80" s="4">
        <v>86.6</v>
      </c>
      <c r="H80">
        <v>110.5</v>
      </c>
      <c r="I80">
        <v>107.3</v>
      </c>
      <c r="J80">
        <v>228498.4</v>
      </c>
      <c r="K80">
        <v>1.5</v>
      </c>
      <c r="L80">
        <v>85.2</v>
      </c>
      <c r="M80" s="11">
        <v>22667.141</v>
      </c>
      <c r="O80">
        <v>3.57410869067607E-2</v>
      </c>
      <c r="P80">
        <v>-9.9</v>
      </c>
    </row>
    <row r="81" spans="1:16" x14ac:dyDescent="0.4">
      <c r="A81" s="1">
        <v>38930</v>
      </c>
      <c r="B81" s="10" t="e">
        <v>#N/A</v>
      </c>
      <c r="C81" t="e">
        <v>#N/A</v>
      </c>
      <c r="D81" t="e">
        <v>#N/A</v>
      </c>
      <c r="E81" t="e">
        <v>#N/A</v>
      </c>
      <c r="F81">
        <v>121.3</v>
      </c>
      <c r="G81" s="4">
        <v>88.6</v>
      </c>
      <c r="H81">
        <v>110.8</v>
      </c>
      <c r="I81">
        <v>107</v>
      </c>
      <c r="J81" t="e">
        <v>#N/A</v>
      </c>
      <c r="K81">
        <v>1.7</v>
      </c>
      <c r="L81">
        <v>85.7</v>
      </c>
      <c r="M81" s="11">
        <v>22652.587</v>
      </c>
      <c r="O81">
        <v>1.40554314204113E-2</v>
      </c>
      <c r="P81">
        <v>-10.9</v>
      </c>
    </row>
    <row r="82" spans="1:16" x14ac:dyDescent="0.4">
      <c r="A82" s="1">
        <v>38961</v>
      </c>
      <c r="B82" s="10" t="e">
        <v>#N/A</v>
      </c>
      <c r="C82" t="e">
        <v>#N/A</v>
      </c>
      <c r="D82" t="e">
        <v>#N/A</v>
      </c>
      <c r="E82" t="e">
        <v>#N/A</v>
      </c>
      <c r="F82">
        <v>121</v>
      </c>
      <c r="G82" s="4">
        <v>88.9</v>
      </c>
      <c r="H82">
        <v>112.7</v>
      </c>
      <c r="I82">
        <v>106.6</v>
      </c>
      <c r="J82" t="e">
        <v>#N/A</v>
      </c>
      <c r="K82">
        <v>2</v>
      </c>
      <c r="L82">
        <v>83.7</v>
      </c>
      <c r="M82" s="11">
        <v>22684.095999999998</v>
      </c>
      <c r="O82">
        <v>2.7759269634275399E-2</v>
      </c>
      <c r="P82">
        <v>-8.1</v>
      </c>
    </row>
    <row r="83" spans="1:16" x14ac:dyDescent="0.4">
      <c r="A83" s="1">
        <v>38991</v>
      </c>
      <c r="B83" s="10">
        <v>223154</v>
      </c>
      <c r="C83">
        <v>171325.8</v>
      </c>
      <c r="D83">
        <v>109.4</v>
      </c>
      <c r="E83">
        <v>78.8</v>
      </c>
      <c r="F83">
        <v>121.2</v>
      </c>
      <c r="G83" s="4">
        <v>91.2</v>
      </c>
      <c r="H83">
        <v>110.1</v>
      </c>
      <c r="I83">
        <v>107.6</v>
      </c>
      <c r="J83">
        <v>230534.1</v>
      </c>
      <c r="K83">
        <v>2</v>
      </c>
      <c r="L83">
        <v>82.1</v>
      </c>
      <c r="M83" s="11">
        <v>22665.629000000001</v>
      </c>
      <c r="O83">
        <v>1.7838825504144399E-2</v>
      </c>
      <c r="P83">
        <v>-11.2</v>
      </c>
    </row>
    <row r="84" spans="1:16" x14ac:dyDescent="0.4">
      <c r="A84" s="1">
        <v>39022</v>
      </c>
      <c r="B84" s="10" t="e">
        <v>#N/A</v>
      </c>
      <c r="C84" t="e">
        <v>#N/A</v>
      </c>
      <c r="D84" t="e">
        <v>#N/A</v>
      </c>
      <c r="E84" t="e">
        <v>#N/A</v>
      </c>
      <c r="F84">
        <v>121.2</v>
      </c>
      <c r="G84" s="4">
        <v>90.8</v>
      </c>
      <c r="H84">
        <v>109</v>
      </c>
      <c r="I84">
        <v>107.3</v>
      </c>
      <c r="J84" t="e">
        <v>#N/A</v>
      </c>
      <c r="K84">
        <v>2</v>
      </c>
      <c r="L84">
        <v>81.900000000000006</v>
      </c>
      <c r="M84" s="11">
        <v>22711.726000000002</v>
      </c>
      <c r="O84">
        <v>2.8495024960335499E-2</v>
      </c>
      <c r="P84">
        <v>-11.1</v>
      </c>
    </row>
    <row r="85" spans="1:16" x14ac:dyDescent="0.4">
      <c r="A85" s="1">
        <v>39052</v>
      </c>
      <c r="B85" s="10" t="e">
        <v>#N/A</v>
      </c>
      <c r="C85" t="e">
        <v>#N/A</v>
      </c>
      <c r="D85" t="e">
        <v>#N/A</v>
      </c>
      <c r="E85" t="e">
        <v>#N/A</v>
      </c>
      <c r="F85">
        <v>123.4</v>
      </c>
      <c r="G85" s="4">
        <v>93.7</v>
      </c>
      <c r="H85">
        <v>111.7</v>
      </c>
      <c r="I85">
        <v>107.7</v>
      </c>
      <c r="J85" t="e">
        <v>#N/A</v>
      </c>
      <c r="K85">
        <v>2</v>
      </c>
      <c r="L85">
        <v>81.8</v>
      </c>
      <c r="M85" s="12">
        <v>22729.974000000002</v>
      </c>
      <c r="O85">
        <v>1.8247328643857599E-2</v>
      </c>
      <c r="P85">
        <v>-7.3</v>
      </c>
    </row>
    <row r="86" spans="1:16" x14ac:dyDescent="0.4">
      <c r="A86" s="1">
        <v>39083</v>
      </c>
      <c r="B86" s="10">
        <v>137847</v>
      </c>
      <c r="C86">
        <v>139216.6</v>
      </c>
      <c r="D86">
        <v>108.9</v>
      </c>
      <c r="E86">
        <v>78.7</v>
      </c>
      <c r="F86">
        <v>122</v>
      </c>
      <c r="G86" s="4">
        <v>92.3</v>
      </c>
      <c r="H86">
        <v>107</v>
      </c>
      <c r="I86">
        <v>107.1</v>
      </c>
      <c r="J86">
        <v>232658.6</v>
      </c>
      <c r="K86">
        <v>1.9</v>
      </c>
      <c r="L86">
        <v>81.8</v>
      </c>
      <c r="M86" s="11">
        <v>22643.730000000003</v>
      </c>
      <c r="O86">
        <v>-2.5003702042948099E-2</v>
      </c>
      <c r="P86">
        <v>-11</v>
      </c>
    </row>
    <row r="87" spans="1:16" x14ac:dyDescent="0.4">
      <c r="A87" s="1">
        <v>39114</v>
      </c>
      <c r="B87" s="10" t="e">
        <v>#N/A</v>
      </c>
      <c r="C87" t="e">
        <v>#N/A</v>
      </c>
      <c r="D87" t="e">
        <v>#N/A</v>
      </c>
      <c r="E87" t="e">
        <v>#N/A</v>
      </c>
      <c r="F87">
        <v>122.9</v>
      </c>
      <c r="G87" s="4">
        <v>92.1</v>
      </c>
      <c r="H87">
        <v>111.1</v>
      </c>
      <c r="I87">
        <v>106.5</v>
      </c>
      <c r="J87" t="e">
        <v>#N/A</v>
      </c>
      <c r="K87">
        <v>2.2999999999999998</v>
      </c>
      <c r="L87">
        <v>81.2</v>
      </c>
      <c r="M87" s="11">
        <v>22685.045999999998</v>
      </c>
      <c r="O87">
        <v>1.48568924251489E-2</v>
      </c>
      <c r="P87">
        <v>-10.8</v>
      </c>
    </row>
    <row r="88" spans="1:16" x14ac:dyDescent="0.4">
      <c r="A88" s="1">
        <v>39142</v>
      </c>
      <c r="B88" s="10" t="e">
        <v>#N/A</v>
      </c>
      <c r="C88" t="e">
        <v>#N/A</v>
      </c>
      <c r="D88" t="e">
        <v>#N/A</v>
      </c>
      <c r="E88" t="e">
        <v>#N/A</v>
      </c>
      <c r="F88">
        <v>123.8</v>
      </c>
      <c r="G88" s="4">
        <v>93.2</v>
      </c>
      <c r="H88">
        <v>112.5</v>
      </c>
      <c r="I88">
        <v>108.1</v>
      </c>
      <c r="J88" t="e">
        <v>#N/A</v>
      </c>
      <c r="K88">
        <v>2.1</v>
      </c>
      <c r="L88">
        <v>81.900000000000006</v>
      </c>
      <c r="M88" s="11">
        <v>22667.919999999998</v>
      </c>
      <c r="O88">
        <v>4.6403573138038098E-2</v>
      </c>
      <c r="P88">
        <v>-10</v>
      </c>
    </row>
    <row r="89" spans="1:16" x14ac:dyDescent="0.4">
      <c r="A89" s="1">
        <v>39173</v>
      </c>
      <c r="B89" s="10">
        <v>181902</v>
      </c>
      <c r="C89">
        <v>152812.4</v>
      </c>
      <c r="D89">
        <v>109</v>
      </c>
      <c r="E89">
        <v>79.7</v>
      </c>
      <c r="F89">
        <v>121.4</v>
      </c>
      <c r="G89" s="4">
        <v>91.8</v>
      </c>
      <c r="H89">
        <v>112.4</v>
      </c>
      <c r="I89">
        <v>106.8</v>
      </c>
      <c r="J89">
        <v>235401.9</v>
      </c>
      <c r="K89">
        <v>2</v>
      </c>
      <c r="L89">
        <v>82.3</v>
      </c>
      <c r="M89" s="11">
        <v>22744.311000000002</v>
      </c>
      <c r="O89">
        <v>-1.5570252596692299E-2</v>
      </c>
      <c r="P89">
        <v>-12.1</v>
      </c>
    </row>
    <row r="90" spans="1:16" x14ac:dyDescent="0.4">
      <c r="A90" s="1">
        <v>39203</v>
      </c>
      <c r="B90" s="10" t="e">
        <v>#N/A</v>
      </c>
      <c r="C90" t="e">
        <v>#N/A</v>
      </c>
      <c r="D90" t="e">
        <v>#N/A</v>
      </c>
      <c r="E90" t="e">
        <v>#N/A</v>
      </c>
      <c r="F90">
        <v>123.9</v>
      </c>
      <c r="G90" s="4">
        <v>94.7</v>
      </c>
      <c r="H90">
        <v>109.6</v>
      </c>
      <c r="I90">
        <v>107.3</v>
      </c>
      <c r="J90" t="e">
        <v>#N/A</v>
      </c>
      <c r="K90">
        <v>2.1</v>
      </c>
      <c r="L90">
        <v>83.1</v>
      </c>
      <c r="M90" s="11">
        <v>22793.154000000002</v>
      </c>
      <c r="O90">
        <v>-2.6461859414503401E-2</v>
      </c>
      <c r="P90">
        <v>-12.7</v>
      </c>
    </row>
    <row r="91" spans="1:16" x14ac:dyDescent="0.4">
      <c r="A91" s="1">
        <v>39234</v>
      </c>
      <c r="B91" s="10" t="e">
        <v>#N/A</v>
      </c>
      <c r="C91" t="e">
        <v>#N/A</v>
      </c>
      <c r="D91" t="e">
        <v>#N/A</v>
      </c>
      <c r="E91" t="e">
        <v>#N/A</v>
      </c>
      <c r="F91">
        <v>123.2</v>
      </c>
      <c r="G91" s="4">
        <v>92.6</v>
      </c>
      <c r="H91">
        <v>107.4</v>
      </c>
      <c r="I91">
        <v>107.2</v>
      </c>
      <c r="J91" t="e">
        <v>#N/A</v>
      </c>
      <c r="K91">
        <v>2.1</v>
      </c>
      <c r="L91">
        <v>84.1</v>
      </c>
      <c r="M91" s="11">
        <v>22874.163</v>
      </c>
      <c r="O91">
        <v>-4.21845326890651E-2</v>
      </c>
      <c r="P91">
        <v>-15.3</v>
      </c>
    </row>
    <row r="92" spans="1:16" x14ac:dyDescent="0.4">
      <c r="A92" s="1">
        <v>39264</v>
      </c>
      <c r="B92" s="10">
        <v>171824</v>
      </c>
      <c r="C92">
        <v>142176.9</v>
      </c>
      <c r="D92">
        <v>110.1</v>
      </c>
      <c r="E92">
        <v>79.900000000000006</v>
      </c>
      <c r="F92">
        <v>122.4</v>
      </c>
      <c r="G92" s="4">
        <v>93.7</v>
      </c>
      <c r="H92">
        <v>106</v>
      </c>
      <c r="I92">
        <v>106.8</v>
      </c>
      <c r="J92">
        <v>236112.9</v>
      </c>
      <c r="K92">
        <v>1.9</v>
      </c>
      <c r="L92">
        <v>84.4</v>
      </c>
      <c r="M92" s="11">
        <v>22946.152999999998</v>
      </c>
      <c r="O92">
        <v>-8.4568704671994499E-4</v>
      </c>
      <c r="P92">
        <v>-14.1</v>
      </c>
    </row>
    <row r="93" spans="1:16" x14ac:dyDescent="0.4">
      <c r="A93" s="1">
        <v>39295</v>
      </c>
      <c r="B93" s="10" t="e">
        <v>#N/A</v>
      </c>
      <c r="C93" t="e">
        <v>#N/A</v>
      </c>
      <c r="D93" t="e">
        <v>#N/A</v>
      </c>
      <c r="E93" t="e">
        <v>#N/A</v>
      </c>
      <c r="F93">
        <v>127.2</v>
      </c>
      <c r="G93" s="4">
        <v>94.9</v>
      </c>
      <c r="H93">
        <v>106.1</v>
      </c>
      <c r="I93">
        <v>107.4</v>
      </c>
      <c r="J93" t="e">
        <v>#N/A</v>
      </c>
      <c r="K93">
        <v>2</v>
      </c>
      <c r="L93">
        <v>83.9</v>
      </c>
      <c r="M93" s="11">
        <v>22847.029000000002</v>
      </c>
      <c r="O93">
        <v>-7.4429635773132202E-3</v>
      </c>
      <c r="P93">
        <v>-14.9</v>
      </c>
    </row>
    <row r="94" spans="1:16" x14ac:dyDescent="0.4">
      <c r="A94" s="1">
        <v>39326</v>
      </c>
      <c r="B94" s="10" t="e">
        <v>#N/A</v>
      </c>
      <c r="C94" t="e">
        <v>#N/A</v>
      </c>
      <c r="D94" t="e">
        <v>#N/A</v>
      </c>
      <c r="E94" t="e">
        <v>#N/A</v>
      </c>
      <c r="F94">
        <v>123.8</v>
      </c>
      <c r="G94" s="4">
        <v>93.3</v>
      </c>
      <c r="H94">
        <v>104.5</v>
      </c>
      <c r="I94">
        <v>106.6</v>
      </c>
      <c r="J94" t="e">
        <v>#N/A</v>
      </c>
      <c r="K94">
        <v>2</v>
      </c>
      <c r="L94">
        <v>83.6</v>
      </c>
      <c r="M94" s="11">
        <v>22945.52</v>
      </c>
      <c r="O94">
        <v>1.54976298582099E-2</v>
      </c>
      <c r="P94">
        <v>-14.8</v>
      </c>
    </row>
    <row r="95" spans="1:16" x14ac:dyDescent="0.4">
      <c r="A95" s="1">
        <v>39356</v>
      </c>
      <c r="B95" s="10">
        <v>242649</v>
      </c>
      <c r="C95">
        <v>180692.6</v>
      </c>
      <c r="D95">
        <v>109.8</v>
      </c>
      <c r="E95">
        <v>81.900000000000006</v>
      </c>
      <c r="F95">
        <v>122.6</v>
      </c>
      <c r="G95" s="4">
        <v>95.3</v>
      </c>
      <c r="H95">
        <v>102.7</v>
      </c>
      <c r="I95">
        <v>106.2</v>
      </c>
      <c r="J95">
        <v>237795.7</v>
      </c>
      <c r="K95">
        <v>2.2000000000000002</v>
      </c>
      <c r="L95">
        <v>84.6</v>
      </c>
      <c r="M95" s="11">
        <v>22891.876</v>
      </c>
      <c r="O95">
        <v>-3.8677811577869599E-2</v>
      </c>
      <c r="P95">
        <v>-14.6</v>
      </c>
    </row>
    <row r="96" spans="1:16" x14ac:dyDescent="0.4">
      <c r="A96" s="1">
        <v>39387</v>
      </c>
      <c r="B96" s="10" t="e">
        <v>#N/A</v>
      </c>
      <c r="C96" t="e">
        <v>#N/A</v>
      </c>
      <c r="D96" t="e">
        <v>#N/A</v>
      </c>
      <c r="E96" t="e">
        <v>#N/A</v>
      </c>
      <c r="F96">
        <v>121</v>
      </c>
      <c r="G96" s="4">
        <v>94.8</v>
      </c>
      <c r="H96">
        <v>104.1</v>
      </c>
      <c r="I96">
        <v>106.6</v>
      </c>
      <c r="J96" t="e">
        <v>#N/A</v>
      </c>
      <c r="K96">
        <v>2.2999999999999998</v>
      </c>
      <c r="L96">
        <v>86.1</v>
      </c>
      <c r="M96" s="11">
        <v>22994.446</v>
      </c>
      <c r="O96">
        <v>-1.0860558968440501E-2</v>
      </c>
      <c r="P96">
        <v>-15.9</v>
      </c>
    </row>
    <row r="97" spans="1:16" x14ac:dyDescent="0.4">
      <c r="A97" s="1">
        <v>39417</v>
      </c>
      <c r="B97" s="10" t="e">
        <v>#N/A</v>
      </c>
      <c r="C97" t="e">
        <v>#N/A</v>
      </c>
      <c r="D97" t="e">
        <v>#N/A</v>
      </c>
      <c r="E97" t="e">
        <v>#N/A</v>
      </c>
      <c r="F97">
        <v>121.8</v>
      </c>
      <c r="G97" s="4">
        <v>91.4</v>
      </c>
      <c r="H97">
        <v>103.4</v>
      </c>
      <c r="I97">
        <v>106</v>
      </c>
      <c r="J97" t="e">
        <v>#N/A</v>
      </c>
      <c r="K97">
        <v>2.4</v>
      </c>
      <c r="L97">
        <v>87.1</v>
      </c>
      <c r="M97" s="12">
        <v>22977.345999999998</v>
      </c>
      <c r="O97">
        <v>-0.11895740343330601</v>
      </c>
      <c r="P97">
        <v>-16.399999999999999</v>
      </c>
    </row>
    <row r="98" spans="1:16" x14ac:dyDescent="0.4">
      <c r="A98" s="1">
        <v>39448</v>
      </c>
      <c r="B98" s="10">
        <v>146807</v>
      </c>
      <c r="C98">
        <v>146520.79999999999</v>
      </c>
      <c r="D98">
        <v>110.3</v>
      </c>
      <c r="E98">
        <v>82.1</v>
      </c>
      <c r="F98">
        <v>124.5</v>
      </c>
      <c r="G98" s="4">
        <v>99.1</v>
      </c>
      <c r="H98">
        <v>101.3</v>
      </c>
      <c r="I98">
        <v>105.4</v>
      </c>
      <c r="J98">
        <v>240518.5</v>
      </c>
      <c r="K98">
        <v>2.7</v>
      </c>
      <c r="L98">
        <v>88.5</v>
      </c>
      <c r="M98" s="11">
        <v>23025.513999999999</v>
      </c>
      <c r="O98">
        <v>-1.89633652017989E-2</v>
      </c>
      <c r="P98">
        <v>-17.8</v>
      </c>
    </row>
    <row r="99" spans="1:16" x14ac:dyDescent="0.4">
      <c r="A99" s="1">
        <v>39479</v>
      </c>
      <c r="B99" s="10" t="e">
        <v>#N/A</v>
      </c>
      <c r="C99" t="e">
        <v>#N/A</v>
      </c>
      <c r="D99" t="e">
        <v>#N/A</v>
      </c>
      <c r="E99" t="e">
        <v>#N/A</v>
      </c>
      <c r="F99">
        <v>123.6</v>
      </c>
      <c r="G99" s="4">
        <v>98.3</v>
      </c>
      <c r="H99">
        <v>100.1</v>
      </c>
      <c r="I99">
        <v>105.4</v>
      </c>
      <c r="J99" t="e">
        <v>#N/A</v>
      </c>
      <c r="K99">
        <v>2.6</v>
      </c>
      <c r="L99">
        <v>88.5</v>
      </c>
      <c r="M99" s="11">
        <v>23029.114999999998</v>
      </c>
      <c r="O99">
        <v>-6.0475765774837598E-2</v>
      </c>
      <c r="P99">
        <v>-17.3</v>
      </c>
    </row>
    <row r="100" spans="1:16" x14ac:dyDescent="0.4">
      <c r="A100" s="1">
        <v>39508</v>
      </c>
      <c r="B100" s="10" t="e">
        <v>#N/A</v>
      </c>
      <c r="C100" t="e">
        <v>#N/A</v>
      </c>
      <c r="D100" t="e">
        <v>#N/A</v>
      </c>
      <c r="E100" t="e">
        <v>#N/A</v>
      </c>
      <c r="F100">
        <v>124.3</v>
      </c>
      <c r="G100" s="4">
        <v>97.3</v>
      </c>
      <c r="H100">
        <v>99</v>
      </c>
      <c r="I100">
        <v>104.3</v>
      </c>
      <c r="J100" t="e">
        <v>#N/A</v>
      </c>
      <c r="K100">
        <v>3</v>
      </c>
      <c r="L100">
        <v>89.9</v>
      </c>
      <c r="M100" s="11">
        <v>23049.053</v>
      </c>
      <c r="O100">
        <v>7.1343345822985099E-2</v>
      </c>
      <c r="P100">
        <v>-18.2</v>
      </c>
    </row>
    <row r="101" spans="1:16" x14ac:dyDescent="0.4">
      <c r="A101" s="1">
        <v>39539</v>
      </c>
      <c r="B101" s="10">
        <v>183524</v>
      </c>
      <c r="C101">
        <v>158650.20000000001</v>
      </c>
      <c r="D101">
        <v>109.3</v>
      </c>
      <c r="E101">
        <v>82.6</v>
      </c>
      <c r="F101">
        <v>125.6</v>
      </c>
      <c r="G101" s="4">
        <v>97.7</v>
      </c>
      <c r="H101">
        <v>98</v>
      </c>
      <c r="I101">
        <v>105</v>
      </c>
      <c r="J101">
        <v>241817.9</v>
      </c>
      <c r="K101">
        <v>2.9</v>
      </c>
      <c r="L101">
        <v>90.9</v>
      </c>
      <c r="M101" s="11">
        <v>23150.094000000001</v>
      </c>
      <c r="O101">
        <v>-2.1704062789133598E-2</v>
      </c>
      <c r="P101">
        <v>-17.2</v>
      </c>
    </row>
    <row r="102" spans="1:16" x14ac:dyDescent="0.4">
      <c r="A102" s="1">
        <v>39569</v>
      </c>
      <c r="B102" s="10" t="e">
        <v>#N/A</v>
      </c>
      <c r="C102" t="e">
        <v>#N/A</v>
      </c>
      <c r="D102" t="e">
        <v>#N/A</v>
      </c>
      <c r="E102" t="e">
        <v>#N/A</v>
      </c>
      <c r="F102">
        <v>121</v>
      </c>
      <c r="G102" s="4">
        <v>96.5</v>
      </c>
      <c r="H102">
        <v>100.3</v>
      </c>
      <c r="I102">
        <v>105</v>
      </c>
      <c r="J102" t="e">
        <v>#N/A</v>
      </c>
      <c r="K102">
        <v>2.8</v>
      </c>
      <c r="L102">
        <v>93.9</v>
      </c>
      <c r="M102" s="11">
        <v>23095.101999999999</v>
      </c>
      <c r="O102">
        <v>-0.12414635381403399</v>
      </c>
      <c r="P102">
        <v>-14</v>
      </c>
    </row>
    <row r="103" spans="1:16" x14ac:dyDescent="0.4">
      <c r="A103" s="1">
        <v>39600</v>
      </c>
      <c r="B103" s="10" t="e">
        <v>#N/A</v>
      </c>
      <c r="C103" t="e">
        <v>#N/A</v>
      </c>
      <c r="D103" t="e">
        <v>#N/A</v>
      </c>
      <c r="E103" t="e">
        <v>#N/A</v>
      </c>
      <c r="F103">
        <v>122.3</v>
      </c>
      <c r="G103" s="4">
        <v>99.8</v>
      </c>
      <c r="H103">
        <v>96.9</v>
      </c>
      <c r="I103">
        <v>104.2</v>
      </c>
      <c r="J103" t="e">
        <v>#N/A</v>
      </c>
      <c r="K103">
        <v>3.1</v>
      </c>
      <c r="L103">
        <v>96.5</v>
      </c>
      <c r="M103" s="11">
        <v>23057.073</v>
      </c>
      <c r="O103">
        <v>-3.5199639295434799E-2</v>
      </c>
      <c r="P103">
        <v>-17</v>
      </c>
    </row>
    <row r="104" spans="1:16" x14ac:dyDescent="0.4">
      <c r="A104" s="1">
        <v>39630</v>
      </c>
      <c r="B104" s="10">
        <v>175805</v>
      </c>
      <c r="C104">
        <v>149064.20000000001</v>
      </c>
      <c r="D104">
        <v>109</v>
      </c>
      <c r="E104">
        <v>83.6</v>
      </c>
      <c r="F104">
        <v>118.4</v>
      </c>
      <c r="G104" s="4">
        <v>97.4</v>
      </c>
      <c r="H104">
        <v>91.5</v>
      </c>
      <c r="I104">
        <v>104.3</v>
      </c>
      <c r="J104">
        <v>241586.5</v>
      </c>
      <c r="K104">
        <v>3</v>
      </c>
      <c r="L104">
        <v>98.4</v>
      </c>
      <c r="M104" s="11">
        <v>23064.415999999997</v>
      </c>
      <c r="O104">
        <v>1.6036758248258599E-2</v>
      </c>
      <c r="P104">
        <v>-21.7</v>
      </c>
    </row>
    <row r="105" spans="1:16" x14ac:dyDescent="0.4">
      <c r="A105" s="1">
        <v>39661</v>
      </c>
      <c r="B105" s="10" t="e">
        <v>#N/A</v>
      </c>
      <c r="C105" t="e">
        <v>#N/A</v>
      </c>
      <c r="D105" t="e">
        <v>#N/A</v>
      </c>
      <c r="E105" t="e">
        <v>#N/A</v>
      </c>
      <c r="F105">
        <v>115.8</v>
      </c>
      <c r="G105" s="4">
        <v>92.4</v>
      </c>
      <c r="H105">
        <v>92.4</v>
      </c>
      <c r="I105">
        <v>103.6</v>
      </c>
      <c r="J105" t="e">
        <v>#N/A</v>
      </c>
      <c r="K105">
        <v>3.3</v>
      </c>
      <c r="L105">
        <v>96</v>
      </c>
      <c r="M105" s="11">
        <v>23038.868000000002</v>
      </c>
      <c r="O105">
        <v>-0.120139138484706</v>
      </c>
      <c r="P105">
        <v>-18.5</v>
      </c>
    </row>
    <row r="106" spans="1:16" x14ac:dyDescent="0.4">
      <c r="A106" s="1">
        <v>39692</v>
      </c>
      <c r="B106" s="10" t="e">
        <v>#N/A</v>
      </c>
      <c r="C106" t="e">
        <v>#N/A</v>
      </c>
      <c r="D106" t="e">
        <v>#N/A</v>
      </c>
      <c r="E106" t="e">
        <v>#N/A</v>
      </c>
      <c r="F106">
        <v>114.9</v>
      </c>
      <c r="G106" s="4">
        <v>94.6</v>
      </c>
      <c r="H106">
        <v>93.7</v>
      </c>
      <c r="I106">
        <v>103.8</v>
      </c>
      <c r="J106" t="e">
        <v>#N/A</v>
      </c>
      <c r="K106">
        <v>3.1</v>
      </c>
      <c r="L106">
        <v>94.9</v>
      </c>
      <c r="M106" s="11">
        <v>23007.811999999998</v>
      </c>
      <c r="O106">
        <v>-0.17800655549254099</v>
      </c>
      <c r="P106">
        <v>-15.5</v>
      </c>
    </row>
    <row r="107" spans="1:16" x14ac:dyDescent="0.4">
      <c r="A107" s="1">
        <v>39722</v>
      </c>
      <c r="B107" s="10">
        <v>236281</v>
      </c>
      <c r="C107">
        <v>182467.6</v>
      </c>
      <c r="D107">
        <v>107.8</v>
      </c>
      <c r="E107">
        <v>84.4</v>
      </c>
      <c r="F107">
        <v>112.5</v>
      </c>
      <c r="G107" s="5">
        <v>91</v>
      </c>
      <c r="H107">
        <v>89.6</v>
      </c>
      <c r="I107">
        <v>102.2</v>
      </c>
      <c r="J107">
        <v>238114.6</v>
      </c>
      <c r="K107">
        <v>3</v>
      </c>
      <c r="L107">
        <v>93.4</v>
      </c>
      <c r="M107" s="11">
        <v>23004.741000000002</v>
      </c>
      <c r="O107">
        <v>-6.6865683597564299E-2</v>
      </c>
      <c r="P107">
        <v>-14.5</v>
      </c>
    </row>
    <row r="108" spans="1:16" x14ac:dyDescent="0.4">
      <c r="A108" s="1">
        <v>39753</v>
      </c>
      <c r="B108" s="10" t="e">
        <v>#N/A</v>
      </c>
      <c r="C108" t="e">
        <v>#N/A</v>
      </c>
      <c r="D108" t="e">
        <v>#N/A</v>
      </c>
      <c r="E108" t="e">
        <v>#N/A</v>
      </c>
      <c r="F108">
        <v>108.6</v>
      </c>
      <c r="G108" s="4">
        <v>84.9</v>
      </c>
      <c r="H108">
        <v>82.2</v>
      </c>
      <c r="I108">
        <v>103.5</v>
      </c>
      <c r="J108" t="e">
        <v>#N/A</v>
      </c>
      <c r="K108">
        <v>2.8</v>
      </c>
      <c r="L108">
        <v>88.9</v>
      </c>
      <c r="M108" s="11">
        <v>22888.2</v>
      </c>
      <c r="O108">
        <v>-2.6620915405429098E-2</v>
      </c>
      <c r="P108">
        <v>-16.8</v>
      </c>
    </row>
    <row r="109" spans="1:16" x14ac:dyDescent="0.4">
      <c r="A109" s="1">
        <v>39783</v>
      </c>
      <c r="B109" s="10" t="e">
        <v>#N/A</v>
      </c>
      <c r="C109" t="e">
        <v>#N/A</v>
      </c>
      <c r="D109" t="e">
        <v>#N/A</v>
      </c>
      <c r="E109" t="e">
        <v>#N/A</v>
      </c>
      <c r="F109">
        <v>103.9</v>
      </c>
      <c r="G109" s="4">
        <v>81.599999999999994</v>
      </c>
      <c r="H109">
        <v>77.2</v>
      </c>
      <c r="I109">
        <v>102.2</v>
      </c>
      <c r="J109" t="e">
        <v>#N/A</v>
      </c>
      <c r="K109">
        <v>2.7</v>
      </c>
      <c r="L109">
        <v>85.9</v>
      </c>
      <c r="M109" s="12">
        <v>22861.498</v>
      </c>
      <c r="O109">
        <v>-8.1662724228001707E-2</v>
      </c>
      <c r="P109">
        <v>-17.3</v>
      </c>
    </row>
    <row r="110" spans="1:16" x14ac:dyDescent="0.4">
      <c r="A110" s="1">
        <v>39814</v>
      </c>
      <c r="B110" s="10">
        <v>143366</v>
      </c>
      <c r="C110">
        <v>145370.20000000001</v>
      </c>
      <c r="D110">
        <v>105.9</v>
      </c>
      <c r="E110">
        <v>85</v>
      </c>
      <c r="F110">
        <v>100.1</v>
      </c>
      <c r="G110" s="4">
        <v>78.2</v>
      </c>
      <c r="H110">
        <v>76.8</v>
      </c>
      <c r="I110">
        <v>102.2</v>
      </c>
      <c r="J110">
        <v>235124.2</v>
      </c>
      <c r="K110">
        <v>1.9</v>
      </c>
      <c r="L110">
        <v>83.7</v>
      </c>
      <c r="M110" s="11">
        <v>22753.813999999998</v>
      </c>
      <c r="O110">
        <v>-0.16002268730448099</v>
      </c>
      <c r="P110">
        <v>-16.899999999999999</v>
      </c>
    </row>
    <row r="111" spans="1:16" x14ac:dyDescent="0.4">
      <c r="A111" s="1">
        <v>39845</v>
      </c>
      <c r="B111" s="10" t="e">
        <v>#N/A</v>
      </c>
      <c r="C111" t="e">
        <v>#N/A</v>
      </c>
      <c r="D111" t="e">
        <v>#N/A</v>
      </c>
      <c r="E111" t="e">
        <v>#N/A</v>
      </c>
      <c r="F111">
        <v>96.3</v>
      </c>
      <c r="G111" s="4">
        <v>76.7</v>
      </c>
      <c r="H111">
        <v>76.900000000000006</v>
      </c>
      <c r="I111">
        <v>102.4</v>
      </c>
      <c r="J111" t="e">
        <v>#N/A</v>
      </c>
      <c r="K111">
        <v>2.2000000000000002</v>
      </c>
      <c r="L111">
        <v>84.3</v>
      </c>
      <c r="M111" s="11">
        <v>22757.534</v>
      </c>
      <c r="O111">
        <v>3.80698795533796E-2</v>
      </c>
      <c r="P111">
        <v>-16.2</v>
      </c>
    </row>
    <row r="112" spans="1:16" x14ac:dyDescent="0.4">
      <c r="A112" s="1">
        <v>39873</v>
      </c>
      <c r="B112" s="10" t="e">
        <v>#N/A</v>
      </c>
      <c r="C112" t="e">
        <v>#N/A</v>
      </c>
      <c r="D112" t="e">
        <v>#N/A</v>
      </c>
      <c r="E112" t="e">
        <v>#N/A</v>
      </c>
      <c r="F112">
        <v>92.6</v>
      </c>
      <c r="G112" s="4">
        <v>74.599999999999994</v>
      </c>
      <c r="H112">
        <v>71.900000000000006</v>
      </c>
      <c r="I112">
        <v>102.2</v>
      </c>
      <c r="J112" t="e">
        <v>#N/A</v>
      </c>
      <c r="K112">
        <v>1.9</v>
      </c>
      <c r="L112">
        <v>84</v>
      </c>
      <c r="M112" s="11">
        <v>22693.521000000001</v>
      </c>
      <c r="O112">
        <v>0.188966099512625</v>
      </c>
      <c r="P112">
        <v>-17.399999999999999</v>
      </c>
    </row>
    <row r="113" spans="1:16" x14ac:dyDescent="0.4">
      <c r="A113" s="1">
        <v>39904</v>
      </c>
      <c r="B113" s="10">
        <v>180403</v>
      </c>
      <c r="C113">
        <v>157890.5</v>
      </c>
      <c r="D113">
        <v>105.3</v>
      </c>
      <c r="E113">
        <v>85.6</v>
      </c>
      <c r="F113">
        <v>93.1</v>
      </c>
      <c r="G113" s="4">
        <v>76.7</v>
      </c>
      <c r="H113">
        <v>78.099999999999994</v>
      </c>
      <c r="I113">
        <v>102.6</v>
      </c>
      <c r="J113">
        <v>234987.5</v>
      </c>
      <c r="K113">
        <v>2.1</v>
      </c>
      <c r="L113">
        <v>83.3</v>
      </c>
      <c r="M113" s="11">
        <v>22612.613000000001</v>
      </c>
      <c r="O113">
        <v>3.6203743941046099E-2</v>
      </c>
      <c r="P113">
        <v>-15.3</v>
      </c>
    </row>
    <row r="114" spans="1:16" x14ac:dyDescent="0.4">
      <c r="A114" s="1">
        <v>39934</v>
      </c>
      <c r="B114" s="10" t="e">
        <v>#N/A</v>
      </c>
      <c r="C114" t="e">
        <v>#N/A</v>
      </c>
      <c r="D114" t="e">
        <v>#N/A</v>
      </c>
      <c r="E114" t="e">
        <v>#N/A</v>
      </c>
      <c r="F114">
        <v>94.7</v>
      </c>
      <c r="G114" s="4">
        <v>74.8</v>
      </c>
      <c r="H114">
        <v>84.8</v>
      </c>
      <c r="I114">
        <v>102.5</v>
      </c>
      <c r="J114" t="e">
        <v>#N/A</v>
      </c>
      <c r="K114">
        <v>2</v>
      </c>
      <c r="L114">
        <v>83.5</v>
      </c>
      <c r="M114" s="11">
        <v>22670.356</v>
      </c>
      <c r="O114">
        <v>-4.2166104700585898E-2</v>
      </c>
      <c r="P114">
        <v>-14.9</v>
      </c>
    </row>
    <row r="115" spans="1:16" x14ac:dyDescent="0.4">
      <c r="A115" s="1">
        <v>39965</v>
      </c>
      <c r="B115" s="10" t="e">
        <v>#N/A</v>
      </c>
      <c r="C115" t="e">
        <v>#N/A</v>
      </c>
      <c r="D115" t="e">
        <v>#N/A</v>
      </c>
      <c r="E115" t="e">
        <v>#N/A</v>
      </c>
      <c r="F115">
        <v>93.9</v>
      </c>
      <c r="G115" s="4">
        <v>74.8</v>
      </c>
      <c r="H115">
        <v>83.4</v>
      </c>
      <c r="I115">
        <v>102.8</v>
      </c>
      <c r="J115" t="e">
        <v>#N/A</v>
      </c>
      <c r="K115">
        <v>1.7</v>
      </c>
      <c r="L115">
        <v>85.3</v>
      </c>
      <c r="M115" s="11">
        <v>22538.574000000001</v>
      </c>
      <c r="O115">
        <v>7.6376064523369494E-2</v>
      </c>
      <c r="P115">
        <v>-14.3</v>
      </c>
    </row>
    <row r="116" spans="1:16" x14ac:dyDescent="0.4">
      <c r="A116" s="1">
        <v>39995</v>
      </c>
      <c r="B116" s="10">
        <v>172015</v>
      </c>
      <c r="C116">
        <v>147181.79999999999</v>
      </c>
      <c r="D116">
        <v>104.6</v>
      </c>
      <c r="E116">
        <v>86.1</v>
      </c>
      <c r="F116">
        <v>96.1</v>
      </c>
      <c r="G116" s="4">
        <v>75.8</v>
      </c>
      <c r="H116">
        <v>87.6</v>
      </c>
      <c r="I116">
        <v>102.7</v>
      </c>
      <c r="J116">
        <v>235798.5</v>
      </c>
      <c r="K116">
        <v>1.3</v>
      </c>
      <c r="L116">
        <v>84</v>
      </c>
      <c r="M116" s="11">
        <v>22485.180999999997</v>
      </c>
      <c r="O116">
        <v>8.5828069588805206E-2</v>
      </c>
      <c r="P116">
        <v>-13.1</v>
      </c>
    </row>
    <row r="117" spans="1:16" x14ac:dyDescent="0.4">
      <c r="A117" s="1">
        <v>40026</v>
      </c>
      <c r="B117" s="10" t="e">
        <v>#N/A</v>
      </c>
      <c r="C117" t="e">
        <v>#N/A</v>
      </c>
      <c r="D117" t="e">
        <v>#N/A</v>
      </c>
      <c r="E117" t="e">
        <v>#N/A</v>
      </c>
      <c r="F117">
        <v>94</v>
      </c>
      <c r="G117" s="4">
        <v>73.599999999999994</v>
      </c>
      <c r="H117">
        <v>91.2</v>
      </c>
      <c r="I117">
        <v>101.9</v>
      </c>
      <c r="J117" t="e">
        <v>#N/A</v>
      </c>
      <c r="K117">
        <v>1.3</v>
      </c>
      <c r="L117">
        <v>84.5</v>
      </c>
      <c r="M117" s="11">
        <v>22453.826000000001</v>
      </c>
      <c r="O117">
        <v>4.5897406802735602E-2</v>
      </c>
      <c r="P117">
        <v>-12.1</v>
      </c>
    </row>
    <row r="118" spans="1:16" x14ac:dyDescent="0.4">
      <c r="A118" s="1">
        <v>40057</v>
      </c>
      <c r="B118" s="10" t="e">
        <v>#N/A</v>
      </c>
      <c r="C118" t="e">
        <v>#N/A</v>
      </c>
      <c r="D118" t="e">
        <v>#N/A</v>
      </c>
      <c r="E118" t="e">
        <v>#N/A</v>
      </c>
      <c r="F118">
        <v>96.8</v>
      </c>
      <c r="G118" s="4">
        <v>78.599999999999994</v>
      </c>
      <c r="H118">
        <v>93.5</v>
      </c>
      <c r="I118">
        <v>102.5</v>
      </c>
      <c r="J118" t="e">
        <v>#N/A</v>
      </c>
      <c r="K118">
        <v>1.4</v>
      </c>
      <c r="L118">
        <v>84.1</v>
      </c>
      <c r="M118" s="11">
        <v>22340.485000000001</v>
      </c>
      <c r="O118">
        <v>-6.2084810621392698E-2</v>
      </c>
      <c r="P118">
        <v>-11.7</v>
      </c>
    </row>
    <row r="119" spans="1:16" x14ac:dyDescent="0.4">
      <c r="A119" s="1">
        <v>40087</v>
      </c>
      <c r="B119" s="10">
        <v>232844</v>
      </c>
      <c r="C119">
        <v>181873.9</v>
      </c>
      <c r="D119">
        <v>104.6</v>
      </c>
      <c r="E119">
        <v>87</v>
      </c>
      <c r="F119">
        <v>98.6</v>
      </c>
      <c r="G119" s="4">
        <v>76.7</v>
      </c>
      <c r="H119">
        <v>95.4</v>
      </c>
      <c r="I119">
        <v>102.2</v>
      </c>
      <c r="J119">
        <v>236996.5</v>
      </c>
      <c r="K119">
        <v>1.3</v>
      </c>
      <c r="L119">
        <v>82.9</v>
      </c>
      <c r="M119" s="11">
        <v>22395.32</v>
      </c>
      <c r="O119">
        <v>-6.0016548248729203E-3</v>
      </c>
      <c r="P119">
        <v>-10.7</v>
      </c>
    </row>
    <row r="120" spans="1:16" x14ac:dyDescent="0.4">
      <c r="A120" s="1">
        <v>40118</v>
      </c>
      <c r="B120" s="10" t="e">
        <v>#N/A</v>
      </c>
      <c r="C120" t="e">
        <v>#N/A</v>
      </c>
      <c r="D120" t="e">
        <v>#N/A</v>
      </c>
      <c r="E120" t="e">
        <v>#N/A</v>
      </c>
      <c r="F120">
        <v>98.7</v>
      </c>
      <c r="G120" s="4">
        <v>77.900000000000006</v>
      </c>
      <c r="H120">
        <v>97</v>
      </c>
      <c r="I120">
        <v>103.1</v>
      </c>
      <c r="J120" t="e">
        <v>#N/A</v>
      </c>
      <c r="K120">
        <v>1.3</v>
      </c>
      <c r="L120">
        <v>84.1</v>
      </c>
      <c r="M120" s="11">
        <v>22324.466</v>
      </c>
      <c r="O120">
        <v>5.8454747827443802E-2</v>
      </c>
      <c r="P120">
        <v>-8.6</v>
      </c>
    </row>
    <row r="121" spans="1:16" x14ac:dyDescent="0.4">
      <c r="A121" s="1">
        <v>40148</v>
      </c>
      <c r="B121" s="10" t="e">
        <v>#N/A</v>
      </c>
      <c r="C121" t="e">
        <v>#N/A</v>
      </c>
      <c r="D121" t="e">
        <v>#N/A</v>
      </c>
      <c r="E121" t="e">
        <v>#N/A</v>
      </c>
      <c r="F121">
        <v>97.2</v>
      </c>
      <c r="G121" s="4">
        <v>79.599999999999994</v>
      </c>
      <c r="H121">
        <v>98</v>
      </c>
      <c r="I121">
        <v>103.2</v>
      </c>
      <c r="J121" t="e">
        <v>#N/A</v>
      </c>
      <c r="K121">
        <v>1.4</v>
      </c>
      <c r="L121">
        <v>83.7</v>
      </c>
      <c r="M121" s="12">
        <v>22353.8</v>
      </c>
      <c r="O121">
        <v>-5.9915135089550403E-2</v>
      </c>
      <c r="P121">
        <v>-9.6999999999999993</v>
      </c>
    </row>
    <row r="122" spans="1:16" x14ac:dyDescent="0.4">
      <c r="A122" s="1">
        <v>40179</v>
      </c>
      <c r="B122" s="10">
        <v>146785</v>
      </c>
      <c r="C122">
        <v>145269.6</v>
      </c>
      <c r="D122">
        <v>105.2</v>
      </c>
      <c r="E122">
        <v>87.4</v>
      </c>
      <c r="F122">
        <v>100.5</v>
      </c>
      <c r="G122" s="4">
        <v>83.7</v>
      </c>
      <c r="H122">
        <v>101.1</v>
      </c>
      <c r="I122">
        <v>103.4</v>
      </c>
      <c r="J122">
        <v>239324.79999999999</v>
      </c>
      <c r="K122">
        <v>1.4</v>
      </c>
      <c r="L122">
        <v>84.4</v>
      </c>
      <c r="M122" s="11">
        <v>22425.353999999999</v>
      </c>
      <c r="O122">
        <v>-3.8548670117235097E-2</v>
      </c>
      <c r="P122">
        <v>-11.9</v>
      </c>
    </row>
    <row r="123" spans="1:16" x14ac:dyDescent="0.4">
      <c r="A123" s="1">
        <v>40210</v>
      </c>
      <c r="B123" s="10" t="e">
        <v>#N/A</v>
      </c>
      <c r="C123" t="e">
        <v>#N/A</v>
      </c>
      <c r="D123" t="e">
        <v>#N/A</v>
      </c>
      <c r="E123" t="e">
        <v>#N/A</v>
      </c>
      <c r="F123">
        <v>99.7</v>
      </c>
      <c r="G123" s="4">
        <v>81.099999999999994</v>
      </c>
      <c r="H123">
        <v>101.1</v>
      </c>
      <c r="I123">
        <v>103.4</v>
      </c>
      <c r="J123" t="e">
        <v>#N/A</v>
      </c>
      <c r="K123">
        <v>1.1000000000000001</v>
      </c>
      <c r="L123">
        <v>84.6</v>
      </c>
      <c r="M123" s="11">
        <v>22344.069</v>
      </c>
      <c r="O123">
        <v>8.1108284536030695E-2</v>
      </c>
      <c r="P123">
        <v>-15.4</v>
      </c>
    </row>
    <row r="124" spans="1:16" x14ac:dyDescent="0.4">
      <c r="A124" s="1">
        <v>40238</v>
      </c>
      <c r="B124" s="10" t="e">
        <v>#N/A</v>
      </c>
      <c r="C124" t="e">
        <v>#N/A</v>
      </c>
      <c r="D124" t="e">
        <v>#N/A</v>
      </c>
      <c r="E124" t="e">
        <v>#N/A</v>
      </c>
      <c r="F124">
        <v>100.1</v>
      </c>
      <c r="G124" s="4">
        <v>81.7</v>
      </c>
      <c r="H124">
        <v>100.4</v>
      </c>
      <c r="I124">
        <v>103.5</v>
      </c>
      <c r="J124" t="e">
        <v>#N/A</v>
      </c>
      <c r="K124">
        <v>1.3</v>
      </c>
      <c r="L124">
        <v>86</v>
      </c>
      <c r="M124" s="11">
        <v>22315.269</v>
      </c>
      <c r="O124">
        <v>-5.7884703228644703E-2</v>
      </c>
      <c r="P124">
        <v>-15.6</v>
      </c>
    </row>
    <row r="125" spans="1:16" x14ac:dyDescent="0.4">
      <c r="A125" s="1">
        <v>40269</v>
      </c>
      <c r="B125" s="10">
        <v>181808</v>
      </c>
      <c r="C125">
        <v>161668.5</v>
      </c>
      <c r="D125">
        <v>104.1</v>
      </c>
      <c r="E125">
        <v>88.6</v>
      </c>
      <c r="F125">
        <v>101</v>
      </c>
      <c r="G125" s="4">
        <v>81.8</v>
      </c>
      <c r="H125">
        <v>102.2</v>
      </c>
      <c r="I125">
        <v>102.5</v>
      </c>
      <c r="J125">
        <v>240486.6</v>
      </c>
      <c r="K125">
        <v>1.4</v>
      </c>
      <c r="L125">
        <v>87.4</v>
      </c>
      <c r="M125" s="11">
        <v>22395.629999999997</v>
      </c>
      <c r="O125">
        <v>-9.8310548973088899E-2</v>
      </c>
      <c r="P125">
        <v>-14.2</v>
      </c>
    </row>
    <row r="126" spans="1:16" x14ac:dyDescent="0.4">
      <c r="A126" s="1">
        <v>40299</v>
      </c>
      <c r="B126" s="10" t="e">
        <v>#N/A</v>
      </c>
      <c r="C126" t="e">
        <v>#N/A</v>
      </c>
      <c r="D126" t="e">
        <v>#N/A</v>
      </c>
      <c r="E126" t="e">
        <v>#N/A</v>
      </c>
      <c r="F126">
        <v>101.4</v>
      </c>
      <c r="G126" s="4">
        <v>82.5</v>
      </c>
      <c r="H126">
        <v>102.2</v>
      </c>
      <c r="I126">
        <v>103.3</v>
      </c>
      <c r="J126" t="e">
        <v>#N/A</v>
      </c>
      <c r="K126">
        <v>1.2</v>
      </c>
      <c r="L126">
        <v>88.2</v>
      </c>
      <c r="M126" s="11">
        <v>22320.32</v>
      </c>
      <c r="O126">
        <v>-1.19416696002634E-2</v>
      </c>
      <c r="P126">
        <v>-17.399999999999999</v>
      </c>
    </row>
    <row r="127" spans="1:16" x14ac:dyDescent="0.4">
      <c r="A127" s="1">
        <v>40330</v>
      </c>
      <c r="B127" s="10" t="e">
        <v>#N/A</v>
      </c>
      <c r="C127" t="e">
        <v>#N/A</v>
      </c>
      <c r="D127" t="e">
        <v>#N/A</v>
      </c>
      <c r="E127" t="e">
        <v>#N/A</v>
      </c>
      <c r="F127">
        <v>103.8</v>
      </c>
      <c r="G127" s="4">
        <v>86.9</v>
      </c>
      <c r="H127">
        <v>101.5</v>
      </c>
      <c r="I127">
        <v>102.5</v>
      </c>
      <c r="J127" t="e">
        <v>#N/A</v>
      </c>
      <c r="K127">
        <v>1.3</v>
      </c>
      <c r="L127">
        <v>87.7</v>
      </c>
      <c r="M127" s="11">
        <v>22281.383999999998</v>
      </c>
      <c r="O127">
        <v>8.4842844045987006E-2</v>
      </c>
      <c r="P127">
        <v>-19.3</v>
      </c>
    </row>
    <row r="128" spans="1:16" x14ac:dyDescent="0.4">
      <c r="A128" s="1">
        <v>40360</v>
      </c>
      <c r="B128" s="10">
        <v>177007</v>
      </c>
      <c r="C128">
        <v>149503.6</v>
      </c>
      <c r="D128">
        <v>103.9</v>
      </c>
      <c r="E128">
        <v>88.5</v>
      </c>
      <c r="F128">
        <v>103.7</v>
      </c>
      <c r="G128" s="4">
        <v>83.7</v>
      </c>
      <c r="H128">
        <v>101.5</v>
      </c>
      <c r="I128">
        <v>102.6</v>
      </c>
      <c r="J128">
        <v>242849.1</v>
      </c>
      <c r="K128">
        <v>1.4</v>
      </c>
      <c r="L128">
        <v>88.5</v>
      </c>
      <c r="M128" s="11">
        <v>22252.317999999999</v>
      </c>
      <c r="O128">
        <v>-6.3175799286352002E-2</v>
      </c>
      <c r="P128">
        <v>-19.600000000000001</v>
      </c>
    </row>
    <row r="129" spans="1:16" x14ac:dyDescent="0.4">
      <c r="A129" s="1">
        <v>40391</v>
      </c>
      <c r="B129" s="10" t="e">
        <v>#N/A</v>
      </c>
      <c r="C129" t="e">
        <v>#N/A</v>
      </c>
      <c r="D129" t="e">
        <v>#N/A</v>
      </c>
      <c r="E129" t="e">
        <v>#N/A</v>
      </c>
      <c r="F129">
        <v>107.5</v>
      </c>
      <c r="G129" s="4">
        <v>83.3</v>
      </c>
      <c r="H129">
        <v>101.1</v>
      </c>
      <c r="I129">
        <v>102.9</v>
      </c>
      <c r="J129" t="e">
        <v>#N/A</v>
      </c>
      <c r="K129">
        <v>1.4</v>
      </c>
      <c r="L129">
        <v>88.1</v>
      </c>
      <c r="M129" s="11">
        <v>22212.578000000001</v>
      </c>
      <c r="O129">
        <v>3.8275049729211502E-2</v>
      </c>
      <c r="P129">
        <v>-18.3</v>
      </c>
    </row>
    <row r="130" spans="1:16" x14ac:dyDescent="0.4">
      <c r="A130" s="1">
        <v>40422</v>
      </c>
      <c r="B130" s="10" t="e">
        <v>#N/A</v>
      </c>
      <c r="C130" t="e">
        <v>#N/A</v>
      </c>
      <c r="D130" t="e">
        <v>#N/A</v>
      </c>
      <c r="E130" t="e">
        <v>#N/A</v>
      </c>
      <c r="F130">
        <v>102.9</v>
      </c>
      <c r="G130" s="4">
        <v>85.1</v>
      </c>
      <c r="H130">
        <v>101.3</v>
      </c>
      <c r="I130">
        <v>102.7</v>
      </c>
      <c r="J130" t="e">
        <v>#N/A</v>
      </c>
      <c r="K130">
        <v>1.4</v>
      </c>
      <c r="L130">
        <v>88</v>
      </c>
      <c r="M130" s="11">
        <v>22334.633000000002</v>
      </c>
      <c r="O130">
        <v>4.5102505489943198E-2</v>
      </c>
      <c r="P130">
        <v>-17.5</v>
      </c>
    </row>
    <row r="131" spans="1:16" x14ac:dyDescent="0.4">
      <c r="A131" s="1">
        <v>40452</v>
      </c>
      <c r="B131" s="10">
        <v>232787</v>
      </c>
      <c r="C131">
        <v>183736.9</v>
      </c>
      <c r="D131">
        <v>104.2</v>
      </c>
      <c r="E131">
        <v>88.7</v>
      </c>
      <c r="F131">
        <v>103.2</v>
      </c>
      <c r="G131" s="4">
        <v>86.1</v>
      </c>
      <c r="H131">
        <v>100.7</v>
      </c>
      <c r="I131">
        <v>103.2</v>
      </c>
      <c r="J131">
        <v>244999.2</v>
      </c>
      <c r="K131">
        <v>1.6</v>
      </c>
      <c r="L131">
        <v>87.9</v>
      </c>
      <c r="M131" s="11">
        <v>22307.703999999998</v>
      </c>
      <c r="O131">
        <v>-0.11576884248614901</v>
      </c>
      <c r="P131">
        <v>-18.7</v>
      </c>
    </row>
    <row r="132" spans="1:16" x14ac:dyDescent="0.4">
      <c r="A132" s="1">
        <v>40483</v>
      </c>
      <c r="B132" s="10" t="e">
        <v>#N/A</v>
      </c>
      <c r="C132" t="e">
        <v>#N/A</v>
      </c>
      <c r="D132" t="e">
        <v>#N/A</v>
      </c>
      <c r="E132" t="e">
        <v>#N/A</v>
      </c>
      <c r="F132">
        <v>103.9</v>
      </c>
      <c r="G132" s="5">
        <v>87</v>
      </c>
      <c r="H132">
        <v>101.2</v>
      </c>
      <c r="I132">
        <v>102.6</v>
      </c>
      <c r="J132" t="e">
        <v>#N/A</v>
      </c>
      <c r="K132">
        <v>1.6</v>
      </c>
      <c r="L132">
        <v>88.6</v>
      </c>
      <c r="M132" s="11">
        <v>22408.417000000001</v>
      </c>
      <c r="O132">
        <v>5.4342654804397497E-2</v>
      </c>
      <c r="P132">
        <v>-18.8</v>
      </c>
    </row>
    <row r="133" spans="1:16" x14ac:dyDescent="0.4">
      <c r="A133" s="1">
        <v>40513</v>
      </c>
      <c r="B133" s="10" t="e">
        <v>#N/A</v>
      </c>
      <c r="C133" t="e">
        <v>#N/A</v>
      </c>
      <c r="D133" t="e">
        <v>#N/A</v>
      </c>
      <c r="E133" t="e">
        <v>#N/A</v>
      </c>
      <c r="F133">
        <v>104.7</v>
      </c>
      <c r="G133" s="4">
        <v>85.1</v>
      </c>
      <c r="H133">
        <v>103.9</v>
      </c>
      <c r="I133">
        <v>103.7</v>
      </c>
      <c r="J133" t="e">
        <v>#N/A</v>
      </c>
      <c r="K133">
        <v>1.6</v>
      </c>
      <c r="L133">
        <v>90.1</v>
      </c>
      <c r="M133" s="12">
        <v>22434.65</v>
      </c>
      <c r="O133">
        <v>8.8967525240640596E-2</v>
      </c>
      <c r="P133">
        <v>-16</v>
      </c>
    </row>
    <row r="134" spans="1:16" x14ac:dyDescent="0.4">
      <c r="A134" s="1">
        <v>40544</v>
      </c>
      <c r="B134" s="10">
        <v>153595</v>
      </c>
      <c r="C134">
        <v>148881</v>
      </c>
      <c r="D134">
        <v>105.1</v>
      </c>
      <c r="E134">
        <v>89.4</v>
      </c>
      <c r="F134">
        <v>102.6</v>
      </c>
      <c r="G134" s="4">
        <v>89.2</v>
      </c>
      <c r="H134">
        <v>103.3</v>
      </c>
      <c r="I134">
        <v>102.3</v>
      </c>
      <c r="J134">
        <v>247868.5</v>
      </c>
      <c r="K134">
        <v>1.3</v>
      </c>
      <c r="L134">
        <v>92.2</v>
      </c>
      <c r="M134" s="11">
        <v>22380.824000000001</v>
      </c>
      <c r="O134">
        <v>1.8734964042485199E-2</v>
      </c>
      <c r="P134">
        <v>-20</v>
      </c>
    </row>
    <row r="135" spans="1:16" x14ac:dyDescent="0.4">
      <c r="A135" s="1">
        <v>40575</v>
      </c>
      <c r="B135" s="10" t="e">
        <v>#N/A</v>
      </c>
      <c r="C135" t="e">
        <v>#N/A</v>
      </c>
      <c r="D135" t="e">
        <v>#N/A</v>
      </c>
      <c r="E135" t="e">
        <v>#N/A</v>
      </c>
      <c r="F135">
        <v>105.3</v>
      </c>
      <c r="G135" s="4">
        <v>90.6</v>
      </c>
      <c r="H135">
        <v>101.4</v>
      </c>
      <c r="I135">
        <v>102.5</v>
      </c>
      <c r="J135" t="e">
        <v>#N/A</v>
      </c>
      <c r="K135">
        <v>1.4</v>
      </c>
      <c r="L135">
        <v>93</v>
      </c>
      <c r="M135" s="11">
        <v>22428.302</v>
      </c>
      <c r="O135">
        <v>-3.3491839182236298E-2</v>
      </c>
      <c r="P135">
        <v>-19.7</v>
      </c>
    </row>
    <row r="136" spans="1:16" x14ac:dyDescent="0.4">
      <c r="A136" s="1">
        <v>40603</v>
      </c>
      <c r="B136" s="10" t="e">
        <v>#N/A</v>
      </c>
      <c r="C136" t="e">
        <v>#N/A</v>
      </c>
      <c r="D136" t="e">
        <v>#N/A</v>
      </c>
      <c r="E136" t="e">
        <v>#N/A</v>
      </c>
      <c r="F136">
        <v>105.6</v>
      </c>
      <c r="G136" s="4">
        <v>91.1</v>
      </c>
      <c r="H136">
        <v>99.2</v>
      </c>
      <c r="I136">
        <v>101.7</v>
      </c>
      <c r="J136" t="e">
        <v>#N/A</v>
      </c>
      <c r="K136">
        <v>2.2000000000000002</v>
      </c>
      <c r="L136">
        <v>94.9</v>
      </c>
      <c r="M136" s="11">
        <v>22545.474000000002</v>
      </c>
      <c r="O136">
        <v>3.1308480845799701E-2</v>
      </c>
      <c r="P136">
        <v>-20.8</v>
      </c>
    </row>
    <row r="137" spans="1:16" x14ac:dyDescent="0.4">
      <c r="A137" s="1">
        <v>40634</v>
      </c>
      <c r="B137" s="10">
        <v>182818</v>
      </c>
      <c r="C137">
        <v>164678.5</v>
      </c>
      <c r="D137">
        <v>105</v>
      </c>
      <c r="E137">
        <v>89.4</v>
      </c>
      <c r="F137">
        <v>106.6</v>
      </c>
      <c r="G137" s="4">
        <v>91.7</v>
      </c>
      <c r="H137">
        <v>101.2</v>
      </c>
      <c r="I137">
        <v>103</v>
      </c>
      <c r="J137">
        <v>249828.2</v>
      </c>
      <c r="K137">
        <v>2.2000000000000002</v>
      </c>
      <c r="L137">
        <v>96.7</v>
      </c>
      <c r="M137" s="11">
        <v>22442.044000000002</v>
      </c>
      <c r="O137">
        <v>-6.0117345738673202E-2</v>
      </c>
      <c r="P137">
        <v>-22</v>
      </c>
    </row>
    <row r="138" spans="1:16" x14ac:dyDescent="0.4">
      <c r="A138" s="1">
        <v>40664</v>
      </c>
      <c r="B138" s="10" t="e">
        <v>#N/A</v>
      </c>
      <c r="C138" t="e">
        <v>#N/A</v>
      </c>
      <c r="D138" t="e">
        <v>#N/A</v>
      </c>
      <c r="E138" t="e">
        <v>#N/A</v>
      </c>
      <c r="F138">
        <v>104.6</v>
      </c>
      <c r="G138" s="4">
        <v>88.7</v>
      </c>
      <c r="H138">
        <v>99.9</v>
      </c>
      <c r="I138">
        <v>101.8</v>
      </c>
      <c r="J138" t="e">
        <v>#N/A</v>
      </c>
      <c r="K138">
        <v>2.4</v>
      </c>
      <c r="L138">
        <v>96.8</v>
      </c>
      <c r="M138" s="11">
        <v>22442.798999999999</v>
      </c>
      <c r="O138">
        <v>-4.4708028985939001E-2</v>
      </c>
      <c r="P138">
        <v>-23.3</v>
      </c>
    </row>
    <row r="139" spans="1:16" x14ac:dyDescent="0.4">
      <c r="A139" s="1">
        <v>40695</v>
      </c>
      <c r="B139" s="10" t="e">
        <v>#N/A</v>
      </c>
      <c r="C139" t="e">
        <v>#N/A</v>
      </c>
      <c r="D139" t="e">
        <v>#N/A</v>
      </c>
      <c r="E139" t="e">
        <v>#N/A</v>
      </c>
      <c r="F139">
        <v>103.8</v>
      </c>
      <c r="G139" s="4">
        <v>90.6</v>
      </c>
      <c r="H139">
        <v>99.4</v>
      </c>
      <c r="I139">
        <v>101.6</v>
      </c>
      <c r="J139" t="e">
        <v>#N/A</v>
      </c>
      <c r="K139">
        <v>2.5</v>
      </c>
      <c r="L139">
        <v>95.9</v>
      </c>
      <c r="M139" s="11">
        <v>22419.328000000001</v>
      </c>
      <c r="O139">
        <v>-9.0842047302818002E-2</v>
      </c>
      <c r="P139">
        <v>-20.100000000000001</v>
      </c>
    </row>
    <row r="140" spans="1:16" x14ac:dyDescent="0.4">
      <c r="A140" s="1">
        <v>40725</v>
      </c>
      <c r="B140" s="10">
        <v>177095</v>
      </c>
      <c r="C140">
        <v>151258.6</v>
      </c>
      <c r="D140">
        <v>104.8</v>
      </c>
      <c r="E140">
        <v>89.2</v>
      </c>
      <c r="F140">
        <v>103.4</v>
      </c>
      <c r="G140" s="4">
        <v>90.2</v>
      </c>
      <c r="H140">
        <v>95.4</v>
      </c>
      <c r="I140">
        <v>101.9</v>
      </c>
      <c r="J140">
        <v>250833.9</v>
      </c>
      <c r="K140">
        <v>1.4</v>
      </c>
      <c r="L140">
        <v>97.9</v>
      </c>
      <c r="M140" s="11">
        <v>22449.152999999998</v>
      </c>
      <c r="O140">
        <v>-0.16930048334860001</v>
      </c>
      <c r="P140">
        <v>-22.2</v>
      </c>
    </row>
    <row r="141" spans="1:16" x14ac:dyDescent="0.4">
      <c r="A141" s="1">
        <v>40756</v>
      </c>
      <c r="B141" s="10" t="e">
        <v>#N/A</v>
      </c>
      <c r="C141" t="e">
        <v>#N/A</v>
      </c>
      <c r="D141" t="e">
        <v>#N/A</v>
      </c>
      <c r="E141" t="e">
        <v>#N/A</v>
      </c>
      <c r="F141">
        <v>102.5</v>
      </c>
      <c r="G141" s="4">
        <v>91.4</v>
      </c>
      <c r="H141">
        <v>94.2</v>
      </c>
      <c r="I141">
        <v>101.4</v>
      </c>
      <c r="J141" t="e">
        <v>#N/A</v>
      </c>
      <c r="K141">
        <v>1.5</v>
      </c>
      <c r="L141">
        <v>98.4</v>
      </c>
      <c r="M141" s="11">
        <v>22389.684000000001</v>
      </c>
      <c r="O141">
        <v>-4.7839642595528503E-2</v>
      </c>
      <c r="P141">
        <v>-22.7</v>
      </c>
    </row>
    <row r="142" spans="1:16" x14ac:dyDescent="0.4">
      <c r="A142" s="1">
        <v>40787</v>
      </c>
      <c r="B142" s="10" t="e">
        <v>#N/A</v>
      </c>
      <c r="C142" t="e">
        <v>#N/A</v>
      </c>
      <c r="D142" t="e">
        <v>#N/A</v>
      </c>
      <c r="E142" t="e">
        <v>#N/A</v>
      </c>
      <c r="F142">
        <v>102.3</v>
      </c>
      <c r="G142" s="4">
        <v>87.8</v>
      </c>
      <c r="H142">
        <v>89.2</v>
      </c>
      <c r="I142">
        <v>100.6</v>
      </c>
      <c r="J142" t="e">
        <v>#N/A</v>
      </c>
      <c r="K142">
        <v>2.9</v>
      </c>
      <c r="L142">
        <v>98.3</v>
      </c>
      <c r="M142" s="11">
        <v>22338.074000000001</v>
      </c>
      <c r="O142">
        <v>7.66564302741468E-2</v>
      </c>
      <c r="P142">
        <v>-23.1</v>
      </c>
    </row>
    <row r="143" spans="1:16" x14ac:dyDescent="0.4">
      <c r="A143" s="1">
        <v>40817</v>
      </c>
      <c r="B143" s="10">
        <v>240629</v>
      </c>
      <c r="C143">
        <v>184249.1</v>
      </c>
      <c r="D143">
        <v>104.2</v>
      </c>
      <c r="E143">
        <v>89.7</v>
      </c>
      <c r="F143">
        <v>100.9</v>
      </c>
      <c r="G143" s="4">
        <v>87.9</v>
      </c>
      <c r="H143">
        <v>89.9</v>
      </c>
      <c r="I143">
        <v>102</v>
      </c>
      <c r="J143">
        <v>249085.3</v>
      </c>
      <c r="K143">
        <v>2.9</v>
      </c>
      <c r="L143">
        <v>100.1</v>
      </c>
      <c r="M143" s="11">
        <v>22450.467000000001</v>
      </c>
      <c r="O143">
        <v>-4.7888460700116701E-2</v>
      </c>
      <c r="P143">
        <v>-25.9</v>
      </c>
    </row>
    <row r="144" spans="1:16" x14ac:dyDescent="0.4">
      <c r="A144" s="1">
        <v>40848</v>
      </c>
      <c r="B144" s="10" t="e">
        <v>#N/A</v>
      </c>
      <c r="C144" t="e">
        <v>#N/A</v>
      </c>
      <c r="D144" t="e">
        <v>#N/A</v>
      </c>
      <c r="E144" t="e">
        <v>#N/A</v>
      </c>
      <c r="F144">
        <v>101.7</v>
      </c>
      <c r="G144" s="4">
        <v>87.9</v>
      </c>
      <c r="H144">
        <v>91.1</v>
      </c>
      <c r="I144">
        <v>100</v>
      </c>
      <c r="J144" t="e">
        <v>#N/A</v>
      </c>
      <c r="K144">
        <v>2.8</v>
      </c>
      <c r="L144">
        <v>100.7</v>
      </c>
      <c r="M144" s="11">
        <v>22353.813999999998</v>
      </c>
      <c r="O144">
        <v>-1.1792356421617399E-2</v>
      </c>
      <c r="P144">
        <v>-21.4</v>
      </c>
    </row>
    <row r="145" spans="1:16" x14ac:dyDescent="0.4">
      <c r="A145" s="1">
        <v>40878</v>
      </c>
      <c r="B145" s="10" t="e">
        <v>#N/A</v>
      </c>
      <c r="C145" t="e">
        <v>#N/A</v>
      </c>
      <c r="D145" t="e">
        <v>#N/A</v>
      </c>
      <c r="E145" t="e">
        <v>#N/A</v>
      </c>
      <c r="F145">
        <v>102.7</v>
      </c>
      <c r="G145" s="4">
        <v>89.6</v>
      </c>
      <c r="H145">
        <v>83.2</v>
      </c>
      <c r="I145">
        <v>99.4</v>
      </c>
      <c r="J145" t="e">
        <v>#N/A</v>
      </c>
      <c r="K145">
        <v>2.8</v>
      </c>
      <c r="L145">
        <v>102.5</v>
      </c>
      <c r="M145" s="12">
        <v>22375.885000000002</v>
      </c>
      <c r="O145">
        <v>4.7748250743420997E-2</v>
      </c>
      <c r="P145">
        <v>-24.8</v>
      </c>
    </row>
    <row r="146" spans="1:16" x14ac:dyDescent="0.4">
      <c r="A146" s="1">
        <v>40909</v>
      </c>
      <c r="B146" s="10">
        <v>156264</v>
      </c>
      <c r="C146">
        <v>148471.5</v>
      </c>
      <c r="D146">
        <v>102.8</v>
      </c>
      <c r="E146">
        <v>90.1</v>
      </c>
      <c r="F146">
        <v>98.6</v>
      </c>
      <c r="G146" s="4">
        <v>85.3</v>
      </c>
      <c r="H146">
        <v>83.5</v>
      </c>
      <c r="I146">
        <v>100.8</v>
      </c>
      <c r="J146">
        <v>248180.6</v>
      </c>
      <c r="K146">
        <v>2.2999999999999998</v>
      </c>
      <c r="L146">
        <v>106.5</v>
      </c>
      <c r="M146" s="11">
        <v>22383.424999999999</v>
      </c>
      <c r="O146">
        <v>3.2508534029270598E-2</v>
      </c>
      <c r="P146">
        <v>-27</v>
      </c>
    </row>
    <row r="147" spans="1:16" x14ac:dyDescent="0.4">
      <c r="A147" s="1">
        <v>40940</v>
      </c>
      <c r="B147" s="10" t="e">
        <v>#N/A</v>
      </c>
      <c r="C147" t="e">
        <v>#N/A</v>
      </c>
      <c r="D147" t="e">
        <v>#N/A</v>
      </c>
      <c r="E147" t="e">
        <v>#N/A</v>
      </c>
      <c r="F147">
        <v>98.9</v>
      </c>
      <c r="G147" s="4">
        <v>87.1</v>
      </c>
      <c r="H147">
        <v>83.4</v>
      </c>
      <c r="I147">
        <v>99.8</v>
      </c>
      <c r="J147" t="e">
        <v>#N/A</v>
      </c>
      <c r="K147">
        <v>2.4</v>
      </c>
      <c r="L147">
        <v>107.6</v>
      </c>
      <c r="M147" s="11">
        <v>22356.595000000001</v>
      </c>
      <c r="O147">
        <v>-2.2951117214320901E-2</v>
      </c>
      <c r="P147">
        <v>-23.8</v>
      </c>
    </row>
    <row r="148" spans="1:16" x14ac:dyDescent="0.4">
      <c r="A148" s="1">
        <v>40969</v>
      </c>
      <c r="B148" s="10" t="e">
        <v>#N/A</v>
      </c>
      <c r="C148" t="e">
        <v>#N/A</v>
      </c>
      <c r="D148" t="e">
        <v>#N/A</v>
      </c>
      <c r="E148" t="e">
        <v>#N/A</v>
      </c>
      <c r="F148">
        <v>99.4</v>
      </c>
      <c r="G148" s="4">
        <v>87.8</v>
      </c>
      <c r="H148">
        <v>86</v>
      </c>
      <c r="I148">
        <v>100.2</v>
      </c>
      <c r="J148" t="e">
        <v>#N/A</v>
      </c>
      <c r="K148">
        <v>2.6</v>
      </c>
      <c r="L148">
        <v>109.5</v>
      </c>
      <c r="M148" s="11">
        <v>22315.069</v>
      </c>
      <c r="O148">
        <v>-9.0864507006152506E-2</v>
      </c>
      <c r="P148">
        <v>-21.8</v>
      </c>
    </row>
    <row r="149" spans="1:16" x14ac:dyDescent="0.4">
      <c r="A149" s="1">
        <v>41000</v>
      </c>
      <c r="B149" s="10">
        <v>185271</v>
      </c>
      <c r="C149">
        <v>161607</v>
      </c>
      <c r="D149">
        <v>102.7</v>
      </c>
      <c r="E149">
        <v>90.7</v>
      </c>
      <c r="F149">
        <v>97.9</v>
      </c>
      <c r="G149" s="4">
        <v>88.3</v>
      </c>
      <c r="H149">
        <v>80.5</v>
      </c>
      <c r="I149">
        <v>98.8</v>
      </c>
      <c r="J149">
        <v>247540.8</v>
      </c>
      <c r="K149">
        <v>2.4</v>
      </c>
      <c r="L149">
        <v>111.8</v>
      </c>
      <c r="M149" s="11">
        <v>22341.633000000002</v>
      </c>
      <c r="O149">
        <v>-0.12526365970155101</v>
      </c>
      <c r="P149">
        <v>-29.3</v>
      </c>
    </row>
    <row r="150" spans="1:16" x14ac:dyDescent="0.4">
      <c r="A150" s="1">
        <v>41030</v>
      </c>
      <c r="B150" s="10" t="e">
        <v>#N/A</v>
      </c>
      <c r="C150" t="e">
        <v>#N/A</v>
      </c>
      <c r="D150" t="e">
        <v>#N/A</v>
      </c>
      <c r="E150" t="e">
        <v>#N/A</v>
      </c>
      <c r="F150">
        <v>99.5</v>
      </c>
      <c r="G150" s="4">
        <v>87.7</v>
      </c>
      <c r="H150">
        <v>77</v>
      </c>
      <c r="I150">
        <v>98.8</v>
      </c>
      <c r="J150" t="e">
        <v>#N/A</v>
      </c>
      <c r="K150">
        <v>2.4</v>
      </c>
      <c r="L150">
        <v>111.6</v>
      </c>
      <c r="M150" s="11">
        <v>22368.215</v>
      </c>
      <c r="O150">
        <v>0.10322992691845</v>
      </c>
      <c r="P150">
        <v>-30.9</v>
      </c>
    </row>
    <row r="151" spans="1:16" x14ac:dyDescent="0.4">
      <c r="A151" s="1">
        <v>41061</v>
      </c>
      <c r="B151" s="10" t="e">
        <v>#N/A</v>
      </c>
      <c r="C151" t="e">
        <v>#N/A</v>
      </c>
      <c r="D151" t="e">
        <v>#N/A</v>
      </c>
      <c r="E151" t="e">
        <v>#N/A</v>
      </c>
      <c r="F151">
        <v>97.4</v>
      </c>
      <c r="G151" s="4">
        <v>84.7</v>
      </c>
      <c r="H151">
        <v>80.400000000000006</v>
      </c>
      <c r="I151">
        <v>98.8</v>
      </c>
      <c r="J151" t="e">
        <v>#N/A</v>
      </c>
      <c r="K151">
        <v>2.5</v>
      </c>
      <c r="L151">
        <v>109.8</v>
      </c>
      <c r="M151" s="11">
        <v>22351.269</v>
      </c>
      <c r="O151">
        <v>-2.7198552133622701E-2</v>
      </c>
      <c r="P151">
        <v>-31.2</v>
      </c>
    </row>
    <row r="152" spans="1:16" x14ac:dyDescent="0.4">
      <c r="A152" s="1">
        <v>41091</v>
      </c>
      <c r="B152" s="10">
        <v>183793</v>
      </c>
      <c r="C152">
        <v>148851.79999999999</v>
      </c>
      <c r="D152">
        <v>102.3</v>
      </c>
      <c r="E152">
        <v>91.3</v>
      </c>
      <c r="F152">
        <v>98.5</v>
      </c>
      <c r="G152" s="4">
        <v>85.7</v>
      </c>
      <c r="H152">
        <v>79.099999999999994</v>
      </c>
      <c r="I152">
        <v>98.4</v>
      </c>
      <c r="J152">
        <v>246203.9</v>
      </c>
      <c r="K152">
        <v>2.8</v>
      </c>
      <c r="L152">
        <v>109.6</v>
      </c>
      <c r="M152" s="11">
        <v>22323.705999999998</v>
      </c>
      <c r="O152">
        <v>8.3519818378400501E-2</v>
      </c>
      <c r="P152">
        <v>-29</v>
      </c>
    </row>
    <row r="153" spans="1:16" x14ac:dyDescent="0.4">
      <c r="A153" s="1">
        <v>41122</v>
      </c>
      <c r="B153" s="10" t="e">
        <v>#N/A</v>
      </c>
      <c r="C153" t="e">
        <v>#N/A</v>
      </c>
      <c r="D153" t="e">
        <v>#N/A</v>
      </c>
      <c r="E153" t="e">
        <v>#N/A</v>
      </c>
      <c r="F153">
        <v>97.8</v>
      </c>
      <c r="G153" s="4">
        <v>87.4</v>
      </c>
      <c r="H153">
        <v>79.2</v>
      </c>
      <c r="I153">
        <v>98.1</v>
      </c>
      <c r="J153" t="e">
        <v>#N/A</v>
      </c>
      <c r="K153">
        <v>2.2000000000000002</v>
      </c>
      <c r="L153">
        <v>111.7</v>
      </c>
      <c r="M153" s="11">
        <v>22225.434000000001</v>
      </c>
      <c r="O153">
        <v>-3.3115872740374598E-4</v>
      </c>
      <c r="P153">
        <v>-26.3</v>
      </c>
    </row>
    <row r="154" spans="1:16" x14ac:dyDescent="0.4">
      <c r="A154" s="1">
        <v>41153</v>
      </c>
      <c r="B154" s="10" t="e">
        <v>#N/A</v>
      </c>
      <c r="C154" t="e">
        <v>#N/A</v>
      </c>
      <c r="D154" t="e">
        <v>#N/A</v>
      </c>
      <c r="E154" t="e">
        <v>#N/A</v>
      </c>
      <c r="F154">
        <v>97.6</v>
      </c>
      <c r="G154" s="4">
        <v>84.8</v>
      </c>
      <c r="H154">
        <v>77.900000000000006</v>
      </c>
      <c r="I154">
        <v>98.7</v>
      </c>
      <c r="J154" t="e">
        <v>#N/A</v>
      </c>
      <c r="K154">
        <v>2.2000000000000002</v>
      </c>
      <c r="L154">
        <v>113.9</v>
      </c>
      <c r="M154" s="11">
        <v>22248.500999999997</v>
      </c>
      <c r="O154">
        <v>2.8987536873252399E-2</v>
      </c>
      <c r="P154">
        <v>-28.5</v>
      </c>
    </row>
    <row r="155" spans="1:16" x14ac:dyDescent="0.4">
      <c r="A155" s="1">
        <v>41183</v>
      </c>
      <c r="B155" s="10">
        <v>250223</v>
      </c>
      <c r="C155">
        <v>181179.4</v>
      </c>
      <c r="D155">
        <v>100.8</v>
      </c>
      <c r="E155">
        <v>91.3</v>
      </c>
      <c r="F155">
        <v>95.7</v>
      </c>
      <c r="G155" s="4">
        <v>84.5</v>
      </c>
      <c r="H155">
        <v>79.2</v>
      </c>
      <c r="I155">
        <v>97.3</v>
      </c>
      <c r="J155">
        <v>245574.3</v>
      </c>
      <c r="K155">
        <v>1.8</v>
      </c>
      <c r="L155">
        <v>113.8</v>
      </c>
      <c r="M155" s="11">
        <v>22210.623</v>
      </c>
      <c r="O155">
        <v>1.7098796066010301E-2</v>
      </c>
      <c r="P155">
        <v>-27.1</v>
      </c>
    </row>
    <row r="156" spans="1:16" x14ac:dyDescent="0.4">
      <c r="A156" s="1">
        <v>41214</v>
      </c>
      <c r="B156" s="10" t="e">
        <v>#N/A</v>
      </c>
      <c r="C156" t="e">
        <v>#N/A</v>
      </c>
      <c r="D156" t="e">
        <v>#N/A</v>
      </c>
      <c r="E156" t="e">
        <v>#N/A</v>
      </c>
      <c r="F156">
        <v>94.3</v>
      </c>
      <c r="G156" s="5">
        <v>84</v>
      </c>
      <c r="H156">
        <v>80.2</v>
      </c>
      <c r="I156">
        <v>97.2</v>
      </c>
      <c r="J156" t="e">
        <v>#N/A</v>
      </c>
      <c r="K156">
        <v>1.7</v>
      </c>
      <c r="L156">
        <v>112.4</v>
      </c>
      <c r="M156" s="11">
        <v>22154.720000000001</v>
      </c>
      <c r="O156">
        <v>2.8991151672965301E-2</v>
      </c>
      <c r="P156">
        <v>-28.9</v>
      </c>
    </row>
    <row r="157" spans="1:16" x14ac:dyDescent="0.4">
      <c r="A157" s="1">
        <v>41244</v>
      </c>
      <c r="B157" s="10" t="e">
        <v>#N/A</v>
      </c>
      <c r="C157" t="e">
        <v>#N/A</v>
      </c>
      <c r="D157" t="e">
        <v>#N/A</v>
      </c>
      <c r="E157" t="e">
        <v>#N/A</v>
      </c>
      <c r="F157">
        <v>95.2</v>
      </c>
      <c r="G157" s="4">
        <v>84.3</v>
      </c>
      <c r="H157">
        <v>80.7</v>
      </c>
      <c r="I157">
        <v>97.6</v>
      </c>
      <c r="J157" t="e">
        <v>#N/A</v>
      </c>
      <c r="K157">
        <v>1.9</v>
      </c>
      <c r="L157">
        <v>112</v>
      </c>
      <c r="M157" s="12">
        <v>22095.815999999999</v>
      </c>
      <c r="O157">
        <v>6.92017847088469E-2</v>
      </c>
      <c r="P157">
        <v>-30.1</v>
      </c>
    </row>
    <row r="158" spans="1:16" x14ac:dyDescent="0.4">
      <c r="A158" s="1">
        <v>41275</v>
      </c>
      <c r="B158" s="10">
        <v>155927</v>
      </c>
      <c r="C158">
        <v>145933.70000000001</v>
      </c>
      <c r="D158">
        <v>99.6</v>
      </c>
      <c r="E158">
        <v>91.8</v>
      </c>
      <c r="F158">
        <v>95.1</v>
      </c>
      <c r="G158" s="5">
        <v>84</v>
      </c>
      <c r="H158">
        <v>80.099999999999994</v>
      </c>
      <c r="I158">
        <v>96.5</v>
      </c>
      <c r="J158">
        <v>243662.4</v>
      </c>
      <c r="K158">
        <v>2</v>
      </c>
      <c r="L158">
        <v>112.3</v>
      </c>
      <c r="M158" s="11">
        <v>22004.53</v>
      </c>
      <c r="O158">
        <v>-9.1070084873455998E-2</v>
      </c>
      <c r="P158">
        <v>-29.2</v>
      </c>
    </row>
    <row r="159" spans="1:16" x14ac:dyDescent="0.4">
      <c r="A159" s="1">
        <v>41306</v>
      </c>
      <c r="B159" s="10" t="e">
        <v>#N/A</v>
      </c>
      <c r="C159" t="e">
        <v>#N/A</v>
      </c>
      <c r="D159" t="e">
        <v>#N/A</v>
      </c>
      <c r="E159" t="e">
        <v>#N/A</v>
      </c>
      <c r="F159">
        <v>94.6</v>
      </c>
      <c r="G159" s="5">
        <v>82</v>
      </c>
      <c r="H159">
        <v>79.2</v>
      </c>
      <c r="I159">
        <v>96.9</v>
      </c>
      <c r="J159" t="e">
        <v>#N/A</v>
      </c>
      <c r="K159">
        <v>1.6</v>
      </c>
      <c r="L159">
        <v>113</v>
      </c>
      <c r="M159" s="11">
        <v>22002.201000000001</v>
      </c>
      <c r="O159">
        <v>-3.7240387747896599E-2</v>
      </c>
      <c r="P159">
        <v>-27.6</v>
      </c>
    </row>
    <row r="160" spans="1:16" x14ac:dyDescent="0.4">
      <c r="A160" s="1">
        <v>41334</v>
      </c>
      <c r="B160" s="10" t="e">
        <v>#N/A</v>
      </c>
      <c r="C160" t="e">
        <v>#N/A</v>
      </c>
      <c r="D160" t="e">
        <v>#N/A</v>
      </c>
      <c r="E160" t="e">
        <v>#N/A</v>
      </c>
      <c r="F160">
        <v>94</v>
      </c>
      <c r="G160" s="4">
        <v>82.3</v>
      </c>
      <c r="H160">
        <v>81.099999999999994</v>
      </c>
      <c r="I160">
        <v>96.8</v>
      </c>
      <c r="J160" t="e">
        <v>#N/A</v>
      </c>
      <c r="K160">
        <v>1.6</v>
      </c>
      <c r="L160">
        <v>113.2</v>
      </c>
      <c r="M160" s="11">
        <v>21896.179</v>
      </c>
      <c r="O160">
        <v>8.9073703372660504E-2</v>
      </c>
      <c r="P160">
        <v>-29.1</v>
      </c>
    </row>
    <row r="161" spans="1:16" x14ac:dyDescent="0.4">
      <c r="A161" s="1">
        <v>41365</v>
      </c>
      <c r="B161" s="10">
        <v>196788</v>
      </c>
      <c r="C161">
        <v>158988.6</v>
      </c>
      <c r="D161">
        <v>99.4</v>
      </c>
      <c r="E161">
        <v>91.9</v>
      </c>
      <c r="F161">
        <v>93.3</v>
      </c>
      <c r="G161" s="4">
        <v>82.1</v>
      </c>
      <c r="H161">
        <v>79.400000000000006</v>
      </c>
      <c r="I161">
        <v>96.3</v>
      </c>
      <c r="J161">
        <v>243367.4</v>
      </c>
      <c r="K161">
        <v>1.5</v>
      </c>
      <c r="L161">
        <v>110.8</v>
      </c>
      <c r="M161" s="11">
        <v>21903.93</v>
      </c>
      <c r="O161">
        <v>2.6250698088650999E-2</v>
      </c>
      <c r="P161">
        <v>-25.5</v>
      </c>
    </row>
    <row r="162" spans="1:16" x14ac:dyDescent="0.4">
      <c r="A162" s="1">
        <v>41395</v>
      </c>
      <c r="B162" s="10" t="e">
        <v>#N/A</v>
      </c>
      <c r="C162" t="e">
        <v>#N/A</v>
      </c>
      <c r="D162" t="e">
        <v>#N/A</v>
      </c>
      <c r="E162" t="e">
        <v>#N/A</v>
      </c>
      <c r="F162">
        <v>95.1</v>
      </c>
      <c r="G162" s="4">
        <v>82.4</v>
      </c>
      <c r="H162">
        <v>80.7</v>
      </c>
      <c r="I162">
        <v>96.8</v>
      </c>
      <c r="J162" t="e">
        <v>#N/A</v>
      </c>
      <c r="K162">
        <v>1.6</v>
      </c>
      <c r="L162">
        <v>109</v>
      </c>
      <c r="M162" s="11">
        <v>21835.082000000002</v>
      </c>
      <c r="O162">
        <v>-0.12186507491956</v>
      </c>
      <c r="P162">
        <v>-27.1</v>
      </c>
    </row>
    <row r="163" spans="1:16" x14ac:dyDescent="0.4">
      <c r="A163" s="1">
        <v>41426</v>
      </c>
      <c r="B163" s="10" t="e">
        <v>#N/A</v>
      </c>
      <c r="C163" t="e">
        <v>#N/A</v>
      </c>
      <c r="D163" t="e">
        <v>#N/A</v>
      </c>
      <c r="E163" t="e">
        <v>#N/A</v>
      </c>
      <c r="F163">
        <v>95.1</v>
      </c>
      <c r="G163" s="4">
        <v>83.5</v>
      </c>
      <c r="H163">
        <v>82.9</v>
      </c>
      <c r="I163">
        <v>96.6</v>
      </c>
      <c r="J163" t="e">
        <v>#N/A</v>
      </c>
      <c r="K163">
        <v>1.5</v>
      </c>
      <c r="L163">
        <v>109.3</v>
      </c>
      <c r="M163" s="11">
        <v>21838.531999999999</v>
      </c>
      <c r="O163">
        <v>7.8410945033468196E-2</v>
      </c>
      <c r="P163">
        <v>-23.2</v>
      </c>
    </row>
    <row r="164" spans="1:16" x14ac:dyDescent="0.4">
      <c r="A164" s="1">
        <v>41456</v>
      </c>
      <c r="B164" s="10">
        <v>179123</v>
      </c>
      <c r="C164">
        <v>147755.29999999999</v>
      </c>
      <c r="D164">
        <v>99.6</v>
      </c>
      <c r="E164">
        <v>92</v>
      </c>
      <c r="F164">
        <v>94.9</v>
      </c>
      <c r="G164" s="4">
        <v>83.2</v>
      </c>
      <c r="H164">
        <v>84.7</v>
      </c>
      <c r="I164">
        <v>96.1</v>
      </c>
      <c r="J164">
        <v>244348.7</v>
      </c>
      <c r="K164">
        <v>1.2</v>
      </c>
      <c r="L164">
        <v>109.9</v>
      </c>
      <c r="M164" s="11">
        <v>21822.663</v>
      </c>
      <c r="O164">
        <v>1.2061417478228999E-2</v>
      </c>
      <c r="P164">
        <v>-24.6</v>
      </c>
    </row>
    <row r="165" spans="1:16" x14ac:dyDescent="0.4">
      <c r="A165" s="1">
        <v>41487</v>
      </c>
      <c r="B165" s="10" t="e">
        <v>#N/A</v>
      </c>
      <c r="C165" t="e">
        <v>#N/A</v>
      </c>
      <c r="D165" t="e">
        <v>#N/A</v>
      </c>
      <c r="E165" t="e">
        <v>#N/A</v>
      </c>
      <c r="F165">
        <v>93.2</v>
      </c>
      <c r="G165" s="4">
        <v>83.6</v>
      </c>
      <c r="H165">
        <v>88.9</v>
      </c>
      <c r="I165">
        <v>96.7</v>
      </c>
      <c r="J165" t="e">
        <v>#N/A</v>
      </c>
      <c r="K165">
        <v>1.5</v>
      </c>
      <c r="L165">
        <v>110.5</v>
      </c>
      <c r="M165" s="11">
        <v>21825.870000000003</v>
      </c>
      <c r="O165">
        <v>4.4149386308195197E-2</v>
      </c>
      <c r="P165">
        <v>-24.4</v>
      </c>
    </row>
    <row r="166" spans="1:16" x14ac:dyDescent="0.4">
      <c r="A166" s="1">
        <v>41518</v>
      </c>
      <c r="B166" s="10" t="e">
        <v>#N/A</v>
      </c>
      <c r="C166" t="e">
        <v>#N/A</v>
      </c>
      <c r="D166" t="e">
        <v>#N/A</v>
      </c>
      <c r="E166" t="e">
        <v>#N/A</v>
      </c>
      <c r="F166">
        <v>95</v>
      </c>
      <c r="G166" s="4">
        <v>84.5</v>
      </c>
      <c r="H166">
        <v>93.5</v>
      </c>
      <c r="I166">
        <v>96.6</v>
      </c>
      <c r="J166" t="e">
        <v>#N/A</v>
      </c>
      <c r="K166">
        <v>1.3</v>
      </c>
      <c r="L166">
        <v>111</v>
      </c>
      <c r="M166" s="11">
        <v>21752.403999999999</v>
      </c>
      <c r="O166">
        <v>0.10431609318011099</v>
      </c>
      <c r="P166">
        <v>-21.2</v>
      </c>
    </row>
    <row r="167" spans="1:16" x14ac:dyDescent="0.4">
      <c r="A167" s="1">
        <v>41548</v>
      </c>
      <c r="B167" s="10">
        <v>246791</v>
      </c>
      <c r="C167">
        <v>181436.2</v>
      </c>
      <c r="D167">
        <v>99.3</v>
      </c>
      <c r="E167">
        <v>92.6</v>
      </c>
      <c r="F167">
        <v>95.3</v>
      </c>
      <c r="G167" s="4">
        <v>83.8</v>
      </c>
      <c r="H167">
        <v>90.4</v>
      </c>
      <c r="I167">
        <v>96.6</v>
      </c>
      <c r="J167">
        <v>244313.4</v>
      </c>
      <c r="K167">
        <v>1.1000000000000001</v>
      </c>
      <c r="L167">
        <v>109.7</v>
      </c>
      <c r="M167" s="11">
        <v>21807.620999999999</v>
      </c>
      <c r="O167">
        <v>-1.7199569247532399E-2</v>
      </c>
      <c r="P167">
        <v>-26</v>
      </c>
    </row>
    <row r="168" spans="1:16" x14ac:dyDescent="0.4">
      <c r="A168" s="1">
        <v>41579</v>
      </c>
      <c r="B168" s="10" t="e">
        <v>#N/A</v>
      </c>
      <c r="C168" t="e">
        <v>#N/A</v>
      </c>
      <c r="D168" t="e">
        <v>#N/A</v>
      </c>
      <c r="E168" t="e">
        <v>#N/A</v>
      </c>
      <c r="F168">
        <v>95</v>
      </c>
      <c r="G168" s="4">
        <v>83.9</v>
      </c>
      <c r="H168">
        <v>93.7</v>
      </c>
      <c r="I168">
        <v>96.8</v>
      </c>
      <c r="J168" t="e">
        <v>#N/A</v>
      </c>
      <c r="K168">
        <v>1.1000000000000001</v>
      </c>
      <c r="L168">
        <v>108.8</v>
      </c>
      <c r="M168" s="11">
        <v>21826.32</v>
      </c>
      <c r="O168">
        <v>-2.84285529708939E-3</v>
      </c>
      <c r="P168">
        <v>-23.3</v>
      </c>
    </row>
    <row r="169" spans="1:16" x14ac:dyDescent="0.4">
      <c r="A169" s="1">
        <v>41609</v>
      </c>
      <c r="B169" s="10" t="e">
        <v>#N/A</v>
      </c>
      <c r="C169" t="e">
        <v>#N/A</v>
      </c>
      <c r="D169" t="e">
        <v>#N/A</v>
      </c>
      <c r="E169" t="e">
        <v>#N/A</v>
      </c>
      <c r="F169">
        <v>94</v>
      </c>
      <c r="G169" s="4">
        <v>83.8</v>
      </c>
      <c r="H169">
        <v>93.8</v>
      </c>
      <c r="I169">
        <v>96.4</v>
      </c>
      <c r="J169" t="e">
        <v>#N/A</v>
      </c>
      <c r="K169">
        <v>1</v>
      </c>
      <c r="L169">
        <v>109.5</v>
      </c>
      <c r="M169" s="12">
        <v>21808.611000000001</v>
      </c>
      <c r="O169">
        <v>2.3447122184847999E-2</v>
      </c>
      <c r="P169">
        <v>-23.7</v>
      </c>
    </row>
    <row r="170" spans="1:16" x14ac:dyDescent="0.4">
      <c r="A170" s="1">
        <v>41640</v>
      </c>
      <c r="B170" s="10">
        <v>158182</v>
      </c>
      <c r="C170">
        <v>145465.20000000001</v>
      </c>
      <c r="D170">
        <v>99.6</v>
      </c>
      <c r="E170">
        <v>91.8</v>
      </c>
      <c r="F170">
        <v>95.6</v>
      </c>
      <c r="G170" s="4">
        <v>85.2</v>
      </c>
      <c r="H170">
        <v>94.8</v>
      </c>
      <c r="I170">
        <v>96.5</v>
      </c>
      <c r="J170">
        <v>244344.8</v>
      </c>
      <c r="K170">
        <v>0.9</v>
      </c>
      <c r="L170">
        <v>109.8</v>
      </c>
      <c r="M170" s="11">
        <v>21778.583999999999</v>
      </c>
      <c r="O170">
        <v>5.1391136958931903E-2</v>
      </c>
      <c r="P170">
        <v>-24.6</v>
      </c>
    </row>
    <row r="171" spans="1:16" x14ac:dyDescent="0.4">
      <c r="A171" s="1">
        <v>41671</v>
      </c>
      <c r="B171" s="10" t="e">
        <v>#N/A</v>
      </c>
      <c r="C171" t="e">
        <v>#N/A</v>
      </c>
      <c r="D171" t="e">
        <v>#N/A</v>
      </c>
      <c r="E171" t="e">
        <v>#N/A</v>
      </c>
      <c r="F171">
        <v>94.9</v>
      </c>
      <c r="G171" s="4">
        <v>83.3</v>
      </c>
      <c r="H171">
        <v>95.2</v>
      </c>
      <c r="I171">
        <v>96.5</v>
      </c>
      <c r="J171" t="e">
        <v>#N/A</v>
      </c>
      <c r="K171">
        <v>0.8</v>
      </c>
      <c r="L171">
        <v>109.3</v>
      </c>
      <c r="M171" s="11">
        <v>21815.71</v>
      </c>
      <c r="O171">
        <v>5.9305820064613698E-2</v>
      </c>
      <c r="P171">
        <v>-23.2</v>
      </c>
    </row>
    <row r="172" spans="1:16" x14ac:dyDescent="0.4">
      <c r="A172" s="1">
        <v>41699</v>
      </c>
      <c r="B172" s="10" t="e">
        <v>#N/A</v>
      </c>
      <c r="C172" t="e">
        <v>#N/A</v>
      </c>
      <c r="D172" t="e">
        <v>#N/A</v>
      </c>
      <c r="E172" t="e">
        <v>#N/A</v>
      </c>
      <c r="F172">
        <v>93.7</v>
      </c>
      <c r="G172" s="4">
        <v>83.3</v>
      </c>
      <c r="H172">
        <v>96.8</v>
      </c>
      <c r="I172">
        <v>96.7</v>
      </c>
      <c r="J172" t="e">
        <v>#N/A</v>
      </c>
      <c r="K172">
        <v>0.7</v>
      </c>
      <c r="L172">
        <v>109.1</v>
      </c>
      <c r="M172" s="11">
        <v>21938.78</v>
      </c>
      <c r="O172">
        <v>4.2324210947200002E-3</v>
      </c>
      <c r="P172">
        <v>-20</v>
      </c>
    </row>
    <row r="173" spans="1:16" x14ac:dyDescent="0.4">
      <c r="A173" s="1">
        <v>41730</v>
      </c>
      <c r="B173" s="10">
        <v>194058</v>
      </c>
      <c r="C173">
        <v>159224.20000000001</v>
      </c>
      <c r="D173">
        <v>99.5</v>
      </c>
      <c r="E173">
        <v>92.4</v>
      </c>
      <c r="F173">
        <v>94.7</v>
      </c>
      <c r="G173" s="4">
        <v>83.9</v>
      </c>
      <c r="H173">
        <v>96.6</v>
      </c>
      <c r="I173">
        <v>97.5</v>
      </c>
      <c r="J173">
        <v>244679</v>
      </c>
      <c r="K173">
        <v>0.9</v>
      </c>
      <c r="L173">
        <v>107.7</v>
      </c>
      <c r="M173" s="11">
        <v>21821.826000000001</v>
      </c>
      <c r="O173">
        <v>-7.0948422550536298E-3</v>
      </c>
      <c r="P173">
        <v>-16.899999999999999</v>
      </c>
    </row>
    <row r="174" spans="1:16" x14ac:dyDescent="0.4">
      <c r="A174" s="1">
        <v>41760</v>
      </c>
      <c r="B174" s="10" t="e">
        <v>#N/A</v>
      </c>
      <c r="C174" t="e">
        <v>#N/A</v>
      </c>
      <c r="D174" t="e">
        <v>#N/A</v>
      </c>
      <c r="E174" t="e">
        <v>#N/A</v>
      </c>
      <c r="F174">
        <v>93.4</v>
      </c>
      <c r="G174" s="4">
        <v>82.4</v>
      </c>
      <c r="H174">
        <v>97.7</v>
      </c>
      <c r="I174">
        <v>97.1</v>
      </c>
      <c r="J174" t="e">
        <v>#N/A</v>
      </c>
      <c r="K174">
        <v>0.5</v>
      </c>
      <c r="L174">
        <v>107.8</v>
      </c>
      <c r="M174" s="11">
        <v>21955.075000000001</v>
      </c>
      <c r="O174">
        <v>-1.6126374830498901E-2</v>
      </c>
      <c r="P174">
        <v>-14.5</v>
      </c>
    </row>
    <row r="175" spans="1:16" x14ac:dyDescent="0.4">
      <c r="A175" s="1">
        <v>41791</v>
      </c>
      <c r="B175" s="10" t="e">
        <v>#N/A</v>
      </c>
      <c r="C175" t="e">
        <v>#N/A</v>
      </c>
      <c r="D175" t="e">
        <v>#N/A</v>
      </c>
      <c r="E175" t="e">
        <v>#N/A</v>
      </c>
      <c r="F175">
        <v>95.3</v>
      </c>
      <c r="G175" s="4">
        <v>83.2</v>
      </c>
      <c r="H175">
        <v>96.8</v>
      </c>
      <c r="I175">
        <v>97</v>
      </c>
      <c r="J175" t="e">
        <v>#N/A</v>
      </c>
      <c r="K175">
        <v>0.4</v>
      </c>
      <c r="L175">
        <v>107.9</v>
      </c>
      <c r="M175" s="11">
        <v>21983.888999999999</v>
      </c>
      <c r="O175">
        <v>-3.4074928315799703E-2</v>
      </c>
      <c r="P175">
        <v>-16.399999999999999</v>
      </c>
    </row>
    <row r="176" spans="1:16" x14ac:dyDescent="0.4">
      <c r="A176" s="1">
        <v>41821</v>
      </c>
      <c r="B176" s="10">
        <v>181804</v>
      </c>
      <c r="C176">
        <v>148675.4</v>
      </c>
      <c r="D176">
        <v>99.6</v>
      </c>
      <c r="E176">
        <v>92.3</v>
      </c>
      <c r="F176">
        <v>93.9</v>
      </c>
      <c r="G176" s="4">
        <v>82.9</v>
      </c>
      <c r="H176">
        <v>96.8</v>
      </c>
      <c r="I176">
        <v>96.4</v>
      </c>
      <c r="J176">
        <v>245251.6</v>
      </c>
      <c r="K176">
        <v>0.3</v>
      </c>
      <c r="L176">
        <v>106.8</v>
      </c>
      <c r="M176" s="11">
        <v>21926.293000000001</v>
      </c>
      <c r="O176">
        <v>-5.8508211760557299E-3</v>
      </c>
      <c r="P176">
        <v>-19.5</v>
      </c>
    </row>
    <row r="177" spans="1:16" x14ac:dyDescent="0.4">
      <c r="A177" s="1">
        <v>41852</v>
      </c>
      <c r="B177" s="10" t="e">
        <v>#N/A</v>
      </c>
      <c r="C177" t="e">
        <v>#N/A</v>
      </c>
      <c r="D177" t="e">
        <v>#N/A</v>
      </c>
      <c r="E177" t="e">
        <v>#N/A</v>
      </c>
      <c r="F177">
        <v>92.5</v>
      </c>
      <c r="G177" s="4">
        <v>81.5</v>
      </c>
      <c r="H177">
        <v>91.8</v>
      </c>
      <c r="I177">
        <v>96.6</v>
      </c>
      <c r="J177" t="e">
        <v>#N/A</v>
      </c>
      <c r="K177">
        <v>0.2</v>
      </c>
      <c r="L177">
        <v>106.5</v>
      </c>
      <c r="M177" s="11">
        <v>21888.467000000001</v>
      </c>
      <c r="O177">
        <v>2.1383428085242101E-2</v>
      </c>
      <c r="P177">
        <v>-21.7</v>
      </c>
    </row>
    <row r="178" spans="1:16" x14ac:dyDescent="0.4">
      <c r="A178" s="1">
        <v>41883</v>
      </c>
      <c r="B178" s="10" t="e">
        <v>#N/A</v>
      </c>
      <c r="C178" t="e">
        <v>#N/A</v>
      </c>
      <c r="D178" t="e">
        <v>#N/A</v>
      </c>
      <c r="E178" t="e">
        <v>#N/A</v>
      </c>
      <c r="F178">
        <v>93.2</v>
      </c>
      <c r="G178" s="4">
        <v>83.3</v>
      </c>
      <c r="H178">
        <v>91.6</v>
      </c>
      <c r="I178">
        <v>97.4</v>
      </c>
      <c r="J178" t="e">
        <v>#N/A</v>
      </c>
      <c r="K178">
        <v>0.3</v>
      </c>
      <c r="L178">
        <v>106.1</v>
      </c>
      <c r="M178" s="11">
        <v>21973.708999999999</v>
      </c>
      <c r="O178">
        <v>-5.4543327528097797E-2</v>
      </c>
      <c r="P178">
        <v>-20.100000000000001</v>
      </c>
    </row>
    <row r="179" spans="1:16" x14ac:dyDescent="0.4">
      <c r="A179" s="1">
        <v>41913</v>
      </c>
      <c r="B179" s="10">
        <v>249480</v>
      </c>
      <c r="C179">
        <v>182573</v>
      </c>
      <c r="D179">
        <v>99.9</v>
      </c>
      <c r="E179">
        <v>92.3</v>
      </c>
      <c r="F179">
        <v>93.1</v>
      </c>
      <c r="G179" s="4">
        <v>83.4</v>
      </c>
      <c r="H179">
        <v>92.2</v>
      </c>
      <c r="I179">
        <v>97.6</v>
      </c>
      <c r="J179">
        <v>246302</v>
      </c>
      <c r="K179">
        <v>0.5</v>
      </c>
      <c r="L179">
        <v>107</v>
      </c>
      <c r="M179" s="11">
        <v>22005.356</v>
      </c>
      <c r="O179">
        <v>1.1609045622309499E-2</v>
      </c>
      <c r="P179">
        <v>-21.1</v>
      </c>
    </row>
    <row r="180" spans="1:16" x14ac:dyDescent="0.4">
      <c r="A180" s="1">
        <v>41944</v>
      </c>
      <c r="B180" s="10" t="e">
        <v>#N/A</v>
      </c>
      <c r="C180" t="e">
        <v>#N/A</v>
      </c>
      <c r="D180" t="e">
        <v>#N/A</v>
      </c>
      <c r="E180" t="e">
        <v>#N/A</v>
      </c>
      <c r="F180">
        <v>93.1</v>
      </c>
      <c r="G180" s="4">
        <v>81.8</v>
      </c>
      <c r="H180">
        <v>92.3</v>
      </c>
      <c r="I180">
        <v>98.5</v>
      </c>
      <c r="J180" t="e">
        <v>#N/A</v>
      </c>
      <c r="K180">
        <v>0.5</v>
      </c>
      <c r="L180">
        <v>105.7</v>
      </c>
      <c r="M180" s="11">
        <v>21943.731</v>
      </c>
      <c r="O180">
        <v>-5.1361669916500902E-2</v>
      </c>
      <c r="P180">
        <v>-20.9</v>
      </c>
    </row>
    <row r="181" spans="1:16" x14ac:dyDescent="0.4">
      <c r="A181" s="1">
        <v>41974</v>
      </c>
      <c r="B181" s="10" t="e">
        <v>#N/A</v>
      </c>
      <c r="C181" t="e">
        <v>#N/A</v>
      </c>
      <c r="D181" t="e">
        <v>#N/A</v>
      </c>
      <c r="E181" t="e">
        <v>#N/A</v>
      </c>
      <c r="F181">
        <v>94.1</v>
      </c>
      <c r="G181" s="4">
        <v>84.1</v>
      </c>
      <c r="H181">
        <v>92.1</v>
      </c>
      <c r="I181">
        <v>98.5</v>
      </c>
      <c r="J181" t="e">
        <v>#N/A</v>
      </c>
      <c r="K181">
        <v>0.4</v>
      </c>
      <c r="L181">
        <v>103.7</v>
      </c>
      <c r="M181" s="12">
        <v>22030.552</v>
      </c>
      <c r="O181">
        <v>7.5500858149146297E-2</v>
      </c>
      <c r="P181">
        <v>-22.9</v>
      </c>
    </row>
    <row r="182" spans="1:16" x14ac:dyDescent="0.4">
      <c r="A182" s="1">
        <v>42005</v>
      </c>
      <c r="B182" s="10">
        <v>160289</v>
      </c>
      <c r="C182">
        <v>147632.1</v>
      </c>
      <c r="D182">
        <v>99.5</v>
      </c>
      <c r="E182">
        <v>92.7</v>
      </c>
      <c r="F182">
        <v>93.7</v>
      </c>
      <c r="G182" s="4">
        <v>83.2</v>
      </c>
      <c r="H182">
        <v>94.9</v>
      </c>
      <c r="I182">
        <v>98.6</v>
      </c>
      <c r="J182">
        <v>247668.7</v>
      </c>
      <c r="K182">
        <v>0.4</v>
      </c>
      <c r="L182">
        <v>99.8</v>
      </c>
      <c r="M182" s="11">
        <v>22006.633000000002</v>
      </c>
      <c r="O182">
        <v>8.5718047217724802E-2</v>
      </c>
      <c r="P182">
        <v>-21.7</v>
      </c>
    </row>
    <row r="183" spans="1:16" x14ac:dyDescent="0.4">
      <c r="A183" s="1">
        <v>42036</v>
      </c>
      <c r="B183" s="10" t="e">
        <v>#N/A</v>
      </c>
      <c r="C183" t="e">
        <v>#N/A</v>
      </c>
      <c r="D183" t="e">
        <v>#N/A</v>
      </c>
      <c r="E183" t="e">
        <v>#N/A</v>
      </c>
      <c r="F183">
        <v>94.5</v>
      </c>
      <c r="G183" s="4">
        <v>83.5</v>
      </c>
      <c r="H183">
        <v>98</v>
      </c>
      <c r="I183">
        <v>98.6</v>
      </c>
      <c r="J183" t="e">
        <v>#N/A</v>
      </c>
      <c r="K183">
        <v>1</v>
      </c>
      <c r="L183">
        <v>100.1</v>
      </c>
      <c r="M183" s="11">
        <v>22025.203999999998</v>
      </c>
      <c r="O183">
        <v>3.6007846517192001E-2</v>
      </c>
      <c r="P183">
        <v>-14.5</v>
      </c>
    </row>
    <row r="184" spans="1:16" x14ac:dyDescent="0.4">
      <c r="A184" s="1">
        <v>42064</v>
      </c>
      <c r="B184" s="10" t="e">
        <v>#N/A</v>
      </c>
      <c r="C184" t="e">
        <v>#N/A</v>
      </c>
      <c r="D184" t="e">
        <v>#N/A</v>
      </c>
      <c r="E184" t="e">
        <v>#N/A</v>
      </c>
      <c r="F184">
        <v>94.8</v>
      </c>
      <c r="G184" s="4">
        <v>84.3</v>
      </c>
      <c r="H184">
        <v>102.6</v>
      </c>
      <c r="I184">
        <v>98.6</v>
      </c>
      <c r="J184" t="e">
        <v>#N/A</v>
      </c>
      <c r="K184">
        <v>0.7</v>
      </c>
      <c r="L184">
        <v>102</v>
      </c>
      <c r="M184" s="11">
        <v>22011.73</v>
      </c>
      <c r="O184">
        <v>-4.8048920440031404E-3</v>
      </c>
      <c r="P184">
        <v>-13</v>
      </c>
    </row>
    <row r="185" spans="1:16" x14ac:dyDescent="0.4">
      <c r="A185" s="1">
        <v>42095</v>
      </c>
      <c r="B185" s="10">
        <v>199042</v>
      </c>
      <c r="C185">
        <v>162452.29999999999</v>
      </c>
      <c r="D185">
        <v>99.9</v>
      </c>
      <c r="E185">
        <v>92.8</v>
      </c>
      <c r="F185">
        <v>95</v>
      </c>
      <c r="G185" s="4">
        <v>83.8</v>
      </c>
      <c r="H185">
        <v>101.7</v>
      </c>
      <c r="I185">
        <v>98.6</v>
      </c>
      <c r="J185">
        <v>250946.7</v>
      </c>
      <c r="K185">
        <v>0.5</v>
      </c>
      <c r="L185">
        <v>100.8</v>
      </c>
      <c r="M185" s="11">
        <v>22098.641</v>
      </c>
      <c r="O185">
        <v>1.93379753044951E-2</v>
      </c>
      <c r="P185">
        <v>-14.2</v>
      </c>
    </row>
    <row r="186" spans="1:16" x14ac:dyDescent="0.4">
      <c r="A186" s="1">
        <v>42125</v>
      </c>
      <c r="B186" s="10" t="e">
        <v>#N/A</v>
      </c>
      <c r="C186" t="e">
        <v>#N/A</v>
      </c>
      <c r="D186" t="e">
        <v>#N/A</v>
      </c>
      <c r="E186" t="e">
        <v>#N/A</v>
      </c>
      <c r="F186">
        <v>95.9</v>
      </c>
      <c r="G186" s="4">
        <v>84.8</v>
      </c>
      <c r="H186">
        <v>101.5</v>
      </c>
      <c r="I186">
        <v>98.8</v>
      </c>
      <c r="J186" t="e">
        <v>#N/A</v>
      </c>
      <c r="K186">
        <v>0.8</v>
      </c>
      <c r="L186">
        <v>101.6</v>
      </c>
      <c r="M186" s="11">
        <v>22024.09</v>
      </c>
      <c r="O186">
        <v>-4.5049721979660597E-2</v>
      </c>
      <c r="P186">
        <v>-15.3</v>
      </c>
    </row>
    <row r="187" spans="1:16" x14ac:dyDescent="0.4">
      <c r="A187" s="1">
        <v>42156</v>
      </c>
      <c r="B187" s="10" t="e">
        <v>#N/A</v>
      </c>
      <c r="C187" t="e">
        <v>#N/A</v>
      </c>
      <c r="D187" t="e">
        <v>#N/A</v>
      </c>
      <c r="E187" t="e">
        <v>#N/A</v>
      </c>
      <c r="F187">
        <v>95.4</v>
      </c>
      <c r="G187" s="5">
        <v>86</v>
      </c>
      <c r="H187">
        <v>103.7</v>
      </c>
      <c r="I187">
        <v>99</v>
      </c>
      <c r="J187" t="e">
        <v>#N/A</v>
      </c>
      <c r="K187">
        <v>0.9</v>
      </c>
      <c r="L187">
        <v>101.6</v>
      </c>
      <c r="M187" s="11">
        <v>22072.870999999999</v>
      </c>
      <c r="O187">
        <v>4.6835664538813E-2</v>
      </c>
      <c r="P187">
        <v>-14.7</v>
      </c>
    </row>
    <row r="188" spans="1:16" x14ac:dyDescent="0.4">
      <c r="A188" s="1">
        <v>42186</v>
      </c>
      <c r="B188" s="10">
        <v>185148</v>
      </c>
      <c r="C188">
        <v>152178.5</v>
      </c>
      <c r="D188">
        <v>100.1</v>
      </c>
      <c r="E188">
        <v>92.7</v>
      </c>
      <c r="F188">
        <v>96.4</v>
      </c>
      <c r="G188" s="4">
        <v>84.5</v>
      </c>
      <c r="H188">
        <v>102.5</v>
      </c>
      <c r="I188">
        <v>100</v>
      </c>
      <c r="J188">
        <v>250574.3</v>
      </c>
      <c r="K188">
        <v>1</v>
      </c>
      <c r="L188">
        <v>101</v>
      </c>
      <c r="M188" s="11">
        <v>22134.553</v>
      </c>
      <c r="O188">
        <v>-7.0213528060172295E-2</v>
      </c>
      <c r="P188">
        <v>-17.8</v>
      </c>
    </row>
    <row r="189" spans="1:16" x14ac:dyDescent="0.4">
      <c r="A189" s="1">
        <v>42217</v>
      </c>
      <c r="B189" s="10" t="e">
        <v>#N/A</v>
      </c>
      <c r="C189" t="e">
        <v>#N/A</v>
      </c>
      <c r="D189" t="e">
        <v>#N/A</v>
      </c>
      <c r="E189" t="e">
        <v>#N/A</v>
      </c>
      <c r="F189">
        <v>94</v>
      </c>
      <c r="G189" s="4">
        <v>81.7</v>
      </c>
      <c r="H189">
        <v>103</v>
      </c>
      <c r="I189">
        <v>99.6</v>
      </c>
      <c r="J189" t="e">
        <v>#N/A</v>
      </c>
      <c r="K189">
        <v>1</v>
      </c>
      <c r="L189">
        <v>99.7</v>
      </c>
      <c r="M189" s="11">
        <v>22202.364999999998</v>
      </c>
      <c r="O189">
        <v>-2.9930305020121398E-2</v>
      </c>
      <c r="P189">
        <v>-15</v>
      </c>
    </row>
    <row r="190" spans="1:16" x14ac:dyDescent="0.4">
      <c r="A190" s="1">
        <v>42248</v>
      </c>
      <c r="B190" s="10" t="e">
        <v>#N/A</v>
      </c>
      <c r="C190" t="e">
        <v>#N/A</v>
      </c>
      <c r="D190" t="e">
        <v>#N/A</v>
      </c>
      <c r="E190" t="e">
        <v>#N/A</v>
      </c>
      <c r="F190">
        <v>95.1</v>
      </c>
      <c r="G190" s="4">
        <v>83.7</v>
      </c>
      <c r="H190">
        <v>106.3</v>
      </c>
      <c r="I190">
        <v>99.1</v>
      </c>
      <c r="J190" t="e">
        <v>#N/A</v>
      </c>
      <c r="K190">
        <v>1.1000000000000001</v>
      </c>
      <c r="L190">
        <v>98</v>
      </c>
      <c r="M190" s="11">
        <v>22214.718999999997</v>
      </c>
      <c r="O190">
        <v>5.2506458183200898E-2</v>
      </c>
      <c r="P190">
        <v>-11.3</v>
      </c>
    </row>
    <row r="191" spans="1:16" x14ac:dyDescent="0.4">
      <c r="A191" s="1">
        <v>42278</v>
      </c>
      <c r="B191" s="10">
        <v>250313</v>
      </c>
      <c r="C191">
        <v>187052.3</v>
      </c>
      <c r="D191">
        <v>100.5</v>
      </c>
      <c r="E191">
        <v>92.9</v>
      </c>
      <c r="F191">
        <v>95.2</v>
      </c>
      <c r="G191" s="4">
        <v>84.6</v>
      </c>
      <c r="H191">
        <v>106.7</v>
      </c>
      <c r="I191">
        <v>98.6</v>
      </c>
      <c r="J191">
        <v>251341.5</v>
      </c>
      <c r="K191">
        <v>1.2</v>
      </c>
      <c r="L191">
        <v>98.8</v>
      </c>
      <c r="M191" s="11">
        <v>22237.864999999998</v>
      </c>
      <c r="O191">
        <v>1.2178800250850901E-2</v>
      </c>
      <c r="P191">
        <v>-9.6999999999999993</v>
      </c>
    </row>
    <row r="192" spans="1:16" x14ac:dyDescent="0.4">
      <c r="A192" s="1">
        <v>42309</v>
      </c>
      <c r="B192" s="10" t="e">
        <v>#N/A</v>
      </c>
      <c r="C192" t="e">
        <v>#N/A</v>
      </c>
      <c r="D192" t="e">
        <v>#N/A</v>
      </c>
      <c r="E192" t="e">
        <v>#N/A</v>
      </c>
      <c r="F192">
        <v>96</v>
      </c>
      <c r="G192" s="4">
        <v>82.8</v>
      </c>
      <c r="H192">
        <v>106.9</v>
      </c>
      <c r="I192">
        <v>98.5</v>
      </c>
      <c r="J192" t="e">
        <v>#N/A</v>
      </c>
      <c r="K192">
        <v>0.9</v>
      </c>
      <c r="L192">
        <v>98.5</v>
      </c>
      <c r="M192" s="11">
        <v>22266.718000000001</v>
      </c>
      <c r="O192">
        <v>-5.8925871830545901E-2</v>
      </c>
      <c r="P192">
        <v>-7.8</v>
      </c>
    </row>
    <row r="193" spans="1:16" x14ac:dyDescent="0.4">
      <c r="A193" s="1">
        <v>42339</v>
      </c>
      <c r="B193" s="10" t="e">
        <v>#N/A</v>
      </c>
      <c r="C193" t="e">
        <v>#N/A</v>
      </c>
      <c r="D193" t="e">
        <v>#N/A</v>
      </c>
      <c r="E193" t="e">
        <v>#N/A</v>
      </c>
      <c r="F193">
        <v>94.1</v>
      </c>
      <c r="G193" s="4">
        <v>81.8</v>
      </c>
      <c r="H193">
        <v>105.6</v>
      </c>
      <c r="I193">
        <v>98.8</v>
      </c>
      <c r="J193" t="e">
        <v>#N/A</v>
      </c>
      <c r="K193">
        <v>0.7</v>
      </c>
      <c r="L193">
        <v>98.1</v>
      </c>
      <c r="M193" s="12">
        <v>22224.453000000001</v>
      </c>
      <c r="O193">
        <v>-0.138010279188821</v>
      </c>
      <c r="P193">
        <v>-10.3</v>
      </c>
    </row>
    <row r="194" spans="1:16" x14ac:dyDescent="0.4">
      <c r="A194" s="1">
        <v>42370</v>
      </c>
      <c r="B194" s="10">
        <v>162941</v>
      </c>
      <c r="C194">
        <v>151833</v>
      </c>
      <c r="D194">
        <v>102.2</v>
      </c>
      <c r="E194">
        <v>92.5</v>
      </c>
      <c r="F194">
        <v>97</v>
      </c>
      <c r="G194" s="4">
        <v>83.6</v>
      </c>
      <c r="H194">
        <v>103.9</v>
      </c>
      <c r="I194">
        <v>98.6</v>
      </c>
      <c r="J194">
        <v>251923.7</v>
      </c>
      <c r="K194">
        <v>0.9</v>
      </c>
      <c r="L194">
        <v>95.7</v>
      </c>
      <c r="M194" s="11">
        <v>22320.684000000001</v>
      </c>
      <c r="O194">
        <v>-5.7016543707629097E-2</v>
      </c>
      <c r="P194">
        <v>-10.4</v>
      </c>
    </row>
    <row r="195" spans="1:16" x14ac:dyDescent="0.4">
      <c r="A195" s="1">
        <v>42401</v>
      </c>
      <c r="B195" s="10" t="e">
        <v>#N/A</v>
      </c>
      <c r="C195" t="e">
        <v>#N/A</v>
      </c>
      <c r="D195" t="e">
        <v>#N/A</v>
      </c>
      <c r="E195" t="e">
        <v>#N/A</v>
      </c>
      <c r="F195">
        <v>95.6</v>
      </c>
      <c r="G195" s="4">
        <v>83.1</v>
      </c>
      <c r="H195">
        <v>103.9</v>
      </c>
      <c r="I195">
        <v>99.3</v>
      </c>
      <c r="J195" t="e">
        <v>#N/A</v>
      </c>
      <c r="K195">
        <v>0.3</v>
      </c>
      <c r="L195">
        <v>94.6</v>
      </c>
      <c r="M195" s="11">
        <v>22244.773999999998</v>
      </c>
      <c r="O195">
        <v>2.764585691164E-2</v>
      </c>
      <c r="P195">
        <v>-10</v>
      </c>
    </row>
    <row r="196" spans="1:16" x14ac:dyDescent="0.4">
      <c r="A196" s="1">
        <v>42430</v>
      </c>
      <c r="B196" s="10" t="e">
        <v>#N/A</v>
      </c>
      <c r="C196" t="e">
        <v>#N/A</v>
      </c>
      <c r="D196" t="e">
        <v>#N/A</v>
      </c>
      <c r="E196" t="e">
        <v>#N/A</v>
      </c>
      <c r="F196">
        <v>95.7</v>
      </c>
      <c r="G196" s="4">
        <v>82.3</v>
      </c>
      <c r="H196">
        <v>102.1</v>
      </c>
      <c r="I196">
        <v>98.7</v>
      </c>
      <c r="J196" t="e">
        <v>#N/A</v>
      </c>
      <c r="K196">
        <v>0.5</v>
      </c>
      <c r="L196">
        <v>94.9</v>
      </c>
      <c r="M196" s="11">
        <v>22321.584000000003</v>
      </c>
      <c r="O196">
        <v>2.63646187209403E-2</v>
      </c>
      <c r="P196">
        <v>-11.4</v>
      </c>
    </row>
    <row r="197" spans="1:16" x14ac:dyDescent="0.4">
      <c r="A197" s="1">
        <v>42461</v>
      </c>
      <c r="B197" s="10">
        <v>199421</v>
      </c>
      <c r="C197">
        <v>166939.79999999999</v>
      </c>
      <c r="D197">
        <v>101.9</v>
      </c>
      <c r="E197">
        <v>92.5</v>
      </c>
      <c r="F197">
        <v>97.4</v>
      </c>
      <c r="G197" s="4">
        <v>83.6</v>
      </c>
      <c r="H197">
        <v>105.9</v>
      </c>
      <c r="I197">
        <v>99.1</v>
      </c>
      <c r="J197">
        <v>252530.7</v>
      </c>
      <c r="K197">
        <v>0.5</v>
      </c>
      <c r="L197">
        <v>92.5</v>
      </c>
      <c r="M197" s="11">
        <v>22403.513999999999</v>
      </c>
      <c r="O197">
        <v>-3.14556595438003E-2</v>
      </c>
      <c r="P197">
        <v>-10.8</v>
      </c>
    </row>
    <row r="198" spans="1:16" x14ac:dyDescent="0.4">
      <c r="A198" s="1">
        <v>42491</v>
      </c>
      <c r="B198" s="10" t="e">
        <v>#N/A</v>
      </c>
      <c r="C198" t="e">
        <v>#N/A</v>
      </c>
      <c r="D198" t="e">
        <v>#N/A</v>
      </c>
      <c r="E198" t="e">
        <v>#N/A</v>
      </c>
      <c r="F198">
        <v>95.7</v>
      </c>
      <c r="G198" s="4">
        <v>82.4</v>
      </c>
      <c r="H198">
        <v>105</v>
      </c>
      <c r="I198">
        <v>98.8</v>
      </c>
      <c r="J198" t="e">
        <v>#N/A</v>
      </c>
      <c r="K198">
        <v>0.6</v>
      </c>
      <c r="L198">
        <v>93.1</v>
      </c>
      <c r="M198" s="11">
        <v>22481.909</v>
      </c>
      <c r="O198">
        <v>-0.10687190534421601</v>
      </c>
      <c r="P198">
        <v>-13.9</v>
      </c>
    </row>
    <row r="199" spans="1:16" x14ac:dyDescent="0.4">
      <c r="A199" s="1">
        <v>42522</v>
      </c>
      <c r="B199" s="10" t="e">
        <v>#N/A</v>
      </c>
      <c r="C199" t="e">
        <v>#N/A</v>
      </c>
      <c r="D199" t="e">
        <v>#N/A</v>
      </c>
      <c r="E199" t="e">
        <v>#N/A</v>
      </c>
      <c r="F199">
        <v>94.6</v>
      </c>
      <c r="G199" s="4">
        <v>82.2</v>
      </c>
      <c r="H199">
        <v>103.9</v>
      </c>
      <c r="I199">
        <v>98.7</v>
      </c>
      <c r="J199" t="e">
        <v>#N/A</v>
      </c>
      <c r="K199">
        <v>0.5</v>
      </c>
      <c r="L199">
        <v>94</v>
      </c>
      <c r="M199" s="11">
        <v>22491.685000000001</v>
      </c>
      <c r="O199">
        <v>3.92848215772688E-2</v>
      </c>
      <c r="P199">
        <v>-13.3</v>
      </c>
    </row>
    <row r="200" spans="1:16" x14ac:dyDescent="0.4">
      <c r="A200" s="1">
        <v>42552</v>
      </c>
      <c r="B200" s="10">
        <v>185908</v>
      </c>
      <c r="C200">
        <v>155692.79999999999</v>
      </c>
      <c r="D200">
        <v>101.7</v>
      </c>
      <c r="E200">
        <v>92.7</v>
      </c>
      <c r="F200">
        <v>96.7</v>
      </c>
      <c r="G200" s="4">
        <v>84.3</v>
      </c>
      <c r="H200">
        <v>103.9</v>
      </c>
      <c r="I200">
        <v>99</v>
      </c>
      <c r="J200">
        <v>253438.7</v>
      </c>
      <c r="K200">
        <v>0.6</v>
      </c>
      <c r="L200">
        <v>94</v>
      </c>
      <c r="M200" s="11">
        <v>22456.938000000002</v>
      </c>
      <c r="O200">
        <v>5.6821697719033901E-3</v>
      </c>
      <c r="P200">
        <v>-12.2</v>
      </c>
    </row>
    <row r="201" spans="1:16" x14ac:dyDescent="0.4">
      <c r="A201" s="1">
        <v>42583</v>
      </c>
      <c r="B201" s="10" t="e">
        <v>#N/A</v>
      </c>
      <c r="C201" t="e">
        <v>#N/A</v>
      </c>
      <c r="D201" t="e">
        <v>#N/A</v>
      </c>
      <c r="E201" t="e">
        <v>#N/A</v>
      </c>
      <c r="F201">
        <v>97.3</v>
      </c>
      <c r="G201" s="4">
        <v>87.5</v>
      </c>
      <c r="H201">
        <v>101.4</v>
      </c>
      <c r="I201">
        <v>99.1</v>
      </c>
      <c r="J201" t="e">
        <v>#N/A</v>
      </c>
      <c r="K201">
        <v>0.6</v>
      </c>
      <c r="L201">
        <v>93.3</v>
      </c>
      <c r="M201" s="11">
        <v>22409.957999999999</v>
      </c>
      <c r="O201">
        <v>-3.2512460594997301E-2</v>
      </c>
      <c r="P201">
        <v>-15.3</v>
      </c>
    </row>
    <row r="202" spans="1:16" x14ac:dyDescent="0.4">
      <c r="A202" s="1">
        <v>42614</v>
      </c>
      <c r="B202" s="10" t="e">
        <v>#N/A</v>
      </c>
      <c r="C202" t="e">
        <v>#N/A</v>
      </c>
      <c r="D202" t="e">
        <v>#N/A</v>
      </c>
      <c r="E202" t="e">
        <v>#N/A</v>
      </c>
      <c r="F202">
        <v>97.1</v>
      </c>
      <c r="G202" s="4">
        <v>84.1</v>
      </c>
      <c r="H202">
        <v>101.2</v>
      </c>
      <c r="I202">
        <v>98.3</v>
      </c>
      <c r="J202" t="e">
        <v>#N/A</v>
      </c>
      <c r="K202">
        <v>0.4</v>
      </c>
      <c r="L202">
        <v>94.8</v>
      </c>
      <c r="M202" s="11">
        <v>22511.381999999998</v>
      </c>
      <c r="O202">
        <v>4.3197075567317E-2</v>
      </c>
      <c r="P202">
        <v>-16.899999999999999</v>
      </c>
    </row>
    <row r="203" spans="1:16" x14ac:dyDescent="0.4">
      <c r="A203" s="1">
        <v>42644</v>
      </c>
      <c r="B203" s="10">
        <v>245771</v>
      </c>
      <c r="C203">
        <v>190758</v>
      </c>
      <c r="D203">
        <v>102.3</v>
      </c>
      <c r="E203">
        <v>93.2</v>
      </c>
      <c r="F203">
        <v>97.6</v>
      </c>
      <c r="G203" s="4">
        <v>84.4</v>
      </c>
      <c r="H203">
        <v>102.1</v>
      </c>
      <c r="I203">
        <v>99.5</v>
      </c>
      <c r="J203">
        <v>255766</v>
      </c>
      <c r="K203">
        <v>0.2</v>
      </c>
      <c r="L203">
        <v>95.3</v>
      </c>
      <c r="M203" s="11">
        <v>22526.43</v>
      </c>
      <c r="O203">
        <v>-1.14521880032452E-2</v>
      </c>
      <c r="P203">
        <v>-16</v>
      </c>
    </row>
    <row r="204" spans="1:16" x14ac:dyDescent="0.4">
      <c r="A204" s="1">
        <v>42675</v>
      </c>
      <c r="B204" s="10" t="e">
        <v>#N/A</v>
      </c>
      <c r="C204" t="e">
        <v>#N/A</v>
      </c>
      <c r="D204" t="e">
        <v>#N/A</v>
      </c>
      <c r="E204" t="e">
        <v>#N/A</v>
      </c>
      <c r="F204">
        <v>98.6</v>
      </c>
      <c r="G204" s="4">
        <v>87.2</v>
      </c>
      <c r="H204">
        <v>102.3</v>
      </c>
      <c r="I204">
        <v>98.5</v>
      </c>
      <c r="J204" t="e">
        <v>#N/A</v>
      </c>
      <c r="K204">
        <v>0.5</v>
      </c>
      <c r="L204">
        <v>95.6</v>
      </c>
      <c r="M204" s="11">
        <v>22529.486000000001</v>
      </c>
      <c r="O204">
        <v>0.12764434005921499</v>
      </c>
      <c r="P204">
        <v>-15.1</v>
      </c>
    </row>
    <row r="205" spans="1:16" x14ac:dyDescent="0.4">
      <c r="A205" s="1">
        <v>42705</v>
      </c>
      <c r="B205" s="10" t="e">
        <v>#N/A</v>
      </c>
      <c r="C205" t="e">
        <v>#N/A</v>
      </c>
      <c r="D205" t="e">
        <v>#N/A</v>
      </c>
      <c r="E205" t="e">
        <v>#N/A</v>
      </c>
      <c r="F205">
        <v>100.2</v>
      </c>
      <c r="G205" s="4">
        <v>89.1</v>
      </c>
      <c r="H205">
        <v>101.4</v>
      </c>
      <c r="I205">
        <v>98.4</v>
      </c>
      <c r="J205" t="e">
        <v>#N/A</v>
      </c>
      <c r="K205">
        <v>0.9</v>
      </c>
      <c r="L205">
        <v>96.1</v>
      </c>
      <c r="M205" s="12">
        <v>22605.595999999998</v>
      </c>
      <c r="O205">
        <v>-3.4053943556179099E-2</v>
      </c>
      <c r="P205">
        <v>-15.7</v>
      </c>
    </row>
    <row r="206" spans="1:16" x14ac:dyDescent="0.4">
      <c r="A206" s="1">
        <v>42736</v>
      </c>
      <c r="B206" s="10">
        <v>167851</v>
      </c>
      <c r="C206">
        <v>156286.79999999999</v>
      </c>
      <c r="D206">
        <v>102.5</v>
      </c>
      <c r="E206">
        <v>93.4</v>
      </c>
      <c r="F206">
        <v>97.2</v>
      </c>
      <c r="G206" s="4">
        <v>85.8</v>
      </c>
      <c r="H206">
        <v>105.1</v>
      </c>
      <c r="I206">
        <v>99.6</v>
      </c>
      <c r="J206">
        <v>259183.3</v>
      </c>
      <c r="K206">
        <v>0.9</v>
      </c>
      <c r="L206">
        <v>98.3</v>
      </c>
      <c r="M206" s="11">
        <v>22633.407999999999</v>
      </c>
      <c r="O206">
        <v>1.71719236582373E-2</v>
      </c>
      <c r="P206">
        <v>-14.8</v>
      </c>
    </row>
    <row r="207" spans="1:16" x14ac:dyDescent="0.4">
      <c r="A207" s="1">
        <v>42767</v>
      </c>
      <c r="B207" s="10" t="e">
        <v>#N/A</v>
      </c>
      <c r="C207" t="e">
        <v>#N/A</v>
      </c>
      <c r="D207" t="e">
        <v>#N/A</v>
      </c>
      <c r="E207" t="e">
        <v>#N/A</v>
      </c>
      <c r="F207">
        <v>98.1</v>
      </c>
      <c r="G207" s="4">
        <v>87.9</v>
      </c>
      <c r="H207">
        <v>104.5</v>
      </c>
      <c r="I207">
        <v>98.5</v>
      </c>
      <c r="J207" t="e">
        <v>#N/A</v>
      </c>
      <c r="K207">
        <v>1.3</v>
      </c>
      <c r="L207">
        <v>99.2</v>
      </c>
      <c r="M207" s="11">
        <v>22666.258999999998</v>
      </c>
      <c r="O207">
        <v>8.0233848111504399E-2</v>
      </c>
      <c r="P207">
        <v>-16.2</v>
      </c>
    </row>
    <row r="208" spans="1:16" x14ac:dyDescent="0.4">
      <c r="A208" s="1">
        <v>42795</v>
      </c>
      <c r="B208" s="10" t="e">
        <v>#N/A</v>
      </c>
      <c r="C208" t="e">
        <v>#N/A</v>
      </c>
      <c r="D208" t="e">
        <v>#N/A</v>
      </c>
      <c r="E208" t="e">
        <v>#N/A</v>
      </c>
      <c r="F208">
        <v>99</v>
      </c>
      <c r="G208" s="4">
        <v>88.4</v>
      </c>
      <c r="H208">
        <v>106.2</v>
      </c>
      <c r="I208">
        <v>98.9</v>
      </c>
      <c r="J208" t="e">
        <v>#N/A</v>
      </c>
      <c r="K208">
        <v>1.1000000000000001</v>
      </c>
      <c r="L208">
        <v>99.4</v>
      </c>
      <c r="M208" s="11">
        <v>22635.93</v>
      </c>
      <c r="O208">
        <v>5.6445091715495704E-3</v>
      </c>
      <c r="P208">
        <v>-14.3</v>
      </c>
    </row>
    <row r="209" spans="1:16" x14ac:dyDescent="0.4">
      <c r="A209" s="1">
        <v>42826</v>
      </c>
      <c r="B209" s="10">
        <v>201308</v>
      </c>
      <c r="C209">
        <v>170633.2</v>
      </c>
      <c r="D209">
        <v>103.4</v>
      </c>
      <c r="E209">
        <v>92.8</v>
      </c>
      <c r="F209">
        <v>98.6</v>
      </c>
      <c r="G209" s="4">
        <v>87.7</v>
      </c>
      <c r="H209">
        <v>107.3</v>
      </c>
      <c r="I209">
        <v>99.2</v>
      </c>
      <c r="J209">
        <v>260087.5</v>
      </c>
      <c r="K209">
        <v>1.4</v>
      </c>
      <c r="L209">
        <v>99.4</v>
      </c>
      <c r="M209" s="11">
        <v>22675.065000000002</v>
      </c>
      <c r="O209">
        <v>5.9505267380881603E-3</v>
      </c>
      <c r="P209">
        <v>-15.6</v>
      </c>
    </row>
    <row r="210" spans="1:16" x14ac:dyDescent="0.4">
      <c r="A210" s="1">
        <v>42856</v>
      </c>
      <c r="B210" s="10" t="e">
        <v>#N/A</v>
      </c>
      <c r="C210" t="e">
        <v>#N/A</v>
      </c>
      <c r="D210" t="e">
        <v>#N/A</v>
      </c>
      <c r="E210" t="e">
        <v>#N/A</v>
      </c>
      <c r="F210">
        <v>99.4</v>
      </c>
      <c r="G210" s="4">
        <v>88.8</v>
      </c>
      <c r="H210">
        <v>106.8</v>
      </c>
      <c r="I210">
        <v>98.9</v>
      </c>
      <c r="J210" t="e">
        <v>#N/A</v>
      </c>
      <c r="K210">
        <v>1.1000000000000001</v>
      </c>
      <c r="L210">
        <v>99.1</v>
      </c>
      <c r="M210" s="11">
        <v>22617.952000000001</v>
      </c>
      <c r="O210">
        <v>-7.1643253480164803E-3</v>
      </c>
      <c r="P210">
        <v>-16.399999999999999</v>
      </c>
    </row>
    <row r="211" spans="1:16" x14ac:dyDescent="0.4">
      <c r="A211" s="1">
        <v>42887</v>
      </c>
      <c r="B211" s="10" t="e">
        <v>#N/A</v>
      </c>
      <c r="C211" t="e">
        <v>#N/A</v>
      </c>
      <c r="D211" t="e">
        <v>#N/A</v>
      </c>
      <c r="E211" t="e">
        <v>#N/A</v>
      </c>
      <c r="F211">
        <v>100.7</v>
      </c>
      <c r="G211" s="4">
        <v>88.8</v>
      </c>
      <c r="H211">
        <v>106.2</v>
      </c>
      <c r="I211">
        <v>99.2</v>
      </c>
      <c r="J211" t="e">
        <v>#N/A</v>
      </c>
      <c r="K211">
        <v>1</v>
      </c>
      <c r="L211">
        <v>98.3</v>
      </c>
      <c r="M211" s="11">
        <v>22707.254999999997</v>
      </c>
      <c r="O211">
        <v>4.2934026116148202E-2</v>
      </c>
      <c r="P211">
        <v>-18.399999999999999</v>
      </c>
    </row>
    <row r="212" spans="1:16" x14ac:dyDescent="0.4">
      <c r="A212" s="1">
        <v>42917</v>
      </c>
      <c r="B212" s="10">
        <v>187433</v>
      </c>
      <c r="C212">
        <v>160364.70000000001</v>
      </c>
      <c r="D212">
        <v>103.3</v>
      </c>
      <c r="E212">
        <v>93.7</v>
      </c>
      <c r="F212">
        <v>101.5</v>
      </c>
      <c r="G212" s="4">
        <v>88.6</v>
      </c>
      <c r="H212">
        <v>105</v>
      </c>
      <c r="I212">
        <v>99.2</v>
      </c>
      <c r="J212">
        <v>259192</v>
      </c>
      <c r="K212">
        <v>0.9</v>
      </c>
      <c r="L212">
        <v>97.2</v>
      </c>
      <c r="M212" s="11">
        <v>22726.309000000001</v>
      </c>
      <c r="O212">
        <v>8.4807144526770593E-3</v>
      </c>
      <c r="P212">
        <v>-17.7</v>
      </c>
    </row>
    <row r="213" spans="1:16" x14ac:dyDescent="0.4">
      <c r="A213" s="1">
        <v>42948</v>
      </c>
      <c r="B213" s="10" t="e">
        <v>#N/A</v>
      </c>
      <c r="C213" t="e">
        <v>#N/A</v>
      </c>
      <c r="D213" t="e">
        <v>#N/A</v>
      </c>
      <c r="E213" t="e">
        <v>#N/A</v>
      </c>
      <c r="F213">
        <v>103.3</v>
      </c>
      <c r="G213" s="5">
        <v>91</v>
      </c>
      <c r="H213">
        <v>109.5</v>
      </c>
      <c r="I213">
        <v>98.9</v>
      </c>
      <c r="J213" t="e">
        <v>#N/A</v>
      </c>
      <c r="K213">
        <v>1.1000000000000001</v>
      </c>
      <c r="L213">
        <v>97.5</v>
      </c>
      <c r="M213" s="11">
        <v>22760.582999999999</v>
      </c>
      <c r="O213">
        <v>4.6259881958281603E-2</v>
      </c>
      <c r="P213">
        <v>-14</v>
      </c>
    </row>
    <row r="214" spans="1:16" x14ac:dyDescent="0.4">
      <c r="A214" s="1">
        <v>42979</v>
      </c>
      <c r="B214" s="10" t="e">
        <v>#N/A</v>
      </c>
      <c r="C214" t="e">
        <v>#N/A</v>
      </c>
      <c r="D214" t="e">
        <v>#N/A</v>
      </c>
      <c r="E214" t="e">
        <v>#N/A</v>
      </c>
      <c r="F214">
        <v>100.2</v>
      </c>
      <c r="G214" s="4">
        <v>89.2</v>
      </c>
      <c r="H214">
        <v>110.3</v>
      </c>
      <c r="I214">
        <v>99.5</v>
      </c>
      <c r="J214" t="e">
        <v>#N/A</v>
      </c>
      <c r="K214">
        <v>1.1000000000000001</v>
      </c>
      <c r="L214">
        <v>98</v>
      </c>
      <c r="M214" s="11">
        <v>22810.724000000002</v>
      </c>
      <c r="O214">
        <v>4.3086459269936501E-3</v>
      </c>
      <c r="P214">
        <v>-10.7</v>
      </c>
    </row>
    <row r="215" spans="1:16" x14ac:dyDescent="0.4">
      <c r="A215" s="1">
        <v>43009</v>
      </c>
      <c r="B215" s="10">
        <v>250657</v>
      </c>
      <c r="C215">
        <v>195470</v>
      </c>
      <c r="D215">
        <v>104.3</v>
      </c>
      <c r="E215">
        <v>93.4</v>
      </c>
      <c r="F215">
        <v>100.7</v>
      </c>
      <c r="G215" s="5">
        <v>90</v>
      </c>
      <c r="H215">
        <v>111.6</v>
      </c>
      <c r="I215">
        <v>98.3</v>
      </c>
      <c r="J215">
        <v>261091.20000000001</v>
      </c>
      <c r="K215">
        <v>0.8</v>
      </c>
      <c r="L215">
        <v>99.2</v>
      </c>
      <c r="M215" s="11">
        <v>22802.379000000001</v>
      </c>
      <c r="O215">
        <v>-1.8865977382143101E-2</v>
      </c>
      <c r="P215">
        <v>-10</v>
      </c>
    </row>
    <row r="216" spans="1:16" x14ac:dyDescent="0.4">
      <c r="A216" s="1">
        <v>43040</v>
      </c>
      <c r="B216" s="10" t="e">
        <v>#N/A</v>
      </c>
      <c r="C216" t="e">
        <v>#N/A</v>
      </c>
      <c r="D216" t="e">
        <v>#N/A</v>
      </c>
      <c r="E216" t="e">
        <v>#N/A</v>
      </c>
      <c r="F216">
        <v>102.4</v>
      </c>
      <c r="G216" s="4">
        <v>91.4</v>
      </c>
      <c r="H216">
        <v>111.4</v>
      </c>
      <c r="I216">
        <v>98.8</v>
      </c>
      <c r="J216" t="e">
        <v>#N/A</v>
      </c>
      <c r="K216">
        <v>0.7</v>
      </c>
      <c r="L216">
        <v>99.9</v>
      </c>
      <c r="M216" s="11">
        <v>22917.809000000001</v>
      </c>
      <c r="O216">
        <v>-2.3293154163385E-2</v>
      </c>
      <c r="P216">
        <v>-10.1</v>
      </c>
    </row>
    <row r="217" spans="1:16" x14ac:dyDescent="0.4">
      <c r="A217" s="1">
        <v>43070</v>
      </c>
      <c r="B217" s="10" t="e">
        <v>#N/A</v>
      </c>
      <c r="C217" t="e">
        <v>#N/A</v>
      </c>
      <c r="D217" t="e">
        <v>#N/A</v>
      </c>
      <c r="E217" t="e">
        <v>#N/A</v>
      </c>
      <c r="F217">
        <v>105.7</v>
      </c>
      <c r="G217" s="5">
        <v>96</v>
      </c>
      <c r="H217">
        <v>110.9</v>
      </c>
      <c r="I217">
        <v>98.6</v>
      </c>
      <c r="J217" t="e">
        <v>#N/A</v>
      </c>
      <c r="K217">
        <v>0.7</v>
      </c>
      <c r="L217">
        <v>100.1</v>
      </c>
      <c r="M217" s="12">
        <v>22797.931</v>
      </c>
      <c r="O217">
        <v>7.2960037247366202E-2</v>
      </c>
      <c r="P217">
        <v>-9.1</v>
      </c>
    </row>
    <row r="218" spans="1:16" x14ac:dyDescent="0.4">
      <c r="A218" s="1">
        <v>43101</v>
      </c>
      <c r="B218" s="10">
        <v>170570</v>
      </c>
      <c r="C218">
        <v>160275</v>
      </c>
      <c r="D218">
        <v>103.2</v>
      </c>
      <c r="E218">
        <v>93.9</v>
      </c>
      <c r="F218">
        <v>101.4</v>
      </c>
      <c r="G218" s="4">
        <v>90.4</v>
      </c>
      <c r="H218">
        <v>108.3</v>
      </c>
      <c r="I218">
        <v>97.8</v>
      </c>
      <c r="J218">
        <v>263373.2</v>
      </c>
      <c r="K218">
        <v>0.8</v>
      </c>
      <c r="L218">
        <v>102.8</v>
      </c>
      <c r="M218" s="11">
        <v>22805.030999999999</v>
      </c>
      <c r="O218">
        <v>-3.8994423193209102E-2</v>
      </c>
      <c r="P218">
        <v>-10.7</v>
      </c>
    </row>
    <row r="219" spans="1:16" x14ac:dyDescent="0.4">
      <c r="A219" s="1">
        <v>43132</v>
      </c>
      <c r="B219" s="10" t="e">
        <v>#N/A</v>
      </c>
      <c r="C219" t="e">
        <v>#N/A</v>
      </c>
      <c r="D219" t="e">
        <v>#N/A</v>
      </c>
      <c r="E219" t="e">
        <v>#N/A</v>
      </c>
      <c r="F219">
        <v>100.9</v>
      </c>
      <c r="G219" s="4">
        <v>90.7</v>
      </c>
      <c r="H219">
        <v>110.4</v>
      </c>
      <c r="I219">
        <v>98.9</v>
      </c>
      <c r="J219" t="e">
        <v>#N/A</v>
      </c>
      <c r="K219">
        <v>0.3</v>
      </c>
      <c r="L219">
        <v>102.8</v>
      </c>
      <c r="M219" s="11">
        <v>22837.421999999999</v>
      </c>
      <c r="O219">
        <v>-8.7519161887215109E-3</v>
      </c>
      <c r="P219">
        <v>-10</v>
      </c>
    </row>
    <row r="220" spans="1:16" x14ac:dyDescent="0.4">
      <c r="A220" s="1">
        <v>43160</v>
      </c>
      <c r="B220" s="10" t="e">
        <v>#N/A</v>
      </c>
      <c r="C220" t="e">
        <v>#N/A</v>
      </c>
      <c r="D220" t="e">
        <v>#N/A</v>
      </c>
      <c r="E220" t="e">
        <v>#N/A</v>
      </c>
      <c r="F220">
        <v>102.4</v>
      </c>
      <c r="G220" s="4">
        <v>91.6</v>
      </c>
      <c r="H220">
        <v>108.7</v>
      </c>
      <c r="I220">
        <v>98.8</v>
      </c>
      <c r="J220" t="e">
        <v>#N/A</v>
      </c>
      <c r="K220">
        <v>0.7</v>
      </c>
      <c r="L220">
        <v>102.4</v>
      </c>
      <c r="M220" s="11">
        <v>22919.716</v>
      </c>
      <c r="O220">
        <v>6.7626537558540506E-2</v>
      </c>
      <c r="P220">
        <v>-10</v>
      </c>
    </row>
    <row r="221" spans="1:16" x14ac:dyDescent="0.4">
      <c r="A221" s="1">
        <v>43191</v>
      </c>
      <c r="B221" s="10">
        <v>206592</v>
      </c>
      <c r="C221">
        <v>177000.1</v>
      </c>
      <c r="D221">
        <v>104.3</v>
      </c>
      <c r="E221">
        <v>94.5</v>
      </c>
      <c r="F221">
        <v>100.9</v>
      </c>
      <c r="G221" s="4">
        <v>90.8</v>
      </c>
      <c r="H221">
        <v>109.8</v>
      </c>
      <c r="I221">
        <v>97.6</v>
      </c>
      <c r="J221">
        <v>264495.2</v>
      </c>
      <c r="K221">
        <v>0.6</v>
      </c>
      <c r="L221">
        <v>100.2</v>
      </c>
      <c r="M221" s="11">
        <v>22948.413</v>
      </c>
      <c r="O221">
        <v>-9.6002691940533694E-2</v>
      </c>
      <c r="P221">
        <v>-7.8</v>
      </c>
    </row>
    <row r="222" spans="1:16" x14ac:dyDescent="0.4">
      <c r="A222" s="1">
        <v>43221</v>
      </c>
      <c r="B222" s="10" t="e">
        <v>#N/A</v>
      </c>
      <c r="C222" t="e">
        <v>#N/A</v>
      </c>
      <c r="D222" t="e">
        <v>#N/A</v>
      </c>
      <c r="E222" t="e">
        <v>#N/A</v>
      </c>
      <c r="F222">
        <v>101.8</v>
      </c>
      <c r="G222" s="5">
        <v>93</v>
      </c>
      <c r="H222">
        <v>107</v>
      </c>
      <c r="I222">
        <v>99.1</v>
      </c>
      <c r="J222" t="e">
        <v>#N/A</v>
      </c>
      <c r="K222">
        <v>0.9</v>
      </c>
      <c r="L222">
        <v>101.2</v>
      </c>
      <c r="M222" s="11">
        <v>23072.529000000002</v>
      </c>
      <c r="O222">
        <v>-7.2794608481121497E-3</v>
      </c>
      <c r="P222">
        <v>-12.4</v>
      </c>
    </row>
    <row r="223" spans="1:16" x14ac:dyDescent="0.4">
      <c r="A223" s="1">
        <v>43252</v>
      </c>
      <c r="B223" s="10" t="e">
        <v>#N/A</v>
      </c>
      <c r="C223" t="e">
        <v>#N/A</v>
      </c>
      <c r="D223" t="e">
        <v>#N/A</v>
      </c>
      <c r="E223" t="e">
        <v>#N/A</v>
      </c>
      <c r="F223">
        <v>102.2</v>
      </c>
      <c r="G223" s="4">
        <v>93.2</v>
      </c>
      <c r="H223">
        <v>108</v>
      </c>
      <c r="I223">
        <v>98.1</v>
      </c>
      <c r="J223" t="e">
        <v>#N/A</v>
      </c>
      <c r="K223">
        <v>1.1000000000000001</v>
      </c>
      <c r="L223">
        <v>102.5</v>
      </c>
      <c r="M223" s="11">
        <v>23026.108</v>
      </c>
      <c r="O223">
        <v>2.6916455481153199E-2</v>
      </c>
      <c r="P223">
        <v>-9.5</v>
      </c>
    </row>
    <row r="224" spans="1:16" x14ac:dyDescent="0.4">
      <c r="A224" s="1">
        <v>43282</v>
      </c>
      <c r="B224" s="10">
        <v>190161</v>
      </c>
      <c r="C224">
        <v>165254.20000000001</v>
      </c>
      <c r="D224">
        <v>104.3</v>
      </c>
      <c r="E224">
        <v>95</v>
      </c>
      <c r="F224">
        <v>101.1</v>
      </c>
      <c r="G224" s="5">
        <v>92</v>
      </c>
      <c r="H224">
        <v>107.6</v>
      </c>
      <c r="I224">
        <v>98.3</v>
      </c>
      <c r="J224">
        <v>265032.59999999998</v>
      </c>
      <c r="K224">
        <v>1.3</v>
      </c>
      <c r="L224">
        <v>105.2</v>
      </c>
      <c r="M224" s="11">
        <v>22939.197</v>
      </c>
      <c r="O224">
        <v>-9.1720124748670501E-2</v>
      </c>
      <c r="P224">
        <v>-9.1</v>
      </c>
    </row>
    <row r="225" spans="1:16" x14ac:dyDescent="0.4">
      <c r="A225" s="1">
        <v>43313</v>
      </c>
      <c r="B225" s="10" t="e">
        <v>#N/A</v>
      </c>
      <c r="C225" t="e">
        <v>#N/A</v>
      </c>
      <c r="D225" t="e">
        <v>#N/A</v>
      </c>
      <c r="E225" t="e">
        <v>#N/A</v>
      </c>
      <c r="F225">
        <v>102</v>
      </c>
      <c r="G225" s="4">
        <v>93.7</v>
      </c>
      <c r="H225">
        <v>106.8</v>
      </c>
      <c r="I225">
        <v>99</v>
      </c>
      <c r="J225" t="e">
        <v>#N/A</v>
      </c>
      <c r="K225">
        <v>1</v>
      </c>
      <c r="L225">
        <v>105.1</v>
      </c>
      <c r="M225" s="11">
        <v>22967.531999999999</v>
      </c>
      <c r="O225">
        <v>2.1620617193407899E-2</v>
      </c>
      <c r="P225">
        <v>-9.8000000000000007</v>
      </c>
    </row>
    <row r="226" spans="1:16" x14ac:dyDescent="0.4">
      <c r="A226" s="1">
        <v>43344</v>
      </c>
      <c r="B226" s="10" t="e">
        <v>#N/A</v>
      </c>
      <c r="C226" t="e">
        <v>#N/A</v>
      </c>
      <c r="D226" t="e">
        <v>#N/A</v>
      </c>
      <c r="E226" t="e">
        <v>#N/A</v>
      </c>
      <c r="F226">
        <v>102.1</v>
      </c>
      <c r="G226" s="4">
        <v>92.9</v>
      </c>
      <c r="H226">
        <v>106.8</v>
      </c>
      <c r="I226">
        <v>98.3</v>
      </c>
      <c r="J226" t="e">
        <v>#N/A</v>
      </c>
      <c r="K226">
        <v>0.9</v>
      </c>
      <c r="L226">
        <v>105.6</v>
      </c>
      <c r="M226" s="11">
        <v>22962.016</v>
      </c>
      <c r="O226">
        <v>-8.3646140876526304E-2</v>
      </c>
      <c r="P226">
        <v>-8.4</v>
      </c>
    </row>
    <row r="227" spans="1:16" x14ac:dyDescent="0.4">
      <c r="A227" s="1">
        <v>43374</v>
      </c>
      <c r="B227" s="10">
        <v>252727</v>
      </c>
      <c r="C227">
        <v>201121.1</v>
      </c>
      <c r="D227">
        <v>103.9</v>
      </c>
      <c r="E227">
        <v>95</v>
      </c>
      <c r="F227">
        <v>101.9</v>
      </c>
      <c r="G227" s="4">
        <v>91.9</v>
      </c>
      <c r="H227">
        <v>106</v>
      </c>
      <c r="I227">
        <v>98.7</v>
      </c>
      <c r="J227">
        <v>265920.8</v>
      </c>
      <c r="K227">
        <v>0.8</v>
      </c>
      <c r="L227">
        <v>109.4</v>
      </c>
      <c r="M227" s="11">
        <v>23004.698</v>
      </c>
      <c r="O227">
        <v>7.27009661489575E-3</v>
      </c>
      <c r="P227">
        <v>-8</v>
      </c>
    </row>
    <row r="228" spans="1:16" x14ac:dyDescent="0.4">
      <c r="A228" s="1">
        <v>43405</v>
      </c>
      <c r="B228" s="10" t="e">
        <v>#N/A</v>
      </c>
      <c r="C228" t="e">
        <v>#N/A</v>
      </c>
      <c r="D228" t="e">
        <v>#N/A</v>
      </c>
      <c r="E228" t="e">
        <v>#N/A</v>
      </c>
      <c r="F228">
        <v>100</v>
      </c>
      <c r="G228" s="5">
        <v>92</v>
      </c>
      <c r="H228">
        <v>104.6</v>
      </c>
      <c r="I228">
        <v>99</v>
      </c>
      <c r="J228" t="e">
        <v>#N/A</v>
      </c>
      <c r="K228">
        <v>0.8</v>
      </c>
      <c r="L228">
        <v>109.2</v>
      </c>
      <c r="M228" s="11">
        <v>22932.779000000002</v>
      </c>
      <c r="O228">
        <v>-4.6125522163109202E-2</v>
      </c>
      <c r="P228">
        <v>-9</v>
      </c>
    </row>
    <row r="229" spans="1:16" x14ac:dyDescent="0.4">
      <c r="A229" s="1">
        <v>43435</v>
      </c>
      <c r="B229" s="10" t="e">
        <v>#N/A</v>
      </c>
      <c r="C229" t="e">
        <v>#N/A</v>
      </c>
      <c r="D229" t="e">
        <v>#N/A</v>
      </c>
      <c r="E229" t="e">
        <v>#N/A</v>
      </c>
      <c r="F229">
        <v>100.6</v>
      </c>
      <c r="G229" s="4">
        <v>90.4</v>
      </c>
      <c r="H229">
        <v>102.8</v>
      </c>
      <c r="I229">
        <v>98.6</v>
      </c>
      <c r="J229" t="e">
        <v>#N/A</v>
      </c>
      <c r="K229">
        <v>0.6</v>
      </c>
      <c r="L229">
        <v>106.8</v>
      </c>
      <c r="M229" s="12">
        <v>22983.05</v>
      </c>
      <c r="O229">
        <v>7.3979326962827899E-2</v>
      </c>
      <c r="P229">
        <v>-9.8000000000000007</v>
      </c>
    </row>
    <row r="230" spans="1:16" x14ac:dyDescent="0.4">
      <c r="A230" s="1">
        <v>43466</v>
      </c>
      <c r="B230" s="10">
        <v>175464</v>
      </c>
      <c r="C230">
        <v>165249.29999999999</v>
      </c>
      <c r="D230">
        <v>104.7</v>
      </c>
      <c r="E230">
        <v>95.2</v>
      </c>
      <c r="F230">
        <v>100.9</v>
      </c>
      <c r="G230" s="4">
        <v>90.7</v>
      </c>
      <c r="H230">
        <v>102</v>
      </c>
      <c r="I230">
        <v>99</v>
      </c>
      <c r="J230">
        <v>267482.40000000002</v>
      </c>
      <c r="K230">
        <v>0.6</v>
      </c>
      <c r="L230">
        <v>106.7</v>
      </c>
      <c r="M230" s="11">
        <v>22970.767</v>
      </c>
      <c r="O230">
        <v>4.5960056822167403E-2</v>
      </c>
      <c r="P230">
        <v>-10.1</v>
      </c>
    </row>
    <row r="231" spans="1:16" x14ac:dyDescent="0.4">
      <c r="A231" s="1">
        <v>43497</v>
      </c>
      <c r="B231" s="10" t="e">
        <v>#N/A</v>
      </c>
      <c r="C231" t="e">
        <v>#N/A</v>
      </c>
      <c r="D231" t="e">
        <v>#N/A</v>
      </c>
      <c r="E231" t="e">
        <v>#N/A</v>
      </c>
      <c r="F231">
        <v>101.5</v>
      </c>
      <c r="G231" s="4">
        <v>91.3</v>
      </c>
      <c r="H231">
        <v>100.4</v>
      </c>
      <c r="I231">
        <v>98.5</v>
      </c>
      <c r="J231" t="e">
        <v>#N/A</v>
      </c>
      <c r="K231">
        <v>0.8</v>
      </c>
      <c r="L231">
        <v>107.1</v>
      </c>
      <c r="M231" s="11">
        <v>22988.406999999999</v>
      </c>
      <c r="O231">
        <v>2.9898519809361101E-2</v>
      </c>
      <c r="P231">
        <v>-11.1</v>
      </c>
    </row>
    <row r="232" spans="1:16" x14ac:dyDescent="0.4">
      <c r="A232" s="1">
        <v>43525</v>
      </c>
      <c r="B232" s="10" t="e">
        <v>#N/A</v>
      </c>
      <c r="C232" t="e">
        <v>#N/A</v>
      </c>
      <c r="D232" t="e">
        <v>#N/A</v>
      </c>
      <c r="E232" t="e">
        <v>#N/A</v>
      </c>
      <c r="F232">
        <v>100.7</v>
      </c>
      <c r="G232" s="4">
        <v>91.7</v>
      </c>
      <c r="H232">
        <v>101.3</v>
      </c>
      <c r="I232">
        <v>98.2</v>
      </c>
      <c r="J232" t="e">
        <v>#N/A</v>
      </c>
      <c r="K232">
        <v>0.6</v>
      </c>
      <c r="L232">
        <v>108.1</v>
      </c>
      <c r="M232" s="11">
        <v>23101.029000000002</v>
      </c>
      <c r="O232">
        <v>2.75691007296608E-2</v>
      </c>
      <c r="P232">
        <v>-12</v>
      </c>
    </row>
    <row r="233" spans="1:16" x14ac:dyDescent="0.4">
      <c r="A233" s="1">
        <v>43556</v>
      </c>
      <c r="B233" s="10">
        <v>212845</v>
      </c>
      <c r="C233">
        <v>181026.6</v>
      </c>
      <c r="D233">
        <v>103.8</v>
      </c>
      <c r="E233">
        <v>95.7</v>
      </c>
      <c r="F233">
        <v>99.3</v>
      </c>
      <c r="G233" s="4">
        <v>91.1</v>
      </c>
      <c r="H233">
        <v>101.9</v>
      </c>
      <c r="I233">
        <v>99.3</v>
      </c>
      <c r="J233">
        <v>268464.40000000002</v>
      </c>
      <c r="K233">
        <v>0.7</v>
      </c>
      <c r="L233">
        <v>105.2</v>
      </c>
      <c r="M233" s="11">
        <v>23152.237000000001</v>
      </c>
      <c r="O233">
        <v>-9.9835737648190204E-2</v>
      </c>
      <c r="P233">
        <v>-11.9</v>
      </c>
    </row>
    <row r="234" spans="1:16" x14ac:dyDescent="0.4">
      <c r="A234" s="1">
        <v>43586</v>
      </c>
      <c r="B234" s="10" t="e">
        <v>#N/A</v>
      </c>
      <c r="C234" t="e">
        <v>#N/A</v>
      </c>
      <c r="D234" t="e">
        <v>#N/A</v>
      </c>
      <c r="E234" t="e">
        <v>#N/A</v>
      </c>
      <c r="F234">
        <v>101.4</v>
      </c>
      <c r="G234" s="4">
        <v>93.2</v>
      </c>
      <c r="H234">
        <v>102.8</v>
      </c>
      <c r="I234">
        <v>98.7</v>
      </c>
      <c r="J234" t="e">
        <v>#N/A</v>
      </c>
      <c r="K234">
        <v>0.5</v>
      </c>
      <c r="L234">
        <v>105.8</v>
      </c>
      <c r="M234" s="11">
        <v>23191.602999999999</v>
      </c>
      <c r="O234">
        <v>6.9867821064910601E-2</v>
      </c>
      <c r="P234">
        <v>-12.3</v>
      </c>
    </row>
    <row r="235" spans="1:16" x14ac:dyDescent="0.4">
      <c r="A235" s="1">
        <v>43617</v>
      </c>
      <c r="B235" s="10" t="e">
        <v>#N/A</v>
      </c>
      <c r="C235" t="e">
        <v>#N/A</v>
      </c>
      <c r="D235" t="e">
        <v>#N/A</v>
      </c>
      <c r="E235" t="e">
        <v>#N/A</v>
      </c>
      <c r="F235">
        <v>101.1</v>
      </c>
      <c r="G235" s="4">
        <v>92.6</v>
      </c>
      <c r="H235">
        <v>100.8</v>
      </c>
      <c r="I235">
        <v>99.8</v>
      </c>
      <c r="J235" t="e">
        <v>#N/A</v>
      </c>
      <c r="K235">
        <v>0.5</v>
      </c>
      <c r="L235">
        <v>105.2</v>
      </c>
      <c r="M235" s="11">
        <v>23242.371999999999</v>
      </c>
      <c r="O235">
        <v>7.6466959511805E-3</v>
      </c>
      <c r="P235">
        <v>-14.1</v>
      </c>
    </row>
    <row r="236" spans="1:16" x14ac:dyDescent="0.4">
      <c r="A236" s="1">
        <v>43647</v>
      </c>
      <c r="B236" s="10">
        <v>195303</v>
      </c>
      <c r="C236">
        <v>168322.3</v>
      </c>
      <c r="D236">
        <v>104</v>
      </c>
      <c r="E236">
        <v>96.1</v>
      </c>
      <c r="F236">
        <v>101.3</v>
      </c>
      <c r="G236" s="4">
        <v>92.1</v>
      </c>
      <c r="H236">
        <v>102.3</v>
      </c>
      <c r="I236">
        <v>100.3</v>
      </c>
      <c r="J236">
        <v>266085.5</v>
      </c>
      <c r="K236">
        <v>0.5</v>
      </c>
      <c r="L236">
        <v>103.2</v>
      </c>
      <c r="M236" s="11">
        <v>23159.932999999997</v>
      </c>
      <c r="O236">
        <v>-3.5111573723174399E-3</v>
      </c>
      <c r="P236">
        <v>-11.4</v>
      </c>
    </row>
    <row r="237" spans="1:16" x14ac:dyDescent="0.4">
      <c r="A237" s="1">
        <v>43678</v>
      </c>
      <c r="B237" s="10" t="e">
        <v>#N/A</v>
      </c>
      <c r="C237" t="e">
        <v>#N/A</v>
      </c>
      <c r="D237" t="e">
        <v>#N/A</v>
      </c>
      <c r="E237" t="e">
        <v>#N/A</v>
      </c>
      <c r="F237">
        <v>100.4</v>
      </c>
      <c r="G237" s="5">
        <v>91</v>
      </c>
      <c r="H237">
        <v>100.7</v>
      </c>
      <c r="I237">
        <v>99.3</v>
      </c>
      <c r="J237" t="e">
        <v>#N/A</v>
      </c>
      <c r="K237">
        <v>0.7</v>
      </c>
      <c r="L237">
        <v>103</v>
      </c>
      <c r="M237" s="11">
        <v>23083.67</v>
      </c>
      <c r="O237">
        <v>3.6153231626919101E-2</v>
      </c>
      <c r="P237">
        <v>-13.7</v>
      </c>
    </row>
    <row r="238" spans="1:16" x14ac:dyDescent="0.4">
      <c r="A238" s="1">
        <v>43709</v>
      </c>
      <c r="B238" s="10" t="e">
        <v>#N/A</v>
      </c>
      <c r="C238" t="e">
        <v>#N/A</v>
      </c>
      <c r="D238" t="e">
        <v>#N/A</v>
      </c>
      <c r="E238" t="e">
        <v>#N/A</v>
      </c>
      <c r="F238">
        <v>100</v>
      </c>
      <c r="G238" s="4">
        <v>91.4</v>
      </c>
      <c r="H238">
        <v>99.9</v>
      </c>
      <c r="I238">
        <v>99.7</v>
      </c>
      <c r="J238" t="e">
        <v>#N/A</v>
      </c>
      <c r="K238">
        <v>0.5</v>
      </c>
      <c r="L238">
        <v>102.5</v>
      </c>
      <c r="M238" s="11">
        <v>23069.273000000001</v>
      </c>
      <c r="O238">
        <v>2.6161038397781101E-2</v>
      </c>
      <c r="P238">
        <v>-13.3</v>
      </c>
    </row>
    <row r="239" spans="1:16" x14ac:dyDescent="0.4">
      <c r="A239" s="1">
        <v>43739</v>
      </c>
      <c r="B239" s="10">
        <v>263824</v>
      </c>
      <c r="C239">
        <v>204358.6</v>
      </c>
      <c r="D239">
        <v>103.3</v>
      </c>
      <c r="E239">
        <v>96.5</v>
      </c>
      <c r="F239">
        <v>99.4</v>
      </c>
      <c r="G239" s="4">
        <v>91.4</v>
      </c>
      <c r="H239">
        <v>100.3</v>
      </c>
      <c r="I239">
        <v>99.5</v>
      </c>
      <c r="J239">
        <v>265995.7</v>
      </c>
      <c r="K239">
        <v>0.7</v>
      </c>
      <c r="L239">
        <v>104.2</v>
      </c>
      <c r="M239" s="11">
        <v>23055.415999999997</v>
      </c>
      <c r="O239">
        <v>2.4591581536133899E-2</v>
      </c>
      <c r="P239">
        <v>-12.6</v>
      </c>
    </row>
    <row r="240" spans="1:16" x14ac:dyDescent="0.4">
      <c r="A240" s="1">
        <v>43770</v>
      </c>
      <c r="B240" s="10" t="e">
        <v>#N/A</v>
      </c>
      <c r="C240" t="e">
        <v>#N/A</v>
      </c>
      <c r="D240" t="e">
        <v>#N/A</v>
      </c>
      <c r="E240" t="e">
        <v>#N/A</v>
      </c>
      <c r="F240">
        <v>99.7</v>
      </c>
      <c r="G240" s="4">
        <v>91.5</v>
      </c>
      <c r="H240">
        <v>100</v>
      </c>
      <c r="I240">
        <v>99.3</v>
      </c>
      <c r="J240" t="e">
        <v>#N/A</v>
      </c>
      <c r="K240">
        <v>0.8</v>
      </c>
      <c r="L240">
        <v>104.1</v>
      </c>
      <c r="M240" s="11">
        <v>23101.775000000001</v>
      </c>
      <c r="O240">
        <v>1.05635538057314E-2</v>
      </c>
      <c r="P240">
        <v>-14.5</v>
      </c>
    </row>
    <row r="241" spans="1:16" x14ac:dyDescent="0.4">
      <c r="A241" s="1">
        <v>43800</v>
      </c>
      <c r="B241" s="10" t="e">
        <v>#N/A</v>
      </c>
      <c r="C241" t="e">
        <v>#N/A</v>
      </c>
      <c r="D241" t="e">
        <v>#N/A</v>
      </c>
      <c r="E241" t="e">
        <v>#N/A</v>
      </c>
      <c r="F241">
        <v>97</v>
      </c>
      <c r="G241" s="4">
        <v>89.8</v>
      </c>
      <c r="H241">
        <v>100.7</v>
      </c>
      <c r="I241">
        <v>99.4</v>
      </c>
      <c r="J241" t="e">
        <v>#N/A</v>
      </c>
      <c r="K241">
        <v>0.7</v>
      </c>
      <c r="L241">
        <v>104.4</v>
      </c>
      <c r="M241" s="12">
        <v>23050.474000000002</v>
      </c>
      <c r="O241">
        <v>-1.1509871839185899E-2</v>
      </c>
      <c r="P241">
        <v>-12.3</v>
      </c>
    </row>
    <row r="242" spans="1:16" x14ac:dyDescent="0.4">
      <c r="A242" s="1">
        <v>43831</v>
      </c>
      <c r="B242" s="10">
        <v>168659</v>
      </c>
      <c r="C242">
        <v>160867.70000000001</v>
      </c>
      <c r="D242">
        <v>94.9</v>
      </c>
      <c r="E242">
        <v>99.3</v>
      </c>
      <c r="F242">
        <v>100.1</v>
      </c>
      <c r="G242" s="4">
        <v>93.7</v>
      </c>
      <c r="H242">
        <v>100.3</v>
      </c>
      <c r="I242">
        <v>99.9</v>
      </c>
      <c r="J242">
        <v>248407.7</v>
      </c>
      <c r="K242">
        <v>0.6</v>
      </c>
      <c r="L242">
        <v>104.5</v>
      </c>
      <c r="M242" s="11">
        <v>23043.421000000002</v>
      </c>
      <c r="O242">
        <v>-5.5430919831538403E-2</v>
      </c>
      <c r="P242">
        <v>-11.2</v>
      </c>
    </row>
    <row r="243" spans="1:16" x14ac:dyDescent="0.4">
      <c r="A243" s="1">
        <v>43862</v>
      </c>
      <c r="B243" s="10" t="e">
        <v>#N/A</v>
      </c>
      <c r="C243" t="e">
        <v>#N/A</v>
      </c>
      <c r="D243" t="e">
        <v>#N/A</v>
      </c>
      <c r="E243" t="e">
        <v>#N/A</v>
      </c>
      <c r="F243">
        <v>98.3</v>
      </c>
      <c r="G243" s="4">
        <v>91.7</v>
      </c>
      <c r="H243">
        <v>100.4</v>
      </c>
      <c r="I243">
        <v>101.1</v>
      </c>
      <c r="J243" t="e">
        <v>#N/A</v>
      </c>
      <c r="K243">
        <v>0.5</v>
      </c>
      <c r="L243">
        <v>103.5</v>
      </c>
      <c r="M243" s="11">
        <v>23042.839</v>
      </c>
      <c r="O243">
        <v>-0.25410606300392402</v>
      </c>
      <c r="P243">
        <v>-12.3</v>
      </c>
    </row>
    <row r="244" spans="1:16" x14ac:dyDescent="0.4">
      <c r="A244" s="1">
        <v>43891</v>
      </c>
      <c r="B244" s="10" t="e">
        <v>#N/A</v>
      </c>
      <c r="C244" t="e">
        <v>#N/A</v>
      </c>
      <c r="D244" t="e">
        <v>#N/A</v>
      </c>
      <c r="E244" t="e">
        <v>#N/A</v>
      </c>
      <c r="F244">
        <v>70.7</v>
      </c>
      <c r="G244" s="4">
        <v>68.400000000000006</v>
      </c>
      <c r="H244">
        <v>80.400000000000006</v>
      </c>
      <c r="I244">
        <v>80.099999999999994</v>
      </c>
      <c r="J244" t="e">
        <v>#N/A</v>
      </c>
      <c r="K244">
        <v>0.8</v>
      </c>
      <c r="L244">
        <v>101.9</v>
      </c>
      <c r="M244" s="11">
        <v>22657.143</v>
      </c>
      <c r="O244">
        <v>3.6790655135680701E-2</v>
      </c>
      <c r="P244">
        <v>-21.9</v>
      </c>
    </row>
    <row r="245" spans="1:16" x14ac:dyDescent="0.4">
      <c r="A245" s="1">
        <v>43922</v>
      </c>
      <c r="B245" s="10">
        <v>185124</v>
      </c>
      <c r="C245">
        <v>156877.6</v>
      </c>
      <c r="D245">
        <v>79.8</v>
      </c>
      <c r="E245">
        <v>103.4</v>
      </c>
      <c r="F245">
        <v>55.6</v>
      </c>
      <c r="G245" s="4">
        <v>48.3</v>
      </c>
      <c r="I245">
        <v>73.7</v>
      </c>
      <c r="J245">
        <v>221503.7</v>
      </c>
      <c r="K245">
        <v>1.1000000000000001</v>
      </c>
      <c r="L245">
        <v>94.8</v>
      </c>
      <c r="M245" s="11">
        <v>22193.387000000002</v>
      </c>
      <c r="O245">
        <v>2.83121897628043E-2</v>
      </c>
    </row>
    <row r="246" spans="1:16" x14ac:dyDescent="0.4">
      <c r="A246" s="1">
        <v>43952</v>
      </c>
      <c r="B246" s="10" t="e">
        <v>#N/A</v>
      </c>
      <c r="C246" t="e">
        <v>#N/A</v>
      </c>
      <c r="D246" t="e">
        <v>#N/A</v>
      </c>
      <c r="E246" t="e">
        <v>#N/A</v>
      </c>
      <c r="F246">
        <v>80.599999999999994</v>
      </c>
      <c r="G246" s="4">
        <v>69.2</v>
      </c>
      <c r="H246">
        <v>56.9</v>
      </c>
      <c r="I246">
        <v>88.1</v>
      </c>
      <c r="J246" t="e">
        <v>#N/A</v>
      </c>
      <c r="K246">
        <v>1.1000000000000001</v>
      </c>
      <c r="L246">
        <v>91.9</v>
      </c>
      <c r="M246" s="11">
        <v>22140.510000000002</v>
      </c>
      <c r="O246">
        <v>6.2723488876237396E-2</v>
      </c>
      <c r="P246">
        <v>-22.4</v>
      </c>
    </row>
    <row r="247" spans="1:16" x14ac:dyDescent="0.4">
      <c r="A247" s="1">
        <v>43983</v>
      </c>
      <c r="B247" s="10" t="e">
        <v>#N/A</v>
      </c>
      <c r="C247" t="e">
        <v>#N/A</v>
      </c>
      <c r="D247" t="e">
        <v>#N/A</v>
      </c>
      <c r="E247" t="e">
        <v>#N/A</v>
      </c>
      <c r="F247">
        <v>87.2</v>
      </c>
      <c r="G247" s="4">
        <v>78.099999999999994</v>
      </c>
      <c r="H247">
        <v>69.8</v>
      </c>
      <c r="I247">
        <v>95</v>
      </c>
      <c r="J247" t="e">
        <v>#N/A</v>
      </c>
      <c r="K247">
        <v>0.9</v>
      </c>
      <c r="L247">
        <v>92.1</v>
      </c>
      <c r="M247" s="11">
        <v>22024.004000000001</v>
      </c>
      <c r="O247">
        <v>-1.4765787667085899E-2</v>
      </c>
      <c r="P247">
        <v>-14.5</v>
      </c>
    </row>
    <row r="248" spans="1:16" x14ac:dyDescent="0.4">
      <c r="A248" s="1">
        <v>44013</v>
      </c>
      <c r="B248" s="10">
        <v>183607</v>
      </c>
      <c r="C248">
        <v>162942.20000000001</v>
      </c>
      <c r="D248">
        <v>96.3</v>
      </c>
      <c r="E248">
        <v>98</v>
      </c>
      <c r="F248">
        <v>93.3</v>
      </c>
      <c r="G248" s="4">
        <v>85.1</v>
      </c>
      <c r="H248">
        <v>78.599999999999994</v>
      </c>
      <c r="I248">
        <v>92.7</v>
      </c>
      <c r="J248">
        <v>247777.3</v>
      </c>
      <c r="K248">
        <v>1.9</v>
      </c>
      <c r="L248">
        <v>92.3</v>
      </c>
      <c r="M248" s="11">
        <v>22106.09</v>
      </c>
      <c r="O248">
        <v>2.7993358126678899E-2</v>
      </c>
      <c r="P248">
        <v>-16.100000000000001</v>
      </c>
    </row>
    <row r="249" spans="1:16" x14ac:dyDescent="0.4">
      <c r="A249" s="1">
        <v>44044</v>
      </c>
      <c r="B249" s="10" t="e">
        <v>#N/A</v>
      </c>
      <c r="C249" t="e">
        <v>#N/A</v>
      </c>
      <c r="D249" t="e">
        <v>#N/A</v>
      </c>
      <c r="E249" t="e">
        <v>#N/A</v>
      </c>
      <c r="F249">
        <v>99.7</v>
      </c>
      <c r="G249" s="4">
        <v>89.7</v>
      </c>
      <c r="H249">
        <v>82.3</v>
      </c>
      <c r="I249">
        <v>100.5</v>
      </c>
      <c r="J249" t="e">
        <v>#N/A</v>
      </c>
      <c r="K249">
        <v>0.5</v>
      </c>
      <c r="L249">
        <v>92.4</v>
      </c>
      <c r="M249" s="11">
        <v>22263.145</v>
      </c>
      <c r="O249">
        <v>-3.2034615890106401E-2</v>
      </c>
      <c r="P249">
        <v>-15.1</v>
      </c>
    </row>
    <row r="250" spans="1:16" x14ac:dyDescent="0.4">
      <c r="A250" s="1">
        <v>44075</v>
      </c>
      <c r="B250" s="10" t="e">
        <v>#N/A</v>
      </c>
      <c r="C250" t="e">
        <v>#N/A</v>
      </c>
      <c r="D250" t="e">
        <v>#N/A</v>
      </c>
      <c r="E250" t="e">
        <v>#N/A</v>
      </c>
      <c r="F250">
        <v>95.5</v>
      </c>
      <c r="G250" s="4">
        <v>87.5</v>
      </c>
      <c r="H250">
        <v>92.9</v>
      </c>
      <c r="I250">
        <v>100.2</v>
      </c>
      <c r="J250" t="e">
        <v>#N/A</v>
      </c>
      <c r="K250">
        <v>-0.1</v>
      </c>
      <c r="L250">
        <v>92.1</v>
      </c>
      <c r="M250" s="11">
        <v>22250.361000000001</v>
      </c>
      <c r="O250">
        <v>-5.8028074649692798E-2</v>
      </c>
      <c r="P250">
        <v>-12.6</v>
      </c>
    </row>
    <row r="251" spans="1:16" x14ac:dyDescent="0.4">
      <c r="A251" s="1">
        <v>44105</v>
      </c>
      <c r="B251" s="10">
        <v>254278</v>
      </c>
      <c r="C251">
        <v>197273.7</v>
      </c>
      <c r="D251">
        <v>95.4</v>
      </c>
      <c r="E251">
        <v>99.2</v>
      </c>
      <c r="F251">
        <v>97.6</v>
      </c>
      <c r="G251" s="4">
        <v>89.7</v>
      </c>
      <c r="H251">
        <v>94.1</v>
      </c>
      <c r="I251">
        <v>100.9</v>
      </c>
      <c r="J251">
        <v>240239.9</v>
      </c>
      <c r="K251">
        <v>0.3</v>
      </c>
      <c r="L251">
        <v>94.9</v>
      </c>
      <c r="M251" s="11">
        <v>22328.093000000001</v>
      </c>
      <c r="O251">
        <v>0.206611276983097</v>
      </c>
      <c r="P251">
        <v>-15.9</v>
      </c>
    </row>
    <row r="252" spans="1:16" x14ac:dyDescent="0.4">
      <c r="A252" s="1">
        <v>44136</v>
      </c>
      <c r="B252" s="10" t="e">
        <v>#N/A</v>
      </c>
      <c r="C252" t="e">
        <v>#N/A</v>
      </c>
      <c r="D252" t="e">
        <v>#N/A</v>
      </c>
      <c r="E252" t="e">
        <v>#N/A</v>
      </c>
      <c r="F252">
        <v>95.7</v>
      </c>
      <c r="G252" s="4">
        <v>87.5</v>
      </c>
      <c r="H252">
        <v>84</v>
      </c>
      <c r="I252">
        <v>91.7</v>
      </c>
      <c r="J252" t="e">
        <v>#N/A</v>
      </c>
      <c r="K252">
        <v>0.5</v>
      </c>
      <c r="L252">
        <v>94.9</v>
      </c>
      <c r="M252" s="11">
        <v>22259.913</v>
      </c>
      <c r="O252">
        <v>7.7663279237043499E-3</v>
      </c>
      <c r="P252">
        <v>-19.3</v>
      </c>
    </row>
    <row r="253" spans="1:16" x14ac:dyDescent="0.4">
      <c r="A253" s="1">
        <v>44166</v>
      </c>
      <c r="B253" s="10" t="e">
        <v>#N/A</v>
      </c>
      <c r="C253" t="e">
        <v>#N/A</v>
      </c>
      <c r="D253" t="e">
        <v>#N/A</v>
      </c>
      <c r="E253" t="e">
        <v>#N/A</v>
      </c>
      <c r="F253">
        <v>95.8</v>
      </c>
      <c r="G253" s="4">
        <v>90.1</v>
      </c>
      <c r="H253">
        <v>92.5</v>
      </c>
      <c r="I253">
        <v>92.9</v>
      </c>
      <c r="J253" t="e">
        <v>#N/A</v>
      </c>
      <c r="K253">
        <v>0.5</v>
      </c>
      <c r="L253">
        <v>96.1</v>
      </c>
      <c r="M253" s="12">
        <v>22176.315000000002</v>
      </c>
      <c r="O253">
        <v>-3.0135138848864401E-2</v>
      </c>
      <c r="P253">
        <v>-14</v>
      </c>
    </row>
    <row r="254" spans="1:16" x14ac:dyDescent="0.4">
      <c r="A254" s="1">
        <v>44197</v>
      </c>
      <c r="B254" s="10">
        <v>175430</v>
      </c>
      <c r="C254">
        <v>163821.29999999999</v>
      </c>
      <c r="D254">
        <v>96.8</v>
      </c>
      <c r="E254">
        <v>99.4</v>
      </c>
      <c r="F254">
        <v>98.3</v>
      </c>
      <c r="G254" s="4">
        <v>93.3</v>
      </c>
      <c r="H254">
        <v>96.5</v>
      </c>
      <c r="I254">
        <v>91.9</v>
      </c>
      <c r="J254">
        <v>238633.60000000001</v>
      </c>
      <c r="K254">
        <v>1.3</v>
      </c>
      <c r="L254">
        <v>99.2</v>
      </c>
      <c r="M254" s="11">
        <v>22113.924999999999</v>
      </c>
      <c r="O254">
        <v>5.7464819917941098E-2</v>
      </c>
      <c r="P254">
        <v>-13.7</v>
      </c>
    </row>
    <row r="255" spans="1:16" x14ac:dyDescent="0.4">
      <c r="A255" s="1">
        <v>44228</v>
      </c>
      <c r="B255" s="10" t="e">
        <v>#N/A</v>
      </c>
      <c r="C255" t="e">
        <v>#N/A</v>
      </c>
      <c r="D255" t="e">
        <v>#N/A</v>
      </c>
      <c r="E255" t="e">
        <v>#N/A</v>
      </c>
      <c r="F255">
        <v>97.8</v>
      </c>
      <c r="G255" s="4">
        <v>92.5</v>
      </c>
      <c r="H255">
        <v>99.1</v>
      </c>
      <c r="I255">
        <v>97.6</v>
      </c>
      <c r="J255" t="e">
        <v>#N/A</v>
      </c>
      <c r="K255">
        <v>1.4</v>
      </c>
      <c r="L255">
        <v>100.2</v>
      </c>
      <c r="M255" s="11">
        <v>22161.510000000002</v>
      </c>
      <c r="O255">
        <v>7.5828979008070604E-2</v>
      </c>
      <c r="P255">
        <v>-12</v>
      </c>
    </row>
    <row r="256" spans="1:16" x14ac:dyDescent="0.4">
      <c r="A256" s="1">
        <v>44256</v>
      </c>
      <c r="B256" s="10" t="e">
        <v>#N/A</v>
      </c>
      <c r="C256" t="e">
        <v>#N/A</v>
      </c>
      <c r="D256" t="e">
        <v>#N/A</v>
      </c>
      <c r="E256" t="e">
        <v>#N/A</v>
      </c>
      <c r="F256">
        <v>98.2</v>
      </c>
      <c r="G256" s="4">
        <v>94.5</v>
      </c>
      <c r="H256">
        <v>101.6</v>
      </c>
      <c r="I256">
        <v>96.6</v>
      </c>
      <c r="J256" t="e">
        <v>#N/A</v>
      </c>
      <c r="K256">
        <v>0.5</v>
      </c>
      <c r="L256">
        <v>102.2</v>
      </c>
      <c r="M256" s="11">
        <v>22192.372000000003</v>
      </c>
      <c r="O256">
        <v>-2.08246918823729E-2</v>
      </c>
      <c r="P256">
        <v>-12.3</v>
      </c>
    </row>
    <row r="257" spans="1:16" x14ac:dyDescent="0.4">
      <c r="A257" s="1">
        <v>44287</v>
      </c>
      <c r="B257" s="10">
        <v>213623</v>
      </c>
      <c r="C257">
        <v>183520.4</v>
      </c>
      <c r="D257">
        <v>99.6</v>
      </c>
      <c r="E257">
        <v>99.2</v>
      </c>
      <c r="F257">
        <v>99.7</v>
      </c>
      <c r="G257" s="4">
        <v>96.5</v>
      </c>
      <c r="H257">
        <v>105.6</v>
      </c>
      <c r="I257">
        <v>96.9</v>
      </c>
      <c r="J257">
        <v>257003.6</v>
      </c>
      <c r="K257">
        <v>0.1</v>
      </c>
      <c r="L257">
        <v>104.1</v>
      </c>
      <c r="M257" s="11">
        <v>22364.802</v>
      </c>
      <c r="O257">
        <v>4.1780898363017002E-2</v>
      </c>
      <c r="P257">
        <v>-10.199999999999999</v>
      </c>
    </row>
    <row r="258" spans="1:16" x14ac:dyDescent="0.4">
      <c r="A258" s="1">
        <v>44317</v>
      </c>
      <c r="B258" s="10" t="e">
        <v>#N/A</v>
      </c>
      <c r="C258" t="e">
        <v>#N/A</v>
      </c>
      <c r="D258" t="e">
        <v>#N/A</v>
      </c>
      <c r="E258" t="e">
        <v>#N/A</v>
      </c>
      <c r="F258">
        <v>98.2</v>
      </c>
      <c r="G258" s="4">
        <v>96.4</v>
      </c>
      <c r="H258">
        <v>113.7</v>
      </c>
      <c r="I258">
        <v>101.1</v>
      </c>
      <c r="J258" t="e">
        <v>#N/A</v>
      </c>
      <c r="K258">
        <v>0</v>
      </c>
      <c r="L258">
        <v>104.9</v>
      </c>
      <c r="M258" s="11">
        <v>22479.777999999998</v>
      </c>
      <c r="O258">
        <v>-2.7450139568685498E-3</v>
      </c>
      <c r="P258">
        <v>-5.5</v>
      </c>
    </row>
    <row r="259" spans="1:16" x14ac:dyDescent="0.4">
      <c r="A259" s="1">
        <v>44348</v>
      </c>
      <c r="B259" s="10" t="e">
        <v>#N/A</v>
      </c>
      <c r="C259" t="e">
        <v>#N/A</v>
      </c>
      <c r="D259" t="e">
        <v>#N/A</v>
      </c>
      <c r="E259" t="e">
        <v>#N/A</v>
      </c>
      <c r="F259">
        <v>99.9</v>
      </c>
      <c r="G259" s="4">
        <v>100.3</v>
      </c>
      <c r="H259">
        <v>117.1</v>
      </c>
      <c r="I259">
        <v>102.1</v>
      </c>
      <c r="J259" t="e">
        <v>#N/A</v>
      </c>
      <c r="K259">
        <v>0.1</v>
      </c>
      <c r="L259">
        <v>105.4</v>
      </c>
      <c r="M259" s="11">
        <v>22632.377999999997</v>
      </c>
      <c r="O259">
        <v>1.0343894864256201E-2</v>
      </c>
      <c r="P259">
        <v>-2.5</v>
      </c>
    </row>
    <row r="260" spans="1:16" x14ac:dyDescent="0.4">
      <c r="A260" s="1">
        <v>44378</v>
      </c>
      <c r="B260" s="10">
        <v>205951</v>
      </c>
      <c r="C260">
        <v>176904.7</v>
      </c>
      <c r="D260">
        <v>103.3</v>
      </c>
      <c r="E260">
        <v>99.9</v>
      </c>
      <c r="F260">
        <v>100.9</v>
      </c>
      <c r="G260" s="4">
        <v>101.1</v>
      </c>
      <c r="H260">
        <v>119.3</v>
      </c>
      <c r="I260">
        <v>101</v>
      </c>
      <c r="J260">
        <v>264237.90000000002</v>
      </c>
      <c r="K260">
        <v>-0.6</v>
      </c>
      <c r="L260">
        <v>109.7</v>
      </c>
      <c r="M260" s="11">
        <v>22751.023999999998</v>
      </c>
      <c r="O260">
        <v>2.51512128677049E-2</v>
      </c>
      <c r="P260">
        <v>-2.2999999999999998</v>
      </c>
    </row>
    <row r="261" spans="1:16" x14ac:dyDescent="0.4">
      <c r="A261" s="1">
        <v>44409</v>
      </c>
      <c r="B261" s="10" t="e">
        <v>#N/A</v>
      </c>
      <c r="C261" t="e">
        <v>#N/A</v>
      </c>
      <c r="D261" t="e">
        <v>#N/A</v>
      </c>
      <c r="E261" t="e">
        <v>#N/A</v>
      </c>
      <c r="F261">
        <v>99.6</v>
      </c>
      <c r="G261" s="4">
        <v>100.9</v>
      </c>
      <c r="H261">
        <v>117.6</v>
      </c>
      <c r="I261">
        <v>101.5</v>
      </c>
      <c r="J261" t="e">
        <v>#N/A</v>
      </c>
      <c r="K261">
        <v>0.9</v>
      </c>
      <c r="L261">
        <v>110.9</v>
      </c>
      <c r="M261" s="11">
        <v>22675.813000000002</v>
      </c>
      <c r="O261">
        <v>-1.2574402038414E-2</v>
      </c>
      <c r="P261">
        <v>-4.5999999999999996</v>
      </c>
    </row>
    <row r="262" spans="1:16" x14ac:dyDescent="0.4">
      <c r="A262" s="1">
        <v>44440</v>
      </c>
      <c r="B262" s="10" t="e">
        <v>#N/A</v>
      </c>
      <c r="C262" t="e">
        <v>#N/A</v>
      </c>
      <c r="D262" t="e">
        <v>#N/A</v>
      </c>
      <c r="E262" t="e">
        <v>#N/A</v>
      </c>
      <c r="F262">
        <v>100.3</v>
      </c>
      <c r="G262" s="4">
        <v>101.6</v>
      </c>
      <c r="H262">
        <v>118.7</v>
      </c>
      <c r="I262">
        <v>101.9</v>
      </c>
      <c r="J262" t="e">
        <v>#N/A</v>
      </c>
      <c r="K262">
        <v>1.4</v>
      </c>
      <c r="L262">
        <v>111</v>
      </c>
      <c r="M262" s="11">
        <v>22770.985000000001</v>
      </c>
      <c r="O262">
        <v>4.5365465126103302E-2</v>
      </c>
      <c r="P262">
        <v>-3.9</v>
      </c>
    </row>
    <row r="263" spans="1:16" x14ac:dyDescent="0.4">
      <c r="A263" s="1">
        <v>44470</v>
      </c>
      <c r="B263" s="10">
        <v>273989</v>
      </c>
      <c r="C263">
        <v>213974.2</v>
      </c>
      <c r="D263">
        <v>103.6</v>
      </c>
      <c r="E263">
        <v>99.8</v>
      </c>
      <c r="F263">
        <v>100.2</v>
      </c>
      <c r="G263" s="5">
        <v>105</v>
      </c>
      <c r="H263">
        <v>120.5</v>
      </c>
      <c r="I263">
        <v>104.2</v>
      </c>
      <c r="J263">
        <v>268709.90000000002</v>
      </c>
      <c r="K263">
        <v>1.2</v>
      </c>
      <c r="L263">
        <v>118.9</v>
      </c>
      <c r="M263" s="11">
        <v>22752.745000000003</v>
      </c>
      <c r="O263">
        <v>-4.0316714644909303E-2</v>
      </c>
      <c r="P263">
        <v>-3.3</v>
      </c>
    </row>
    <row r="264" spans="1:16" x14ac:dyDescent="0.4">
      <c r="A264" s="1">
        <v>44501</v>
      </c>
      <c r="B264" s="10" t="e">
        <v>#N/A</v>
      </c>
      <c r="C264" t="e">
        <v>#N/A</v>
      </c>
      <c r="D264" t="e">
        <v>#N/A</v>
      </c>
      <c r="E264" t="e">
        <v>#N/A</v>
      </c>
      <c r="F264">
        <v>102.3</v>
      </c>
      <c r="G264" s="4">
        <v>106.8</v>
      </c>
      <c r="H264">
        <v>118.4</v>
      </c>
      <c r="I264">
        <v>101.5</v>
      </c>
      <c r="J264" t="e">
        <v>#N/A</v>
      </c>
      <c r="K264">
        <v>1.3</v>
      </c>
      <c r="L264">
        <v>124.5</v>
      </c>
      <c r="M264" s="11">
        <v>22894.485999999997</v>
      </c>
      <c r="O264">
        <v>5.7689853224799102E-2</v>
      </c>
      <c r="P264">
        <v>-6</v>
      </c>
    </row>
    <row r="265" spans="1:16" x14ac:dyDescent="0.4">
      <c r="A265" s="1">
        <v>44531</v>
      </c>
      <c r="B265" s="10" t="e">
        <v>#N/A</v>
      </c>
      <c r="C265" t="e">
        <v>#N/A</v>
      </c>
      <c r="D265" t="e">
        <v>#N/A</v>
      </c>
      <c r="E265" t="e">
        <v>#N/A</v>
      </c>
      <c r="F265">
        <v>100.7</v>
      </c>
      <c r="G265" s="4">
        <v>105.6</v>
      </c>
      <c r="H265">
        <v>118.2</v>
      </c>
      <c r="I265">
        <v>101.9</v>
      </c>
      <c r="J265" t="e">
        <v>#N/A</v>
      </c>
      <c r="K265">
        <v>1.8</v>
      </c>
      <c r="L265">
        <v>124.5</v>
      </c>
      <c r="M265" s="12">
        <v>22868.758999999998</v>
      </c>
      <c r="O265">
        <v>-1.96826944584245E-2</v>
      </c>
      <c r="P265">
        <v>-5.8</v>
      </c>
    </row>
    <row r="266" spans="1:16" x14ac:dyDescent="0.4">
      <c r="A266" s="1">
        <v>44562</v>
      </c>
      <c r="B266" s="10">
        <v>191089</v>
      </c>
      <c r="C266">
        <v>177841.6</v>
      </c>
      <c r="D266">
        <v>104.3</v>
      </c>
      <c r="E266">
        <v>100.4</v>
      </c>
      <c r="F266">
        <v>95.7</v>
      </c>
      <c r="G266" s="4">
        <v>108.5</v>
      </c>
      <c r="H266">
        <v>110.7</v>
      </c>
      <c r="I266">
        <v>100.6</v>
      </c>
      <c r="J266">
        <v>275800.7</v>
      </c>
      <c r="K266">
        <v>1.7</v>
      </c>
      <c r="L266">
        <v>138</v>
      </c>
      <c r="M266" s="11">
        <v>22859.616000000002</v>
      </c>
      <c r="O266">
        <v>-5.35452422121541E-2</v>
      </c>
      <c r="P266">
        <v>-10.199999999999999</v>
      </c>
    </row>
    <row r="267" spans="1:16" x14ac:dyDescent="0.4">
      <c r="A267" s="1">
        <v>44593</v>
      </c>
      <c r="B267" s="10" t="e">
        <v>#N/A</v>
      </c>
      <c r="C267" t="e">
        <v>#N/A</v>
      </c>
      <c r="D267" t="e">
        <v>#N/A</v>
      </c>
      <c r="E267" t="e">
        <v>#N/A</v>
      </c>
      <c r="F267">
        <v>101.1</v>
      </c>
      <c r="G267" s="5">
        <v>112</v>
      </c>
      <c r="H267">
        <v>112.1</v>
      </c>
      <c r="I267">
        <v>100.7</v>
      </c>
      <c r="J267" t="e">
        <v>#N/A</v>
      </c>
      <c r="K267">
        <v>2.2999999999999998</v>
      </c>
      <c r="L267">
        <v>146.80000000000001</v>
      </c>
      <c r="M267" s="11">
        <v>22970.16</v>
      </c>
      <c r="O267">
        <v>-1.5663424701571699E-2</v>
      </c>
      <c r="P267">
        <v>-10.9</v>
      </c>
    </row>
    <row r="268" spans="1:16" x14ac:dyDescent="0.4">
      <c r="A268" s="1">
        <v>44621</v>
      </c>
      <c r="B268" s="10" t="e">
        <v>#N/A</v>
      </c>
      <c r="C268" t="e">
        <v>#N/A</v>
      </c>
      <c r="D268" t="e">
        <v>#N/A</v>
      </c>
      <c r="E268" t="e">
        <v>#N/A</v>
      </c>
      <c r="F268">
        <v>101.5</v>
      </c>
      <c r="G268" s="4">
        <v>115.6</v>
      </c>
      <c r="H268">
        <v>103.6</v>
      </c>
      <c r="I268">
        <v>100.4</v>
      </c>
      <c r="J268" t="e">
        <v>#N/A</v>
      </c>
      <c r="K268">
        <v>2.7</v>
      </c>
      <c r="L268">
        <v>154.80000000000001</v>
      </c>
      <c r="M268" s="11">
        <v>23060.825000000001</v>
      </c>
      <c r="O268">
        <v>-3.1216384056159899E-2</v>
      </c>
      <c r="P268">
        <v>-24.6</v>
      </c>
    </row>
    <row r="269" spans="1:16" x14ac:dyDescent="0.4">
      <c r="A269" s="1">
        <v>44652</v>
      </c>
      <c r="B269" s="10">
        <v>232616</v>
      </c>
      <c r="C269">
        <v>198440.6</v>
      </c>
      <c r="D269">
        <v>105.7</v>
      </c>
      <c r="E269">
        <v>100.4</v>
      </c>
      <c r="F269">
        <v>103.6</v>
      </c>
      <c r="G269" s="4">
        <v>119.9</v>
      </c>
      <c r="H269">
        <v>104.4</v>
      </c>
      <c r="I269">
        <v>100.1</v>
      </c>
      <c r="J269">
        <v>287340.79999999999</v>
      </c>
      <c r="K269">
        <v>3.1</v>
      </c>
      <c r="L269">
        <v>145.69999999999999</v>
      </c>
      <c r="M269" s="11">
        <v>23064.328000000001</v>
      </c>
      <c r="O269">
        <v>1.0378090152027401E-2</v>
      </c>
      <c r="P269">
        <v>-22.3</v>
      </c>
    </row>
    <row r="270" spans="1:16" x14ac:dyDescent="0.4">
      <c r="A270" s="1">
        <v>44682</v>
      </c>
      <c r="B270" s="10" t="e">
        <v>#N/A</v>
      </c>
      <c r="C270" t="e">
        <v>#N/A</v>
      </c>
      <c r="D270" t="e">
        <v>#N/A</v>
      </c>
      <c r="E270" t="e">
        <v>#N/A</v>
      </c>
      <c r="F270">
        <v>101.4</v>
      </c>
      <c r="G270" s="4">
        <v>119.8</v>
      </c>
      <c r="H270">
        <v>105.4</v>
      </c>
      <c r="I270">
        <v>103.4</v>
      </c>
      <c r="J270" t="e">
        <v>#N/A</v>
      </c>
      <c r="K270">
        <v>3.9</v>
      </c>
      <c r="L270">
        <v>149.9</v>
      </c>
      <c r="M270" s="11">
        <v>23096.743999999999</v>
      </c>
      <c r="O270">
        <v>-0.14045183546909701</v>
      </c>
      <c r="P270">
        <v>-22.3</v>
      </c>
    </row>
    <row r="271" spans="1:16" x14ac:dyDescent="0.4">
      <c r="A271" s="1">
        <v>44713</v>
      </c>
      <c r="B271" s="10" t="e">
        <v>#N/A</v>
      </c>
      <c r="C271" t="e">
        <v>#N/A</v>
      </c>
      <c r="D271" t="e">
        <v>#N/A</v>
      </c>
      <c r="E271" t="e">
        <v>#N/A</v>
      </c>
      <c r="F271">
        <v>99</v>
      </c>
      <c r="G271" s="4">
        <v>118.2</v>
      </c>
      <c r="H271">
        <v>104.3</v>
      </c>
      <c r="I271">
        <v>99.8</v>
      </c>
      <c r="J271" t="e">
        <v>#N/A</v>
      </c>
      <c r="K271">
        <v>4.5999999999999996</v>
      </c>
      <c r="L271">
        <v>157.19999999999999</v>
      </c>
      <c r="M271" s="11">
        <v>23196.093000000001</v>
      </c>
      <c r="O271">
        <v>5.0858805345692197E-2</v>
      </c>
      <c r="P271">
        <v>-24</v>
      </c>
    </row>
    <row r="272" spans="1:16" x14ac:dyDescent="0.4">
      <c r="A272" s="1">
        <v>44743</v>
      </c>
      <c r="B272" s="10">
        <v>222706</v>
      </c>
      <c r="C272">
        <v>184578.8</v>
      </c>
      <c r="D272">
        <v>105.5</v>
      </c>
      <c r="E272">
        <v>100.6</v>
      </c>
      <c r="F272">
        <v>99.7</v>
      </c>
      <c r="G272" s="4">
        <v>118.1</v>
      </c>
      <c r="H272">
        <v>100.3</v>
      </c>
      <c r="I272">
        <v>100.2</v>
      </c>
      <c r="J272">
        <v>292902.40000000002</v>
      </c>
      <c r="K272">
        <v>4.7</v>
      </c>
      <c r="L272">
        <v>157.30000000000001</v>
      </c>
      <c r="M272" s="11">
        <v>23152.343000000001</v>
      </c>
      <c r="O272">
        <v>-3.8490785462236901E-2</v>
      </c>
      <c r="P272">
        <v>-27.9</v>
      </c>
    </row>
    <row r="273" spans="1:16" x14ac:dyDescent="0.4">
      <c r="A273" s="1">
        <v>44774</v>
      </c>
      <c r="B273" s="10" t="e">
        <v>#N/A</v>
      </c>
      <c r="C273" t="e">
        <v>#N/A</v>
      </c>
      <c r="D273" t="e">
        <v>#N/A</v>
      </c>
      <c r="E273" t="e">
        <v>#N/A</v>
      </c>
      <c r="F273">
        <v>102.5</v>
      </c>
      <c r="G273" s="4">
        <v>122.4</v>
      </c>
      <c r="H273">
        <v>99.8</v>
      </c>
      <c r="I273">
        <v>99.7</v>
      </c>
      <c r="J273" t="e">
        <v>#N/A</v>
      </c>
      <c r="K273">
        <v>5.4</v>
      </c>
      <c r="L273">
        <v>161.19999999999999</v>
      </c>
      <c r="M273" s="11">
        <v>23056.567999999999</v>
      </c>
      <c r="O273">
        <v>-4.31264706915329E-2</v>
      </c>
      <c r="P273">
        <v>-24.6</v>
      </c>
    </row>
    <row r="274" spans="1:16" x14ac:dyDescent="0.4">
      <c r="A274" s="1">
        <v>44805</v>
      </c>
      <c r="B274" s="10" t="e">
        <v>#N/A</v>
      </c>
      <c r="C274" t="e">
        <v>#N/A</v>
      </c>
      <c r="D274" t="e">
        <v>#N/A</v>
      </c>
      <c r="E274" t="e">
        <v>#N/A</v>
      </c>
      <c r="F274">
        <v>99.6</v>
      </c>
      <c r="G274" s="4">
        <v>120.4</v>
      </c>
      <c r="H274">
        <v>95.6</v>
      </c>
      <c r="I274">
        <v>99.5</v>
      </c>
      <c r="J274" t="e">
        <v>#N/A</v>
      </c>
      <c r="K274">
        <v>5.8</v>
      </c>
      <c r="L274">
        <v>160.9</v>
      </c>
      <c r="M274" s="11">
        <v>23140.964</v>
      </c>
      <c r="O274">
        <v>9.2581256167221695E-2</v>
      </c>
      <c r="P274">
        <v>-26.4</v>
      </c>
    </row>
    <row r="275" spans="1:16" x14ac:dyDescent="0.4">
      <c r="A275" s="1">
        <v>44835</v>
      </c>
      <c r="B275" s="10">
        <v>289357</v>
      </c>
      <c r="C275">
        <v>222736.5</v>
      </c>
      <c r="D275">
        <v>107</v>
      </c>
      <c r="E275">
        <v>101.6</v>
      </c>
      <c r="F275">
        <v>98.4</v>
      </c>
      <c r="G275" s="4">
        <v>118.1</v>
      </c>
      <c r="H275">
        <v>95.1</v>
      </c>
      <c r="I275">
        <v>98.9</v>
      </c>
      <c r="J275">
        <v>300812</v>
      </c>
      <c r="K275">
        <v>6.4</v>
      </c>
      <c r="L275">
        <v>204.2</v>
      </c>
      <c r="M275" s="11">
        <v>23245.188999999998</v>
      </c>
      <c r="O275">
        <v>8.2904716151405794E-2</v>
      </c>
      <c r="P275">
        <v>-26.4</v>
      </c>
    </row>
    <row r="276" spans="1:16" x14ac:dyDescent="0.4">
      <c r="A276" s="1">
        <v>44866</v>
      </c>
      <c r="B276" s="10" t="e">
        <v>#N/A</v>
      </c>
      <c r="C276" t="e">
        <v>#N/A</v>
      </c>
      <c r="D276" t="e">
        <v>#N/A</v>
      </c>
      <c r="E276" t="e">
        <v>#N/A</v>
      </c>
      <c r="F276">
        <v>98.5</v>
      </c>
      <c r="G276" s="5">
        <v>119</v>
      </c>
      <c r="H276">
        <v>100</v>
      </c>
      <c r="I276">
        <v>98.6</v>
      </c>
      <c r="J276" t="e">
        <v>#N/A</v>
      </c>
      <c r="K276">
        <v>6.5</v>
      </c>
      <c r="L276">
        <v>209.3</v>
      </c>
      <c r="M276" s="11">
        <v>23230.364999999998</v>
      </c>
      <c r="O276">
        <v>-3.7382501221868501E-2</v>
      </c>
      <c r="P276">
        <v>-18.100000000000001</v>
      </c>
    </row>
    <row r="277" spans="1:16" x14ac:dyDescent="0.4">
      <c r="A277" s="1">
        <v>44896</v>
      </c>
      <c r="B277" s="10" t="e">
        <v>#N/A</v>
      </c>
      <c r="C277" t="e">
        <v>#N/A</v>
      </c>
      <c r="D277" t="e">
        <v>#N/A</v>
      </c>
      <c r="E277" t="e">
        <v>#N/A</v>
      </c>
      <c r="F277">
        <v>99.6</v>
      </c>
      <c r="G277" s="5">
        <v>119</v>
      </c>
      <c r="H277">
        <v>101</v>
      </c>
      <c r="I277">
        <v>98.2</v>
      </c>
      <c r="J277" t="e">
        <v>#N/A</v>
      </c>
      <c r="K277">
        <v>6.6</v>
      </c>
      <c r="L277">
        <v>205.6</v>
      </c>
      <c r="M277" s="12">
        <v>23278.214</v>
      </c>
      <c r="O277">
        <v>0.115140852606558</v>
      </c>
      <c r="P277">
        <v>-16.7</v>
      </c>
    </row>
    <row r="278" spans="1:16" x14ac:dyDescent="0.4">
      <c r="A278" s="1">
        <v>44927</v>
      </c>
      <c r="B278" s="10">
        <v>204635</v>
      </c>
      <c r="C278">
        <v>188674.6</v>
      </c>
      <c r="D278">
        <v>108.3</v>
      </c>
      <c r="E278">
        <v>101.8</v>
      </c>
      <c r="F278">
        <v>98.4</v>
      </c>
      <c r="G278" s="5">
        <v>117</v>
      </c>
      <c r="H278">
        <v>101.6</v>
      </c>
      <c r="I278">
        <v>99</v>
      </c>
      <c r="J278">
        <v>305695.3</v>
      </c>
      <c r="K278">
        <v>6.7</v>
      </c>
      <c r="L278">
        <v>197</v>
      </c>
      <c r="M278" s="11">
        <v>23370.067999999999</v>
      </c>
      <c r="O278">
        <v>3.2474468714102797E-2</v>
      </c>
      <c r="P278">
        <v>-18.100000000000001</v>
      </c>
    </row>
    <row r="279" spans="1:16" x14ac:dyDescent="0.4">
      <c r="A279" s="1">
        <v>44958</v>
      </c>
      <c r="B279" s="10" t="e">
        <v>#N/A</v>
      </c>
      <c r="C279" t="e">
        <v>#N/A</v>
      </c>
      <c r="D279" t="e">
        <v>#N/A</v>
      </c>
      <c r="E279" t="e">
        <v>#N/A</v>
      </c>
      <c r="F279">
        <v>99.3</v>
      </c>
      <c r="G279" s="5">
        <v>117</v>
      </c>
      <c r="H279">
        <v>102.2</v>
      </c>
      <c r="I279">
        <v>97.8</v>
      </c>
      <c r="J279" t="e">
        <v>#N/A</v>
      </c>
      <c r="K279">
        <v>7</v>
      </c>
      <c r="L279">
        <v>188.2</v>
      </c>
      <c r="M279" s="11">
        <v>23418.750999999997</v>
      </c>
      <c r="O279">
        <v>-1.33354848445588E-2</v>
      </c>
      <c r="P279">
        <v>-16.600000000000001</v>
      </c>
    </row>
    <row r="280" spans="1:16" x14ac:dyDescent="0.4">
      <c r="A280" s="1">
        <v>44986</v>
      </c>
      <c r="B280" s="10" t="e">
        <v>#N/A</v>
      </c>
      <c r="C280" t="e">
        <v>#N/A</v>
      </c>
      <c r="D280" t="e">
        <v>#N/A</v>
      </c>
      <c r="E280" t="e">
        <v>#N/A</v>
      </c>
      <c r="F280">
        <v>98.7</v>
      </c>
      <c r="G280" s="5">
        <v>118</v>
      </c>
      <c r="H280">
        <v>103.8</v>
      </c>
      <c r="I280">
        <v>97.7</v>
      </c>
      <c r="J280" t="e">
        <v>#N/A</v>
      </c>
      <c r="K280">
        <v>6.9</v>
      </c>
      <c r="L280">
        <v>171.4</v>
      </c>
      <c r="M280" s="11">
        <v>23420.774000000001</v>
      </c>
      <c r="O280">
        <v>-1.36554061558236E-3</v>
      </c>
      <c r="P280">
        <v>-14.7</v>
      </c>
    </row>
    <row r="281" spans="1:16" x14ac:dyDescent="0.4">
      <c r="A281" s="1">
        <v>45017</v>
      </c>
      <c r="B281" s="10">
        <v>242691</v>
      </c>
      <c r="C281">
        <v>207231.1</v>
      </c>
      <c r="D281">
        <v>108.6</v>
      </c>
      <c r="E281">
        <v>102.7</v>
      </c>
      <c r="F281">
        <v>96.8</v>
      </c>
      <c r="G281" s="4">
        <v>115.5</v>
      </c>
      <c r="H281">
        <v>104.6</v>
      </c>
      <c r="I281">
        <v>97.6</v>
      </c>
      <c r="J281">
        <v>305364.5</v>
      </c>
      <c r="K281">
        <v>6.7</v>
      </c>
      <c r="L281">
        <v>169.6</v>
      </c>
      <c r="M281" s="11">
        <v>23463.673000000003</v>
      </c>
      <c r="O281">
        <v>-3.8628503863097997E-2</v>
      </c>
      <c r="P281">
        <v>-14.8</v>
      </c>
    </row>
    <row r="282" spans="1:16" x14ac:dyDescent="0.4">
      <c r="A282" s="1">
        <v>45047</v>
      </c>
      <c r="B282" s="10" t="e">
        <v>#N/A</v>
      </c>
      <c r="C282" t="e">
        <v>#N/A</v>
      </c>
      <c r="D282" t="e">
        <v>#N/A</v>
      </c>
      <c r="E282" t="e">
        <v>#N/A</v>
      </c>
      <c r="F282">
        <v>98.2</v>
      </c>
      <c r="G282" s="4">
        <v>117.7</v>
      </c>
      <c r="H282">
        <v>101.2</v>
      </c>
      <c r="I282">
        <v>97.6</v>
      </c>
      <c r="J282" t="e">
        <v>#N/A</v>
      </c>
      <c r="K282">
        <v>6.6</v>
      </c>
      <c r="L282">
        <v>167.2</v>
      </c>
      <c r="M282" s="11">
        <v>23497.773000000001</v>
      </c>
      <c r="O282">
        <v>8.0364509768026296E-2</v>
      </c>
      <c r="P282">
        <v>-16.399999999999999</v>
      </c>
    </row>
    <row r="283" spans="1:16" x14ac:dyDescent="0.4">
      <c r="A283" s="1">
        <v>45078</v>
      </c>
      <c r="B283" s="10" t="e">
        <v>#N/A</v>
      </c>
      <c r="C283" t="e">
        <v>#N/A</v>
      </c>
      <c r="D283" t="e">
        <v>#N/A</v>
      </c>
      <c r="E283" t="e">
        <v>#N/A</v>
      </c>
      <c r="F283">
        <v>98.3</v>
      </c>
      <c r="G283" s="4">
        <v>116.7</v>
      </c>
      <c r="H283">
        <v>100.6</v>
      </c>
      <c r="I283">
        <v>97.1</v>
      </c>
      <c r="J283" t="e">
        <v>#N/A</v>
      </c>
      <c r="K283">
        <v>6.2</v>
      </c>
      <c r="L283">
        <v>160.4</v>
      </c>
      <c r="M283" s="11">
        <v>23619.411999999997</v>
      </c>
      <c r="O283">
        <v>4.8872812212787102E-2</v>
      </c>
      <c r="P283">
        <v>-15.4</v>
      </c>
    </row>
    <row r="284" spans="1:16" x14ac:dyDescent="0.4">
      <c r="A284" s="1">
        <v>45108</v>
      </c>
      <c r="B284" s="10">
        <v>236079</v>
      </c>
      <c r="C284">
        <v>193497.9</v>
      </c>
      <c r="D284">
        <v>109.3</v>
      </c>
      <c r="E284">
        <v>103.3</v>
      </c>
      <c r="F284">
        <v>97.6</v>
      </c>
      <c r="G284" s="5">
        <v>116</v>
      </c>
      <c r="H284">
        <v>100.2</v>
      </c>
      <c r="I284">
        <v>96.9</v>
      </c>
      <c r="J284">
        <v>305102.59999999998</v>
      </c>
      <c r="K284">
        <v>6</v>
      </c>
      <c r="L284">
        <v>158.19999999999999</v>
      </c>
      <c r="M284" s="11">
        <v>23526.114000000001</v>
      </c>
      <c r="O284">
        <v>-2.78075957334032E-2</v>
      </c>
      <c r="P284">
        <v>-16.399999999999999</v>
      </c>
    </row>
    <row r="285" spans="1:16" x14ac:dyDescent="0.4">
      <c r="A285" s="1">
        <v>45139</v>
      </c>
      <c r="B285" s="10" t="e">
        <v>#N/A</v>
      </c>
      <c r="C285" t="e">
        <v>#N/A</v>
      </c>
      <c r="D285" t="e">
        <v>#N/A</v>
      </c>
      <c r="E285" t="e">
        <v>#N/A</v>
      </c>
      <c r="F285">
        <v>98.3</v>
      </c>
      <c r="G285" s="4">
        <v>116.9</v>
      </c>
      <c r="H285">
        <v>99.9</v>
      </c>
      <c r="I285">
        <v>96.6</v>
      </c>
      <c r="J285" t="e">
        <v>#N/A</v>
      </c>
      <c r="K285">
        <v>5.2</v>
      </c>
      <c r="L285">
        <v>160.80000000000001</v>
      </c>
      <c r="M285" s="11">
        <v>23573.681</v>
      </c>
      <c r="O285">
        <v>-2.0640242148520099E-2</v>
      </c>
      <c r="P285">
        <v>-16</v>
      </c>
    </row>
    <row r="286" spans="1:16" x14ac:dyDescent="0.4">
      <c r="A286" s="1">
        <v>45170</v>
      </c>
      <c r="B286" s="10" t="e">
        <v>#N/A</v>
      </c>
      <c r="C286" t="e">
        <v>#N/A</v>
      </c>
      <c r="D286" t="e">
        <v>#N/A</v>
      </c>
      <c r="E286" t="e">
        <v>#N/A</v>
      </c>
      <c r="F286">
        <v>97.8</v>
      </c>
      <c r="G286" s="4">
        <v>116.6</v>
      </c>
      <c r="H286">
        <v>97.9</v>
      </c>
      <c r="I286">
        <v>95.8</v>
      </c>
      <c r="J286" t="e">
        <v>#N/A</v>
      </c>
      <c r="K286">
        <v>5.0999999999999996</v>
      </c>
      <c r="L286">
        <v>163.5</v>
      </c>
      <c r="M286" s="11">
        <v>23656.006999999998</v>
      </c>
      <c r="O286">
        <v>-1.7898128936309401E-2</v>
      </c>
      <c r="P286">
        <v>-17.100000000000001</v>
      </c>
    </row>
    <row r="287" spans="1:16" x14ac:dyDescent="0.4">
      <c r="A287" s="1">
        <v>45200</v>
      </c>
      <c r="B287" s="10">
        <v>312496</v>
      </c>
      <c r="C287">
        <v>234116.3</v>
      </c>
      <c r="D287">
        <v>110.7</v>
      </c>
      <c r="E287">
        <v>103.8</v>
      </c>
      <c r="F287">
        <v>97.7</v>
      </c>
      <c r="G287" s="4">
        <v>117.2</v>
      </c>
      <c r="H287">
        <v>97.2</v>
      </c>
      <c r="I287">
        <v>96.3</v>
      </c>
      <c r="J287">
        <v>304663.40000000002</v>
      </c>
      <c r="K287">
        <v>4.5</v>
      </c>
      <c r="L287">
        <v>163.5</v>
      </c>
      <c r="M287" s="11">
        <v>23725.883999999998</v>
      </c>
      <c r="O287">
        <v>6.9444551359319803E-2</v>
      </c>
      <c r="P287">
        <v>-19.600000000000001</v>
      </c>
    </row>
    <row r="288" spans="1:16" x14ac:dyDescent="0.4">
      <c r="A288" s="1">
        <v>45231</v>
      </c>
      <c r="B288" s="10" t="e">
        <v>#N/A</v>
      </c>
      <c r="C288" t="e">
        <v>#N/A</v>
      </c>
      <c r="D288" t="e">
        <v>#N/A</v>
      </c>
      <c r="E288" t="e">
        <v>#N/A</v>
      </c>
      <c r="F288">
        <v>96.1</v>
      </c>
      <c r="G288" s="4">
        <v>115.8</v>
      </c>
      <c r="H288">
        <v>97.3</v>
      </c>
      <c r="I288">
        <v>96.7</v>
      </c>
      <c r="J288" t="e">
        <v>#N/A</v>
      </c>
      <c r="K288">
        <v>3.8</v>
      </c>
      <c r="L288">
        <v>157.9</v>
      </c>
      <c r="M288" s="11">
        <v>23737.342000000001</v>
      </c>
      <c r="O288">
        <v>2.04703514922411E-2</v>
      </c>
      <c r="P288">
        <v>-18.2</v>
      </c>
    </row>
    <row r="289" spans="1:16" x14ac:dyDescent="0.4">
      <c r="A289" s="1">
        <v>45261</v>
      </c>
      <c r="B289" s="10" t="e">
        <v>#N/A</v>
      </c>
      <c r="C289" t="e">
        <v>#N/A</v>
      </c>
      <c r="D289" t="e">
        <v>#N/A</v>
      </c>
      <c r="E289" t="e">
        <v>#N/A</v>
      </c>
      <c r="F289">
        <v>98.2</v>
      </c>
      <c r="G289" s="4">
        <v>117.7</v>
      </c>
      <c r="H289">
        <v>99.2</v>
      </c>
      <c r="I289">
        <v>96</v>
      </c>
      <c r="J289" t="e">
        <v>#N/A</v>
      </c>
      <c r="K289">
        <v>3.5</v>
      </c>
      <c r="L289">
        <v>154.30000000000001</v>
      </c>
      <c r="M289" s="12">
        <v>23785.552</v>
      </c>
      <c r="O289">
        <v>1.2832440069884E-2</v>
      </c>
      <c r="P289">
        <v>-16.2</v>
      </c>
    </row>
    <row r="290" spans="1:16" x14ac:dyDescent="0.4">
      <c r="A290" s="1">
        <v>45292</v>
      </c>
      <c r="B290" s="10">
        <v>214325</v>
      </c>
      <c r="C290">
        <v>197319.7</v>
      </c>
      <c r="D290">
        <v>111</v>
      </c>
      <c r="E290">
        <v>104.5</v>
      </c>
      <c r="F290">
        <v>94.9</v>
      </c>
      <c r="G290" s="4">
        <v>112.3</v>
      </c>
      <c r="H290">
        <v>100.6</v>
      </c>
      <c r="I290">
        <v>96.2</v>
      </c>
      <c r="J290">
        <v>309851.5</v>
      </c>
      <c r="K290">
        <v>3.4</v>
      </c>
      <c r="L290">
        <v>156.30000000000001</v>
      </c>
      <c r="M290" s="11">
        <v>23752.214</v>
      </c>
      <c r="O290">
        <v>5.8034443117417601E-2</v>
      </c>
      <c r="P290">
        <v>-16.100000000000001</v>
      </c>
    </row>
    <row r="291" spans="1:16" x14ac:dyDescent="0.4">
      <c r="A291" s="1">
        <v>45323</v>
      </c>
      <c r="B291" s="10" t="e">
        <v>#N/A</v>
      </c>
      <c r="C291" t="e">
        <v>#N/A</v>
      </c>
      <c r="D291" t="e">
        <v>#N/A</v>
      </c>
      <c r="E291" t="e">
        <v>#N/A</v>
      </c>
      <c r="F291">
        <v>95.9</v>
      </c>
      <c r="G291" s="4">
        <v>115.2</v>
      </c>
      <c r="H291">
        <v>99.1</v>
      </c>
      <c r="I291">
        <v>96.5</v>
      </c>
      <c r="J291" t="e">
        <v>#N/A</v>
      </c>
      <c r="K291">
        <v>2.8</v>
      </c>
      <c r="L291">
        <v>155.4</v>
      </c>
      <c r="M291" s="11">
        <v>23822.927</v>
      </c>
      <c r="O291">
        <v>6.4450275630839798E-2</v>
      </c>
      <c r="P291">
        <v>-16.100000000000001</v>
      </c>
    </row>
    <row r="292" spans="1:16" x14ac:dyDescent="0.4">
      <c r="A292" s="1">
        <v>45352</v>
      </c>
      <c r="B292" s="10" t="e">
        <v>#N/A</v>
      </c>
      <c r="C292" t="e">
        <v>#N/A</v>
      </c>
      <c r="D292" t="e">
        <v>#N/A</v>
      </c>
      <c r="E292" t="e">
        <v>#N/A</v>
      </c>
      <c r="F292">
        <v>95.2</v>
      </c>
      <c r="G292" s="4">
        <v>112.8</v>
      </c>
      <c r="H292">
        <v>100.9</v>
      </c>
      <c r="I292">
        <v>96.5</v>
      </c>
      <c r="J292" t="e">
        <v>#N/A</v>
      </c>
      <c r="K292">
        <v>2.4</v>
      </c>
      <c r="L292">
        <v>152.80000000000001</v>
      </c>
      <c r="M292" s="11">
        <v>23883.739000000001</v>
      </c>
      <c r="O292">
        <v>-2.9288047532002499E-2</v>
      </c>
      <c r="P292">
        <v>-16.7</v>
      </c>
    </row>
    <row r="293" spans="1:16" x14ac:dyDescent="0.4">
      <c r="A293" s="1">
        <v>45383</v>
      </c>
      <c r="B293" s="10">
        <v>248440</v>
      </c>
      <c r="C293">
        <v>218739.5</v>
      </c>
      <c r="D293">
        <v>110.7</v>
      </c>
      <c r="E293">
        <v>106.3</v>
      </c>
      <c r="F293">
        <v>94.3</v>
      </c>
      <c r="G293" s="4">
        <v>112.1</v>
      </c>
      <c r="H293">
        <v>100.1</v>
      </c>
      <c r="I293">
        <v>96.1</v>
      </c>
      <c r="J293">
        <v>310306.09999999998</v>
      </c>
      <c r="K293">
        <v>2.2999999999999998</v>
      </c>
      <c r="L293">
        <v>148.9</v>
      </c>
      <c r="M293" s="11">
        <v>23948.186999999998</v>
      </c>
      <c r="O293">
        <v>2.1835888611279899E-2</v>
      </c>
      <c r="P293">
        <v>-18.899999999999999</v>
      </c>
    </row>
    <row r="294" spans="1:16" x14ac:dyDescent="0.4">
      <c r="A294" s="1">
        <v>45413</v>
      </c>
      <c r="B294" s="10" t="e">
        <v>#N/A</v>
      </c>
      <c r="C294" t="e">
        <v>#N/A</v>
      </c>
      <c r="D294" t="e">
        <v>#N/A</v>
      </c>
      <c r="E294" t="e">
        <v>#N/A</v>
      </c>
      <c r="F294">
        <v>94.4</v>
      </c>
      <c r="G294" s="4">
        <v>112.5</v>
      </c>
      <c r="H294">
        <v>100.5</v>
      </c>
      <c r="I294">
        <v>96.4</v>
      </c>
      <c r="J294" t="e">
        <v>#N/A</v>
      </c>
      <c r="K294">
        <v>2.1</v>
      </c>
      <c r="L294">
        <v>147.6</v>
      </c>
      <c r="M294" s="11">
        <v>23907.758999999998</v>
      </c>
      <c r="O294">
        <v>-3.9564040087404002E-2</v>
      </c>
      <c r="P294">
        <v>-18.600000000000001</v>
      </c>
    </row>
    <row r="295" spans="1:16" x14ac:dyDescent="0.4">
      <c r="A295" s="1">
        <v>45444</v>
      </c>
      <c r="B295" s="10" t="e">
        <v>#N/A</v>
      </c>
      <c r="C295" t="e">
        <v>#N/A</v>
      </c>
      <c r="D295" t="e">
        <v>#N/A</v>
      </c>
      <c r="E295" t="e">
        <v>#N/A</v>
      </c>
      <c r="F295">
        <v>94.5</v>
      </c>
      <c r="G295" s="4">
        <v>111.4</v>
      </c>
      <c r="H295">
        <v>99.6</v>
      </c>
      <c r="I295">
        <v>96</v>
      </c>
      <c r="J295" t="e">
        <v>#N/A</v>
      </c>
      <c r="K295">
        <v>2.1</v>
      </c>
      <c r="L295">
        <v>146.6</v>
      </c>
      <c r="M295" s="11">
        <v>23949.4</v>
      </c>
      <c r="O295">
        <v>1.82317731187993E-2</v>
      </c>
      <c r="P295">
        <v>-17.100000000000001</v>
      </c>
    </row>
    <row r="296" spans="1:16" x14ac:dyDescent="0.4">
      <c r="A296" s="1">
        <v>45474</v>
      </c>
      <c r="B296" s="10">
        <v>248096</v>
      </c>
      <c r="C296">
        <v>204137.5</v>
      </c>
      <c r="D296">
        <v>110.8</v>
      </c>
      <c r="E296">
        <v>107.6</v>
      </c>
      <c r="F296">
        <v>93.4</v>
      </c>
      <c r="G296" s="4">
        <v>110.8</v>
      </c>
      <c r="H296">
        <v>100</v>
      </c>
      <c r="I296">
        <v>96.4</v>
      </c>
      <c r="J296">
        <v>311725.2</v>
      </c>
      <c r="K296">
        <v>2.2000000000000002</v>
      </c>
      <c r="L296">
        <v>151.9</v>
      </c>
      <c r="M296" s="11">
        <v>24010.707000000002</v>
      </c>
      <c r="O296">
        <v>1.7876226354452698E-2</v>
      </c>
      <c r="P296">
        <v>-15</v>
      </c>
    </row>
    <row r="297" spans="1:16" x14ac:dyDescent="0.4">
      <c r="A297" s="1">
        <v>45505</v>
      </c>
      <c r="B297" s="10" t="e">
        <v>#N/A</v>
      </c>
      <c r="C297" t="e">
        <v>#N/A</v>
      </c>
      <c r="D297" t="e">
        <v>#N/A</v>
      </c>
      <c r="E297" t="e">
        <v>#N/A</v>
      </c>
      <c r="F297">
        <v>94.2</v>
      </c>
      <c r="G297" s="4">
        <v>111.4</v>
      </c>
      <c r="H297">
        <v>98.8</v>
      </c>
      <c r="I297">
        <v>96.2</v>
      </c>
      <c r="J297" t="e">
        <v>#N/A</v>
      </c>
      <c r="K297">
        <v>2.1</v>
      </c>
      <c r="L297">
        <v>150.9</v>
      </c>
      <c r="M297" s="11">
        <v>24065.478000000003</v>
      </c>
      <c r="O297">
        <v>-7.2411189708017102E-3</v>
      </c>
      <c r="P297">
        <v>-16.7</v>
      </c>
    </row>
    <row r="298" spans="1:16" x14ac:dyDescent="0.4">
      <c r="A298" s="1">
        <v>45536</v>
      </c>
      <c r="B298" s="10" t="e">
        <v>#N/A</v>
      </c>
      <c r="C298" t="e">
        <v>#N/A</v>
      </c>
      <c r="D298" t="e">
        <v>#N/A</v>
      </c>
      <c r="E298" t="e">
        <v>#N/A</v>
      </c>
      <c r="F298">
        <v>93</v>
      </c>
      <c r="G298" s="5">
        <v>110</v>
      </c>
      <c r="H298">
        <v>99.9</v>
      </c>
      <c r="I298">
        <v>97.2</v>
      </c>
      <c r="J298" t="e">
        <v>#N/A</v>
      </c>
      <c r="K298">
        <v>1.8</v>
      </c>
      <c r="L298">
        <v>149.30000000000001</v>
      </c>
      <c r="M298" s="11">
        <v>24037.699000000001</v>
      </c>
      <c r="O298">
        <v>4.5610113275618104E-3</v>
      </c>
      <c r="P298">
        <v>-15.6</v>
      </c>
    </row>
    <row r="299" spans="1:16" x14ac:dyDescent="0.4">
      <c r="A299" s="1">
        <v>45566</v>
      </c>
      <c r="B299" s="10">
        <v>324355</v>
      </c>
      <c r="C299">
        <v>245859.6</v>
      </c>
      <c r="D299">
        <v>111.2</v>
      </c>
      <c r="E299">
        <v>108.2</v>
      </c>
      <c r="F299">
        <v>93.5</v>
      </c>
      <c r="G299" s="5">
        <v>111</v>
      </c>
      <c r="H299">
        <v>99.3</v>
      </c>
      <c r="I299">
        <v>96.5</v>
      </c>
      <c r="J299">
        <v>314507.3</v>
      </c>
      <c r="K299">
        <v>2.1</v>
      </c>
      <c r="L299">
        <v>148.80000000000001</v>
      </c>
      <c r="M299" s="11">
        <v>24078.373</v>
      </c>
      <c r="O299">
        <v>-2.5586363869653201E-2</v>
      </c>
      <c r="P299">
        <v>-14.9</v>
      </c>
    </row>
    <row r="300" spans="1:16" x14ac:dyDescent="0.4">
      <c r="A300" s="1">
        <v>45597</v>
      </c>
      <c r="B300" s="10" t="e">
        <v>#N/A</v>
      </c>
      <c r="C300" t="e">
        <v>#N/A</v>
      </c>
      <c r="D300" t="e">
        <v>#N/A</v>
      </c>
      <c r="E300" t="e">
        <v>#N/A</v>
      </c>
      <c r="F300">
        <v>94.2</v>
      </c>
      <c r="G300" s="4">
        <v>112.7</v>
      </c>
      <c r="H300">
        <v>98.9</v>
      </c>
      <c r="I300">
        <v>96</v>
      </c>
      <c r="J300" t="e">
        <v>#N/A</v>
      </c>
      <c r="K300">
        <v>2.1</v>
      </c>
      <c r="L300">
        <v>149.30000000000001</v>
      </c>
      <c r="M300" s="11">
        <v>24065.186000000002</v>
      </c>
      <c r="O300">
        <v>2.2811302571042798E-2</v>
      </c>
      <c r="P300">
        <v>-13.9</v>
      </c>
    </row>
    <row r="301" spans="1:16" x14ac:dyDescent="0.4">
      <c r="A301" s="1">
        <v>45627</v>
      </c>
      <c r="B301" s="10" t="e">
        <v>#N/A</v>
      </c>
      <c r="C301" t="e">
        <v>#N/A</v>
      </c>
      <c r="D301" t="e">
        <v>#N/A</v>
      </c>
      <c r="E301" t="e">
        <v>#N/A</v>
      </c>
      <c r="F301">
        <v>91.7</v>
      </c>
      <c r="G301" s="4">
        <v>109.7</v>
      </c>
      <c r="H301">
        <v>98.1</v>
      </c>
      <c r="I301">
        <v>96.5</v>
      </c>
      <c r="J301" t="e">
        <v>#N/A</v>
      </c>
      <c r="K301">
        <v>1.9</v>
      </c>
      <c r="L301">
        <v>150.1</v>
      </c>
      <c r="M301" s="13">
        <v>24080.027999999998</v>
      </c>
      <c r="O301">
        <v>6.4728639377063898E-2</v>
      </c>
      <c r="P301">
        <v>-15.7</v>
      </c>
    </row>
    <row r="302" spans="1:16" x14ac:dyDescent="0.4">
      <c r="A302" s="1">
        <v>45658</v>
      </c>
      <c r="B302" s="10">
        <v>223303</v>
      </c>
      <c r="C302" t="e">
        <v>#N/A</v>
      </c>
      <c r="D302">
        <v>112.2</v>
      </c>
      <c r="E302">
        <v>108.7</v>
      </c>
      <c r="F302">
        <v>94.1</v>
      </c>
      <c r="G302" s="4">
        <v>113.7</v>
      </c>
      <c r="H302">
        <v>99.9</v>
      </c>
      <c r="I302">
        <v>96</v>
      </c>
      <c r="J302">
        <v>318009.90000000002</v>
      </c>
      <c r="K302">
        <v>1.9</v>
      </c>
      <c r="L302">
        <v>155.19999999999999</v>
      </c>
      <c r="M302" s="13">
        <v>24146.758000000002</v>
      </c>
      <c r="O302">
        <v>5.8131289861298903E-2</v>
      </c>
      <c r="P302">
        <v>-14.9</v>
      </c>
    </row>
    <row r="303" spans="1:16" x14ac:dyDescent="0.4">
      <c r="A303" s="1">
        <v>45689</v>
      </c>
      <c r="B303" s="10" t="e">
        <v>#N/A</v>
      </c>
      <c r="C303" t="e">
        <v>#N/A</v>
      </c>
      <c r="D303" t="e">
        <v>#N/A</v>
      </c>
      <c r="E303" t="e">
        <v>#N/A</v>
      </c>
      <c r="F303">
        <v>93.4</v>
      </c>
      <c r="G303" s="4">
        <v>113.2</v>
      </c>
      <c r="H303">
        <v>99.6</v>
      </c>
      <c r="I303">
        <v>96</v>
      </c>
      <c r="J303" t="e">
        <v>#N/A</v>
      </c>
      <c r="K303">
        <v>1.7</v>
      </c>
      <c r="L303">
        <v>156.4</v>
      </c>
      <c r="M303" s="13">
        <v>24140.491999999998</v>
      </c>
      <c r="O303">
        <v>-1.5722487428227801E-2</v>
      </c>
      <c r="P303">
        <v>-13.7</v>
      </c>
    </row>
    <row r="304" spans="1:16" x14ac:dyDescent="0.4">
      <c r="A304" s="1">
        <v>45717</v>
      </c>
      <c r="B304" s="10" t="e">
        <v>#N/A</v>
      </c>
      <c r="C304" t="e">
        <v>#N/A</v>
      </c>
      <c r="D304" t="e">
        <v>#N/A</v>
      </c>
      <c r="E304" t="e">
        <v>#N/A</v>
      </c>
      <c r="F304">
        <v>93.4</v>
      </c>
      <c r="G304" s="4">
        <v>111.4</v>
      </c>
      <c r="H304">
        <v>97.7</v>
      </c>
      <c r="I304">
        <v>95.7</v>
      </c>
      <c r="J304" t="e">
        <v>#N/A</v>
      </c>
      <c r="K304">
        <v>2</v>
      </c>
      <c r="L304">
        <v>156.9</v>
      </c>
      <c r="M304" s="13">
        <v>24149.684000000001</v>
      </c>
      <c r="O304">
        <v>-1.1816625065843999E-2</v>
      </c>
      <c r="P304">
        <v>-16.600000000000001</v>
      </c>
    </row>
    <row r="305" spans="1:16" x14ac:dyDescent="0.4">
      <c r="A305" s="1">
        <v>45748</v>
      </c>
      <c r="B305" s="10">
        <v>263936</v>
      </c>
      <c r="C305" t="e">
        <v>#N/A</v>
      </c>
      <c r="D305">
        <v>112.3</v>
      </c>
      <c r="E305">
        <v>109.7</v>
      </c>
      <c r="F305">
        <v>94.2</v>
      </c>
      <c r="G305" s="4">
        <v>112.9</v>
      </c>
      <c r="H305">
        <v>95.9</v>
      </c>
      <c r="I305">
        <v>96.1</v>
      </c>
      <c r="J305">
        <v>318495.8</v>
      </c>
      <c r="K305">
        <v>2.4</v>
      </c>
      <c r="L305">
        <v>147.80000000000001</v>
      </c>
      <c r="M305" s="13">
        <v>24109.273000000001</v>
      </c>
      <c r="O305">
        <v>6.3915071947187499E-2</v>
      </c>
      <c r="P305">
        <v>-19.100000000000001</v>
      </c>
    </row>
    <row r="306" spans="1:16" x14ac:dyDescent="0.4">
      <c r="A306" s="1">
        <v>45778</v>
      </c>
      <c r="B306" s="10" t="e">
        <v>#N/A</v>
      </c>
      <c r="C306" t="e">
        <v>#N/A</v>
      </c>
      <c r="D306" t="e">
        <v>#N/A</v>
      </c>
      <c r="E306" t="e">
        <v>#N/A</v>
      </c>
      <c r="F306">
        <v>93.5</v>
      </c>
      <c r="G306" s="4">
        <v>110.6</v>
      </c>
      <c r="H306">
        <v>98.7</v>
      </c>
      <c r="I306">
        <v>95.8</v>
      </c>
      <c r="J306" t="e">
        <v>#N/A</v>
      </c>
      <c r="K306">
        <v>2.2000000000000002</v>
      </c>
      <c r="L306">
        <v>144.80000000000001</v>
      </c>
      <c r="M306" s="13">
        <v>24151.328000000001</v>
      </c>
      <c r="O306">
        <v>-7.38620516450439E-3</v>
      </c>
      <c r="P306">
        <v>-16.2</v>
      </c>
    </row>
    <row r="307" spans="1:16" x14ac:dyDescent="0.4">
      <c r="A307" s="1">
        <v>45809</v>
      </c>
      <c r="B307" s="10" t="e">
        <v>#N/A</v>
      </c>
      <c r="C307" t="e">
        <v>#N/A</v>
      </c>
      <c r="D307" t="e">
        <v>#N/A</v>
      </c>
      <c r="E307" t="e">
        <v>#N/A</v>
      </c>
      <c r="F307">
        <v>93.7</v>
      </c>
      <c r="G307" s="4">
        <v>111.8</v>
      </c>
      <c r="H307">
        <v>99</v>
      </c>
      <c r="I307">
        <v>96.1</v>
      </c>
      <c r="J307" t="e">
        <v>#N/A</v>
      </c>
      <c r="K307">
        <v>2.2999999999999998</v>
      </c>
      <c r="L307">
        <v>143.5</v>
      </c>
      <c r="M307" s="13">
        <v>24162.593000000001</v>
      </c>
      <c r="O307">
        <v>2.9613453876422099E-2</v>
      </c>
      <c r="P307">
        <v>-17.3</v>
      </c>
    </row>
    <row r="308" spans="1:16" x14ac:dyDescent="0.4">
      <c r="A308" s="1">
        <v>45839</v>
      </c>
      <c r="B308" s="10">
        <v>250951</v>
      </c>
      <c r="C308" t="e">
        <v>#N/A</v>
      </c>
      <c r="D308">
        <v>113.1</v>
      </c>
      <c r="E308">
        <v>110.3</v>
      </c>
      <c r="F308">
        <v>94.1</v>
      </c>
      <c r="G308" s="4">
        <v>112.1</v>
      </c>
      <c r="H308">
        <v>99.5</v>
      </c>
      <c r="I308">
        <v>95.8</v>
      </c>
      <c r="J308">
        <v>319566.09999999998</v>
      </c>
      <c r="K308">
        <v>2.4</v>
      </c>
      <c r="L308">
        <v>146.6</v>
      </c>
      <c r="M308" s="13">
        <v>24094.717000000001</v>
      </c>
      <c r="O308">
        <v>2.9046088882090301E-2</v>
      </c>
      <c r="P308">
        <v>-17</v>
      </c>
    </row>
    <row r="309" spans="1:16" x14ac:dyDescent="0.4">
      <c r="A309" s="1">
        <v>45870</v>
      </c>
      <c r="B309" s="10" t="e">
        <v>#N/A</v>
      </c>
      <c r="C309" t="e">
        <v>#N/A</v>
      </c>
      <c r="D309" t="e">
        <v>#N/A</v>
      </c>
      <c r="E309" t="e">
        <v>#N/A</v>
      </c>
      <c r="F309">
        <v>91.6</v>
      </c>
      <c r="G309" s="4">
        <v>111.3</v>
      </c>
      <c r="H309">
        <v>98.5</v>
      </c>
      <c r="I309">
        <v>95.7</v>
      </c>
      <c r="J309" t="e">
        <v>#N/A</v>
      </c>
      <c r="K309">
        <v>2.5</v>
      </c>
      <c r="L309">
        <v>143.69999999999999</v>
      </c>
      <c r="M309" s="13">
        <v>24065.456999999999</v>
      </c>
      <c r="O309">
        <v>1.2458799182091701E-2</v>
      </c>
      <c r="P309">
        <v>-16.8</v>
      </c>
    </row>
    <row r="310" spans="1:16" x14ac:dyDescent="0.4">
      <c r="A310" s="1">
        <v>45901</v>
      </c>
      <c r="B310" s="10" t="e">
        <v>#N/A</v>
      </c>
      <c r="C310" t="e">
        <v>#N/A</v>
      </c>
      <c r="D310" t="e">
        <v>#N/A</v>
      </c>
      <c r="E310" t="e">
        <v>#N/A</v>
      </c>
      <c r="F310">
        <v>94.2</v>
      </c>
      <c r="G310" s="4">
        <v>113.5</v>
      </c>
      <c r="H310">
        <v>99.3</v>
      </c>
      <c r="I310">
        <v>95.2</v>
      </c>
      <c r="J310" t="e">
        <v>#N/A</v>
      </c>
      <c r="K310">
        <v>2.4</v>
      </c>
      <c r="L310">
        <v>143.69999999999999</v>
      </c>
      <c r="M310" s="13">
        <v>24127.151999999998</v>
      </c>
      <c r="O310">
        <v>1.0477395031088599E-2</v>
      </c>
      <c r="P310">
        <v>-15.7</v>
      </c>
    </row>
    <row r="311" spans="1:16" x14ac:dyDescent="0.4">
      <c r="A311" s="1">
        <v>45931</v>
      </c>
      <c r="B311" s="10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s="4">
        <v>112.8</v>
      </c>
      <c r="H311">
        <v>100.6</v>
      </c>
      <c r="I311" t="e">
        <v>#N/A</v>
      </c>
      <c r="J311" t="e">
        <v>#N/A</v>
      </c>
      <c r="K311">
        <v>2.1</v>
      </c>
      <c r="L311">
        <v>142.19999999999999</v>
      </c>
      <c r="M311" s="13">
        <v>24196.920999999998</v>
      </c>
      <c r="O311">
        <v>4.2065425131525601E-3</v>
      </c>
      <c r="P311">
        <v>-15.4</v>
      </c>
    </row>
    <row r="312" spans="1:16" x14ac:dyDescent="0.4">
      <c r="A312" s="1">
        <v>45962</v>
      </c>
      <c r="B312" s="10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s="4">
        <v>112.7</v>
      </c>
      <c r="H312">
        <v>101.7</v>
      </c>
      <c r="I312" t="e">
        <v>#N/A</v>
      </c>
      <c r="J312" t="e">
        <v>#N/A</v>
      </c>
      <c r="K312">
        <v>1.8</v>
      </c>
      <c r="L312">
        <v>143.1</v>
      </c>
      <c r="M312" s="13">
        <v>24162.47</v>
      </c>
      <c r="O312">
        <v>3.59713534794679E-2</v>
      </c>
      <c r="P312">
        <v>-16.399999999999999</v>
      </c>
    </row>
    <row r="313" spans="1:16" x14ac:dyDescent="0.4">
      <c r="A313" s="1">
        <v>45992</v>
      </c>
      <c r="B313" s="10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s="6" t="e">
        <v>#N/A</v>
      </c>
      <c r="H313">
        <v>101.1</v>
      </c>
      <c r="I313" t="e">
        <v>#N/A</v>
      </c>
      <c r="J313" t="e">
        <v>#N/A</v>
      </c>
      <c r="K313">
        <v>1.9</v>
      </c>
      <c r="L313">
        <v>143.30000000000001</v>
      </c>
      <c r="M313" s="13">
        <v>24142.424999999999</v>
      </c>
      <c r="O313">
        <v>1.6045898636594599E-2</v>
      </c>
      <c r="P313">
        <v>-16.399999999999999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CBF4-C24E-7A46-9307-775A3EB581BF}">
  <dimension ref="A1:S314"/>
  <sheetViews>
    <sheetView tabSelected="1" topLeftCell="B1" workbookViewId="0">
      <selection activeCell="B2" sqref="B2"/>
    </sheetView>
  </sheetViews>
  <sheetFormatPr baseColWidth="10" defaultRowHeight="16" x14ac:dyDescent="0.4"/>
  <cols>
    <col min="1" max="1" width="10.5" bestFit="1" customWidth="1"/>
    <col min="2" max="2" width="15.1640625" bestFit="1" customWidth="1"/>
    <col min="3" max="3" width="8.1640625" bestFit="1" customWidth="1"/>
    <col min="5" max="5" width="16" bestFit="1" customWidth="1"/>
    <col min="6" max="6" width="17.1640625" bestFit="1" customWidth="1"/>
    <col min="7" max="7" width="19.5" bestFit="1" customWidth="1"/>
    <col min="8" max="8" width="15.5" bestFit="1" customWidth="1"/>
    <col min="9" max="9" width="19.1640625" bestFit="1" customWidth="1"/>
    <col min="10" max="10" width="14" bestFit="1" customWidth="1"/>
    <col min="11" max="11" width="25.83203125" bestFit="1" customWidth="1"/>
    <col min="13" max="13" width="10.5" bestFit="1" customWidth="1"/>
    <col min="14" max="14" width="12.1640625" bestFit="1" customWidth="1"/>
    <col min="15" max="15" width="11.1640625" bestFit="1" customWidth="1"/>
    <col min="16" max="16" width="11.83203125" bestFit="1" customWidth="1"/>
    <col min="17" max="17" width="27.1640625" bestFit="1" customWidth="1"/>
  </cols>
  <sheetData>
    <row r="1" spans="1:19" ht="16.5" thickBot="1" x14ac:dyDescent="0.45">
      <c r="A1" s="7" t="s">
        <v>0</v>
      </c>
      <c r="B1" s="8" t="s">
        <v>53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/>
    </row>
    <row r="2" spans="1:19" x14ac:dyDescent="0.4">
      <c r="A2" s="1">
        <v>36526</v>
      </c>
      <c r="B2" s="10">
        <v>131718</v>
      </c>
      <c r="C2" s="2">
        <v>5.7480000000000002</v>
      </c>
      <c r="E2">
        <v>110</v>
      </c>
      <c r="F2">
        <v>10.6</v>
      </c>
      <c r="G2" s="6">
        <v>1738</v>
      </c>
      <c r="H2" t="e">
        <v>#N/A</v>
      </c>
      <c r="I2" s="3">
        <v>5.3953599184751511E-2</v>
      </c>
      <c r="L2">
        <v>118.7</v>
      </c>
      <c r="M2">
        <v>107.8</v>
      </c>
      <c r="N2">
        <v>101.7</v>
      </c>
      <c r="O2">
        <v>102740.4</v>
      </c>
      <c r="P2">
        <v>63.2</v>
      </c>
      <c r="Q2" s="1" t="e">
        <v>#N/A</v>
      </c>
      <c r="S2" t="str">
        <f>IF(MONTH($A2) = 1, YEAR($A2)&amp;"-Q"&amp;MONTH($A2), IF(MONTH($A2) = 4, YEAR($A2)&amp;"-Q2", IF(MONTH($A2) = 7, YEAR($A2)&amp;"-Q3", IF(MONTH($A2) = 10, YEAR($A2)&amp;"-Q4",""))))</f>
        <v>2000-Q1</v>
      </c>
    </row>
    <row r="3" spans="1:19" x14ac:dyDescent="0.4">
      <c r="A3" s="1">
        <v>36557</v>
      </c>
      <c r="B3" s="10" t="e">
        <v>#N/A</v>
      </c>
      <c r="C3" s="2">
        <v>5.726</v>
      </c>
      <c r="E3" t="e">
        <v>#N/A</v>
      </c>
      <c r="F3">
        <v>10.6</v>
      </c>
      <c r="G3" s="6">
        <v>1738</v>
      </c>
      <c r="H3" t="e">
        <v>#N/A</v>
      </c>
      <c r="I3" s="3">
        <v>8.8009469211101532E-2</v>
      </c>
      <c r="L3">
        <v>119.4</v>
      </c>
      <c r="M3">
        <v>106.8</v>
      </c>
      <c r="N3" t="e">
        <v>#N/A</v>
      </c>
      <c r="O3" t="e">
        <v>#N/A</v>
      </c>
      <c r="P3">
        <v>63.8</v>
      </c>
      <c r="Q3" s="1" t="e">
        <v>#N/A</v>
      </c>
      <c r="S3" t="str">
        <f t="shared" ref="S3:S66" si="0">IF(MONTH($A3) = 1, YEAR($A3)&amp;"-Q"&amp;MONTH($A3), IF(MONTH($A3) = 4, YEAR($A3)&amp;"-Q2", IF(MONTH($A3) = 7, YEAR($A3)&amp;"-Q3", IF(MONTH($A3) = 10, YEAR($A3)&amp;"-Q4",""))))</f>
        <v/>
      </c>
    </row>
    <row r="4" spans="1:19" x14ac:dyDescent="0.4">
      <c r="A4" s="1">
        <v>36586</v>
      </c>
      <c r="B4" s="10" t="e">
        <v>#N/A</v>
      </c>
      <c r="C4" s="2">
        <v>5.577</v>
      </c>
      <c r="E4" t="e">
        <v>#N/A</v>
      </c>
      <c r="F4">
        <v>10.5</v>
      </c>
      <c r="G4" s="6">
        <v>1738</v>
      </c>
      <c r="H4" t="e">
        <v>#N/A</v>
      </c>
      <c r="I4" s="3">
        <v>5.4745025932788849E-2</v>
      </c>
      <c r="L4">
        <v>120.4</v>
      </c>
      <c r="M4">
        <v>107.6</v>
      </c>
      <c r="N4" t="e">
        <v>#N/A</v>
      </c>
      <c r="O4" t="e">
        <v>#N/A</v>
      </c>
      <c r="P4">
        <v>65.5</v>
      </c>
      <c r="Q4" s="1" t="e">
        <v>#N/A</v>
      </c>
      <c r="S4" t="str">
        <f t="shared" si="0"/>
        <v/>
      </c>
    </row>
    <row r="5" spans="1:19" x14ac:dyDescent="0.4">
      <c r="A5" s="1">
        <v>36617</v>
      </c>
      <c r="B5" s="10">
        <v>137322</v>
      </c>
      <c r="C5" s="2">
        <v>5.4660000000000002</v>
      </c>
      <c r="E5">
        <v>109.8</v>
      </c>
      <c r="F5">
        <v>10.3</v>
      </c>
      <c r="G5" s="6">
        <v>1670</v>
      </c>
      <c r="H5" t="e">
        <v>#N/A</v>
      </c>
      <c r="I5" s="3">
        <v>5.0971455872058868E-2</v>
      </c>
      <c r="L5">
        <v>121.3</v>
      </c>
      <c r="M5">
        <v>108</v>
      </c>
      <c r="N5">
        <v>101.9</v>
      </c>
      <c r="O5">
        <v>113445.2</v>
      </c>
      <c r="P5">
        <v>64.8</v>
      </c>
      <c r="Q5" s="1" t="e">
        <v>#N/A</v>
      </c>
      <c r="S5" t="str">
        <f t="shared" si="0"/>
        <v>2000-Q2</v>
      </c>
    </row>
    <row r="6" spans="1:19" x14ac:dyDescent="0.4">
      <c r="A6" s="1">
        <v>36647</v>
      </c>
      <c r="B6" s="10" t="e">
        <v>#N/A</v>
      </c>
      <c r="C6" s="2">
        <v>5.665</v>
      </c>
      <c r="E6" t="e">
        <v>#N/A</v>
      </c>
      <c r="F6">
        <v>10.3</v>
      </c>
      <c r="G6" s="6">
        <v>1670</v>
      </c>
      <c r="H6" t="e">
        <v>#N/A</v>
      </c>
      <c r="I6" s="3">
        <v>8.5244223475456238E-2</v>
      </c>
      <c r="L6">
        <v>122</v>
      </c>
      <c r="M6">
        <v>108.5</v>
      </c>
      <c r="N6" t="e">
        <v>#N/A</v>
      </c>
      <c r="O6" t="e">
        <v>#N/A</v>
      </c>
      <c r="P6">
        <v>66</v>
      </c>
      <c r="Q6" s="1" t="e">
        <v>#N/A</v>
      </c>
      <c r="S6" t="str">
        <f t="shared" si="0"/>
        <v/>
      </c>
    </row>
    <row r="7" spans="1:19" x14ac:dyDescent="0.4">
      <c r="A7" s="1">
        <v>36678</v>
      </c>
      <c r="B7" s="10" t="e">
        <v>#N/A</v>
      </c>
      <c r="C7" s="2">
        <v>5.51</v>
      </c>
      <c r="E7" t="e">
        <v>#N/A</v>
      </c>
      <c r="F7">
        <v>10.199999999999999</v>
      </c>
      <c r="G7" s="6">
        <v>1670</v>
      </c>
      <c r="H7" t="e">
        <v>#N/A</v>
      </c>
      <c r="I7" s="3">
        <v>8.0164909362792969E-2</v>
      </c>
      <c r="L7">
        <v>121.8</v>
      </c>
      <c r="M7">
        <v>108.3</v>
      </c>
      <c r="N7" t="e">
        <v>#N/A</v>
      </c>
      <c r="O7" t="e">
        <v>#N/A</v>
      </c>
      <c r="P7">
        <v>67.099999999999994</v>
      </c>
      <c r="Q7" s="1" t="e">
        <v>#N/A</v>
      </c>
      <c r="S7" t="str">
        <f t="shared" si="0"/>
        <v/>
      </c>
    </row>
    <row r="8" spans="1:19" x14ac:dyDescent="0.4">
      <c r="A8" s="1">
        <v>36708</v>
      </c>
      <c r="B8" s="10">
        <v>134168</v>
      </c>
      <c r="C8" s="2">
        <v>5.5910000000000002</v>
      </c>
      <c r="E8">
        <v>108.5</v>
      </c>
      <c r="F8">
        <v>10</v>
      </c>
      <c r="G8" s="6">
        <v>1639</v>
      </c>
      <c r="H8" t="e">
        <v>#N/A</v>
      </c>
      <c r="I8" s="3">
        <v>5.6341368705034256E-2</v>
      </c>
      <c r="L8">
        <v>121</v>
      </c>
      <c r="M8">
        <v>108.6</v>
      </c>
      <c r="N8">
        <v>102.5</v>
      </c>
      <c r="O8">
        <v>106716.3</v>
      </c>
      <c r="P8">
        <v>68</v>
      </c>
      <c r="Q8" s="1" t="e">
        <v>#N/A</v>
      </c>
      <c r="S8" t="str">
        <f t="shared" si="0"/>
        <v>2000-Q3</v>
      </c>
    </row>
    <row r="9" spans="1:19" x14ac:dyDescent="0.4">
      <c r="A9" s="1">
        <v>36739</v>
      </c>
      <c r="B9" s="10" t="e">
        <v>#N/A</v>
      </c>
      <c r="C9" s="2">
        <v>5.5629999999999997</v>
      </c>
      <c r="E9" t="e">
        <v>#N/A</v>
      </c>
      <c r="F9">
        <v>10</v>
      </c>
      <c r="G9" s="6">
        <v>1639</v>
      </c>
      <c r="H9" t="e">
        <v>#N/A</v>
      </c>
      <c r="I9" s="3">
        <v>4.4410232454538345E-2</v>
      </c>
      <c r="L9">
        <v>122</v>
      </c>
      <c r="M9">
        <v>108.3</v>
      </c>
      <c r="N9" t="e">
        <v>#N/A</v>
      </c>
      <c r="O9" t="e">
        <v>#N/A</v>
      </c>
      <c r="P9">
        <v>67.8</v>
      </c>
      <c r="Q9" s="1" t="e">
        <v>#N/A</v>
      </c>
      <c r="S9" t="str">
        <f t="shared" si="0"/>
        <v/>
      </c>
    </row>
    <row r="10" spans="1:19" x14ac:dyDescent="0.4">
      <c r="A10" s="1">
        <v>36770</v>
      </c>
      <c r="B10" s="10" t="e">
        <v>#N/A</v>
      </c>
      <c r="C10" s="2">
        <v>5.6319999999999997</v>
      </c>
      <c r="E10" t="e">
        <v>#N/A</v>
      </c>
      <c r="F10">
        <v>9.9</v>
      </c>
      <c r="G10" s="6">
        <v>1639</v>
      </c>
      <c r="H10" t="e">
        <v>#N/A</v>
      </c>
      <c r="I10" s="3">
        <v>4.4753991067409515E-2</v>
      </c>
      <c r="L10">
        <v>121.9</v>
      </c>
      <c r="M10">
        <v>109.1</v>
      </c>
      <c r="N10" t="e">
        <v>#N/A</v>
      </c>
      <c r="O10" t="e">
        <v>#N/A</v>
      </c>
      <c r="P10">
        <v>69.599999999999994</v>
      </c>
      <c r="Q10" s="1" t="s">
        <v>26</v>
      </c>
      <c r="S10" t="str">
        <f t="shared" si="0"/>
        <v/>
      </c>
    </row>
    <row r="11" spans="1:19" x14ac:dyDescent="0.4">
      <c r="A11" s="1">
        <v>36800</v>
      </c>
      <c r="B11" s="10">
        <v>173962</v>
      </c>
      <c r="C11" s="2">
        <v>5.5780000000000003</v>
      </c>
      <c r="E11">
        <v>105.7</v>
      </c>
      <c r="F11">
        <v>9.6</v>
      </c>
      <c r="G11" s="6">
        <v>1605</v>
      </c>
      <c r="H11" t="e">
        <v>#N/A</v>
      </c>
      <c r="I11" s="3">
        <v>6.8741753697395325E-2</v>
      </c>
      <c r="L11">
        <v>122.4</v>
      </c>
      <c r="M11">
        <v>108.5</v>
      </c>
      <c r="N11">
        <v>102.5</v>
      </c>
      <c r="O11">
        <v>133793.60000000001</v>
      </c>
      <c r="P11">
        <v>69.400000000000006</v>
      </c>
      <c r="Q11" s="1" t="e">
        <v>#N/A</v>
      </c>
      <c r="S11" t="str">
        <f t="shared" si="0"/>
        <v>2000-Q4</v>
      </c>
    </row>
    <row r="12" spans="1:19" x14ac:dyDescent="0.4">
      <c r="A12" s="1">
        <v>36831</v>
      </c>
      <c r="B12" s="10" t="e">
        <v>#N/A</v>
      </c>
      <c r="C12" s="2">
        <v>5.548</v>
      </c>
      <c r="E12" t="e">
        <v>#N/A</v>
      </c>
      <c r="F12">
        <v>9.6</v>
      </c>
      <c r="G12" s="6">
        <v>1605</v>
      </c>
      <c r="H12" t="e">
        <v>#N/A</v>
      </c>
      <c r="I12" s="3">
        <v>5.2837952971458435E-2</v>
      </c>
      <c r="L12">
        <v>124</v>
      </c>
      <c r="M12">
        <v>109.2</v>
      </c>
      <c r="N12" t="e">
        <v>#N/A</v>
      </c>
      <c r="O12" t="e">
        <v>#N/A</v>
      </c>
      <c r="P12">
        <v>70.3</v>
      </c>
      <c r="Q12" s="1" t="e">
        <v>#N/A</v>
      </c>
      <c r="S12" t="str">
        <f t="shared" si="0"/>
        <v/>
      </c>
    </row>
    <row r="13" spans="1:19" x14ac:dyDescent="0.4">
      <c r="A13" s="1">
        <v>36861</v>
      </c>
      <c r="B13" s="10" t="e">
        <v>#N/A</v>
      </c>
      <c r="C13" s="2">
        <v>5.298</v>
      </c>
      <c r="D13">
        <v>2.2999999999999998</v>
      </c>
      <c r="E13" t="e">
        <v>#N/A</v>
      </c>
      <c r="F13">
        <v>9.6</v>
      </c>
      <c r="G13" s="6">
        <v>1605</v>
      </c>
      <c r="H13" t="e">
        <v>#N/A</v>
      </c>
      <c r="I13" s="3">
        <v>6.1749357730150223E-2</v>
      </c>
      <c r="L13">
        <v>125.5</v>
      </c>
      <c r="M13">
        <v>108.4</v>
      </c>
      <c r="N13" t="e">
        <v>#N/A</v>
      </c>
      <c r="O13" t="e">
        <v>#N/A</v>
      </c>
      <c r="P13">
        <v>69.8</v>
      </c>
      <c r="Q13" s="1" t="e">
        <v>#N/A</v>
      </c>
      <c r="S13" t="str">
        <f t="shared" si="0"/>
        <v/>
      </c>
    </row>
    <row r="14" spans="1:19" x14ac:dyDescent="0.4">
      <c r="A14" s="1">
        <v>36892</v>
      </c>
      <c r="B14" s="10">
        <v>141528</v>
      </c>
      <c r="C14" s="2">
        <v>5.1829999999999998</v>
      </c>
      <c r="D14">
        <v>1.9</v>
      </c>
      <c r="E14">
        <v>107</v>
      </c>
      <c r="F14">
        <v>9.4</v>
      </c>
      <c r="G14" s="6">
        <v>1599</v>
      </c>
      <c r="H14" t="e">
        <v>#N/A</v>
      </c>
      <c r="I14" s="3">
        <v>5.4994355887174606E-2</v>
      </c>
      <c r="L14">
        <v>122.2</v>
      </c>
      <c r="M14">
        <v>108.9</v>
      </c>
      <c r="N14">
        <v>103.8</v>
      </c>
      <c r="O14">
        <v>108355.2</v>
      </c>
      <c r="P14">
        <v>69</v>
      </c>
      <c r="Q14" s="1" t="e">
        <v>#N/A</v>
      </c>
      <c r="S14" t="str">
        <f t="shared" si="0"/>
        <v>2001-Q1</v>
      </c>
    </row>
    <row r="15" spans="1:19" x14ac:dyDescent="0.4">
      <c r="A15" s="1">
        <v>36923</v>
      </c>
      <c r="B15" s="10" t="e">
        <v>#N/A</v>
      </c>
      <c r="C15" s="2">
        <v>5.1840000000000002</v>
      </c>
      <c r="D15">
        <v>1.1000000000000001</v>
      </c>
      <c r="E15" t="e">
        <v>#N/A</v>
      </c>
      <c r="F15">
        <v>9.4</v>
      </c>
      <c r="G15" s="6">
        <v>1599</v>
      </c>
      <c r="H15" t="e">
        <v>#N/A</v>
      </c>
      <c r="I15" s="3">
        <v>4.4229615479707718E-2</v>
      </c>
      <c r="L15">
        <v>121.5</v>
      </c>
      <c r="M15">
        <v>109.7</v>
      </c>
      <c r="N15" t="e">
        <v>#N/A</v>
      </c>
      <c r="O15" t="e">
        <v>#N/A</v>
      </c>
      <c r="P15">
        <v>68.900000000000006</v>
      </c>
      <c r="Q15" s="1" t="e">
        <v>#N/A</v>
      </c>
      <c r="S15" t="str">
        <f t="shared" si="0"/>
        <v/>
      </c>
    </row>
    <row r="16" spans="1:19" x14ac:dyDescent="0.4">
      <c r="A16" s="1">
        <v>36951</v>
      </c>
      <c r="B16" s="10" t="e">
        <v>#N/A</v>
      </c>
      <c r="C16" s="2">
        <v>5.13</v>
      </c>
      <c r="D16">
        <v>2</v>
      </c>
      <c r="E16" t="e">
        <v>#N/A</v>
      </c>
      <c r="F16">
        <v>9.3000000000000007</v>
      </c>
      <c r="G16" s="6">
        <v>1599</v>
      </c>
      <c r="H16" t="e">
        <v>#N/A</v>
      </c>
      <c r="I16" s="3">
        <v>5.4760012775659561E-2</v>
      </c>
      <c r="L16">
        <v>121.6</v>
      </c>
      <c r="M16">
        <v>108.9</v>
      </c>
      <c r="N16" t="e">
        <v>#N/A</v>
      </c>
      <c r="O16" t="e">
        <v>#N/A</v>
      </c>
      <c r="P16">
        <v>69</v>
      </c>
      <c r="Q16" s="1" t="e">
        <v>#N/A</v>
      </c>
      <c r="S16" t="str">
        <f t="shared" si="0"/>
        <v/>
      </c>
    </row>
    <row r="17" spans="1:19" x14ac:dyDescent="0.4">
      <c r="A17" s="1">
        <v>36982</v>
      </c>
      <c r="B17" s="10">
        <v>148267</v>
      </c>
      <c r="C17" s="2">
        <v>5.282</v>
      </c>
      <c r="D17">
        <v>2.7</v>
      </c>
      <c r="E17">
        <v>107.1</v>
      </c>
      <c r="F17">
        <v>9.1999999999999993</v>
      </c>
      <c r="G17" s="6">
        <v>1563</v>
      </c>
      <c r="H17" t="e">
        <v>#N/A</v>
      </c>
      <c r="I17" s="3">
        <v>4.2215723544359207E-2</v>
      </c>
      <c r="L17">
        <v>120.1</v>
      </c>
      <c r="M17">
        <v>108.6</v>
      </c>
      <c r="N17">
        <v>102.7</v>
      </c>
      <c r="O17">
        <v>118938.4</v>
      </c>
      <c r="P17">
        <v>69.099999999999994</v>
      </c>
      <c r="Q17" s="1" t="e">
        <v>#N/A</v>
      </c>
      <c r="S17" t="str">
        <f t="shared" si="0"/>
        <v>2001-Q2</v>
      </c>
    </row>
    <row r="18" spans="1:19" x14ac:dyDescent="0.4">
      <c r="A18" s="1">
        <v>37012</v>
      </c>
      <c r="B18" s="10" t="e">
        <v>#N/A</v>
      </c>
      <c r="C18" s="2">
        <v>5.4489999999999998</v>
      </c>
      <c r="D18">
        <v>2.8</v>
      </c>
      <c r="E18" t="e">
        <v>#N/A</v>
      </c>
      <c r="F18">
        <v>9.1</v>
      </c>
      <c r="G18" s="6">
        <v>1563</v>
      </c>
      <c r="H18" t="e">
        <v>#N/A</v>
      </c>
      <c r="I18" s="3">
        <v>6.2642365694046021E-2</v>
      </c>
      <c r="L18">
        <v>120.2</v>
      </c>
      <c r="M18">
        <v>109</v>
      </c>
      <c r="N18" t="e">
        <v>#N/A</v>
      </c>
      <c r="O18" t="e">
        <v>#N/A</v>
      </c>
      <c r="P18">
        <v>69.2</v>
      </c>
      <c r="Q18" s="1" t="e">
        <v>#N/A</v>
      </c>
      <c r="S18" t="str">
        <f t="shared" si="0"/>
        <v/>
      </c>
    </row>
    <row r="19" spans="1:19" x14ac:dyDescent="0.4">
      <c r="A19" s="1">
        <v>37043</v>
      </c>
      <c r="B19" s="10" t="e">
        <v>#N/A</v>
      </c>
      <c r="C19" s="2">
        <v>5.399</v>
      </c>
      <c r="D19">
        <v>2.7</v>
      </c>
      <c r="E19" t="e">
        <v>#N/A</v>
      </c>
      <c r="F19">
        <v>9.1</v>
      </c>
      <c r="G19" s="6">
        <v>1563</v>
      </c>
      <c r="H19" t="e">
        <v>#N/A</v>
      </c>
      <c r="I19" s="3">
        <v>8.6340360343456268E-2</v>
      </c>
      <c r="L19">
        <v>120.5</v>
      </c>
      <c r="M19">
        <v>108.9</v>
      </c>
      <c r="N19" t="e">
        <v>#N/A</v>
      </c>
      <c r="O19" t="e">
        <v>#N/A</v>
      </c>
      <c r="P19">
        <v>69.599999999999994</v>
      </c>
      <c r="Q19" s="1" t="e">
        <v>#N/A</v>
      </c>
      <c r="S19" t="str">
        <f t="shared" si="0"/>
        <v/>
      </c>
    </row>
    <row r="20" spans="1:19" x14ac:dyDescent="0.4">
      <c r="A20" s="1">
        <v>37073</v>
      </c>
      <c r="B20" s="10">
        <v>141724</v>
      </c>
      <c r="C20" s="2">
        <v>5.4160000000000004</v>
      </c>
      <c r="D20">
        <v>2.7</v>
      </c>
      <c r="E20">
        <v>105.3</v>
      </c>
      <c r="F20">
        <v>9.1</v>
      </c>
      <c r="G20" s="6">
        <v>1554</v>
      </c>
      <c r="H20" t="e">
        <v>#N/A</v>
      </c>
      <c r="I20" s="3">
        <v>0.23838649690151215</v>
      </c>
      <c r="L20">
        <v>118.1</v>
      </c>
      <c r="M20">
        <v>108.7</v>
      </c>
      <c r="N20">
        <v>102.7</v>
      </c>
      <c r="O20">
        <v>112693.3</v>
      </c>
      <c r="P20">
        <v>68.400000000000006</v>
      </c>
      <c r="Q20" s="1" t="e">
        <v>#N/A</v>
      </c>
      <c r="S20" t="str">
        <f t="shared" si="0"/>
        <v>2001-Q3</v>
      </c>
    </row>
    <row r="21" spans="1:19" x14ac:dyDescent="0.4">
      <c r="A21" s="1">
        <v>37104</v>
      </c>
      <c r="B21" s="10" t="e">
        <v>#N/A</v>
      </c>
      <c r="C21" s="2">
        <v>5.2149999999999999</v>
      </c>
      <c r="D21">
        <v>2.1</v>
      </c>
      <c r="E21" t="e">
        <v>#N/A</v>
      </c>
      <c r="F21">
        <v>9</v>
      </c>
      <c r="G21" s="6">
        <v>1554</v>
      </c>
      <c r="H21" t="e">
        <v>#N/A</v>
      </c>
      <c r="I21" s="3">
        <v>0.11842433363199234</v>
      </c>
      <c r="L21">
        <v>120.1</v>
      </c>
      <c r="M21">
        <v>109.6</v>
      </c>
      <c r="N21" t="e">
        <v>#N/A</v>
      </c>
      <c r="O21" t="e">
        <v>#N/A</v>
      </c>
      <c r="P21">
        <v>67.5</v>
      </c>
      <c r="Q21" s="1" t="e">
        <v>#N/A</v>
      </c>
      <c r="S21" t="str">
        <f t="shared" si="0"/>
        <v/>
      </c>
    </row>
    <row r="22" spans="1:19" x14ac:dyDescent="0.4">
      <c r="A22" s="1">
        <v>37135</v>
      </c>
      <c r="B22" s="10" t="e">
        <v>#N/A</v>
      </c>
      <c r="C22" s="2">
        <v>5.1959999999999997</v>
      </c>
      <c r="D22">
        <v>2.5</v>
      </c>
      <c r="E22" t="e">
        <v>#N/A</v>
      </c>
      <c r="F22">
        <v>9</v>
      </c>
      <c r="G22" s="6">
        <v>1554</v>
      </c>
      <c r="H22" t="e">
        <v>#N/A</v>
      </c>
      <c r="I22" s="3">
        <v>0.5206139087677002</v>
      </c>
      <c r="L22">
        <v>118.5</v>
      </c>
      <c r="M22">
        <v>109.2</v>
      </c>
      <c r="N22" t="e">
        <v>#N/A</v>
      </c>
      <c r="O22" t="e">
        <v>#N/A</v>
      </c>
      <c r="P22">
        <v>67.5</v>
      </c>
      <c r="Q22" s="1" t="e">
        <v>#N/A</v>
      </c>
      <c r="S22" t="str">
        <f t="shared" si="0"/>
        <v/>
      </c>
    </row>
    <row r="23" spans="1:19" x14ac:dyDescent="0.4">
      <c r="A23" s="1">
        <v>37165</v>
      </c>
      <c r="B23" s="10">
        <v>185259</v>
      </c>
      <c r="C23" s="2">
        <v>4.9640000000000004</v>
      </c>
      <c r="D23">
        <v>2.9</v>
      </c>
      <c r="E23">
        <v>105.2</v>
      </c>
      <c r="F23">
        <v>8.9</v>
      </c>
      <c r="G23" s="6">
        <v>1542</v>
      </c>
      <c r="H23" t="e">
        <v>#N/A</v>
      </c>
      <c r="I23" s="3">
        <v>0.62053561210632324</v>
      </c>
      <c r="L23">
        <v>117.6</v>
      </c>
      <c r="M23">
        <v>108.8</v>
      </c>
      <c r="N23">
        <v>103.5</v>
      </c>
      <c r="O23">
        <v>141287.20000000001</v>
      </c>
      <c r="P23">
        <v>66.900000000000006</v>
      </c>
      <c r="Q23" s="1" t="e">
        <v>#N/A</v>
      </c>
      <c r="S23" t="str">
        <f t="shared" si="0"/>
        <v>2001-Q4</v>
      </c>
    </row>
    <row r="24" spans="1:19" x14ac:dyDescent="0.4">
      <c r="A24" s="1">
        <v>37196</v>
      </c>
      <c r="B24" s="10" t="e">
        <v>#N/A</v>
      </c>
      <c r="C24" s="2">
        <v>4.8</v>
      </c>
      <c r="D24">
        <v>2.9</v>
      </c>
      <c r="E24" t="e">
        <v>#N/A</v>
      </c>
      <c r="F24">
        <v>8.9</v>
      </c>
      <c r="G24" s="6">
        <v>1542</v>
      </c>
      <c r="H24" t="e">
        <v>#N/A</v>
      </c>
      <c r="I24" s="3">
        <v>0.3228151798248291</v>
      </c>
      <c r="L24">
        <v>115.9</v>
      </c>
      <c r="M24">
        <v>108.9</v>
      </c>
      <c r="N24" t="e">
        <v>#N/A</v>
      </c>
      <c r="O24" t="e">
        <v>#N/A</v>
      </c>
      <c r="P24">
        <v>66.7</v>
      </c>
      <c r="Q24" s="1" t="e">
        <v>#N/A</v>
      </c>
      <c r="S24" t="str">
        <f t="shared" si="0"/>
        <v/>
      </c>
    </row>
    <row r="25" spans="1:19" x14ac:dyDescent="0.4">
      <c r="A25" s="1">
        <v>37226</v>
      </c>
      <c r="B25" s="10" t="e">
        <v>#N/A</v>
      </c>
      <c r="C25" s="2">
        <v>5.0469999999999997</v>
      </c>
      <c r="D25">
        <v>2.8</v>
      </c>
      <c r="E25" t="e">
        <v>#N/A</v>
      </c>
      <c r="F25">
        <v>8.8000000000000007</v>
      </c>
      <c r="G25" s="6">
        <v>1542</v>
      </c>
      <c r="H25" t="e">
        <v>#N/A</v>
      </c>
      <c r="I25" s="3">
        <v>0.25211423635482788</v>
      </c>
      <c r="L25">
        <v>117.6</v>
      </c>
      <c r="M25">
        <v>109.1</v>
      </c>
      <c r="N25" t="e">
        <v>#N/A</v>
      </c>
      <c r="O25" t="e">
        <v>#N/A</v>
      </c>
      <c r="P25">
        <v>66.3</v>
      </c>
      <c r="Q25" s="1" t="e">
        <v>#N/A</v>
      </c>
      <c r="S25" t="str">
        <f t="shared" si="0"/>
        <v/>
      </c>
    </row>
    <row r="26" spans="1:19" x14ac:dyDescent="0.4">
      <c r="A26" s="1">
        <v>37257</v>
      </c>
      <c r="B26" s="10">
        <v>145592</v>
      </c>
      <c r="C26" s="2">
        <v>5.1420000000000003</v>
      </c>
      <c r="D26">
        <v>2.9</v>
      </c>
      <c r="E26">
        <v>107.6</v>
      </c>
      <c r="F26">
        <v>8.6</v>
      </c>
      <c r="G26" s="6">
        <v>1484</v>
      </c>
      <c r="H26" t="e">
        <v>#N/A</v>
      </c>
      <c r="I26" s="3">
        <v>0.15224407613277435</v>
      </c>
      <c r="L26">
        <v>116.7</v>
      </c>
      <c r="M26">
        <v>108.8</v>
      </c>
      <c r="N26">
        <v>103.7</v>
      </c>
      <c r="O26">
        <v>113957.7</v>
      </c>
      <c r="P26">
        <v>65.400000000000006</v>
      </c>
      <c r="Q26" s="1" t="e">
        <v>#N/A</v>
      </c>
      <c r="S26" t="str">
        <f t="shared" si="0"/>
        <v>2002-Q1</v>
      </c>
    </row>
    <row r="27" spans="1:19" x14ac:dyDescent="0.4">
      <c r="A27" s="1">
        <v>37288</v>
      </c>
      <c r="B27" s="10" t="e">
        <v>#N/A</v>
      </c>
      <c r="C27" s="2">
        <v>5.1989999999999998</v>
      </c>
      <c r="D27">
        <v>3.2</v>
      </c>
      <c r="E27" t="e">
        <v>#N/A</v>
      </c>
      <c r="F27">
        <v>8.5</v>
      </c>
      <c r="G27" s="6">
        <v>1484</v>
      </c>
      <c r="H27" t="e">
        <v>#N/A</v>
      </c>
      <c r="I27" s="3">
        <v>0.13182260096073151</v>
      </c>
      <c r="L27">
        <v>118</v>
      </c>
      <c r="M27">
        <v>108.7</v>
      </c>
      <c r="N27" t="e">
        <v>#N/A</v>
      </c>
      <c r="O27" t="e">
        <v>#N/A</v>
      </c>
      <c r="P27">
        <v>65.599999999999994</v>
      </c>
      <c r="Q27" s="1" t="e">
        <v>#N/A</v>
      </c>
      <c r="S27" t="str">
        <f t="shared" si="0"/>
        <v/>
      </c>
    </row>
    <row r="28" spans="1:19" x14ac:dyDescent="0.4">
      <c r="A28" s="1">
        <v>37316</v>
      </c>
      <c r="B28" s="10" t="e">
        <v>#N/A</v>
      </c>
      <c r="C28" s="2">
        <v>5.4109999999999996</v>
      </c>
      <c r="D28">
        <v>3</v>
      </c>
      <c r="E28" t="e">
        <v>#N/A</v>
      </c>
      <c r="F28">
        <v>8.5</v>
      </c>
      <c r="G28" s="6">
        <v>1484</v>
      </c>
      <c r="H28" t="e">
        <v>#N/A</v>
      </c>
      <c r="I28" s="3">
        <v>0.1853460818529129</v>
      </c>
      <c r="L28">
        <v>118.8</v>
      </c>
      <c r="M28">
        <v>108.4</v>
      </c>
      <c r="N28" t="e">
        <v>#N/A</v>
      </c>
      <c r="O28" t="e">
        <v>#N/A</v>
      </c>
      <c r="P28">
        <v>65.599999999999994</v>
      </c>
      <c r="Q28" s="1" t="e">
        <v>#N/A</v>
      </c>
      <c r="S28" t="str">
        <f t="shared" si="0"/>
        <v/>
      </c>
    </row>
    <row r="29" spans="1:19" x14ac:dyDescent="0.4">
      <c r="A29" s="1">
        <v>37347</v>
      </c>
      <c r="B29" s="10">
        <v>152639</v>
      </c>
      <c r="C29" s="2">
        <v>5.4039999999999999</v>
      </c>
      <c r="D29">
        <v>3</v>
      </c>
      <c r="E29">
        <v>107.2</v>
      </c>
      <c r="F29">
        <v>8.9</v>
      </c>
      <c r="G29" s="6">
        <v>1561</v>
      </c>
      <c r="H29" t="e">
        <v>#N/A</v>
      </c>
      <c r="I29" s="3">
        <v>0.2269938588142395</v>
      </c>
      <c r="L29">
        <v>115.2</v>
      </c>
      <c r="M29">
        <v>108.8</v>
      </c>
      <c r="N29">
        <v>104.1</v>
      </c>
      <c r="O29">
        <v>124834.4</v>
      </c>
      <c r="P29">
        <v>66.400000000000006</v>
      </c>
      <c r="Q29" s="1" t="e">
        <v>#N/A</v>
      </c>
      <c r="S29" t="str">
        <f t="shared" si="0"/>
        <v>2002-Q2</v>
      </c>
    </row>
    <row r="30" spans="1:19" x14ac:dyDescent="0.4">
      <c r="A30" s="1">
        <v>37377</v>
      </c>
      <c r="B30" s="10" t="e">
        <v>#N/A</v>
      </c>
      <c r="C30" s="2">
        <v>5.4059999999999997</v>
      </c>
      <c r="D30">
        <v>2.9</v>
      </c>
      <c r="E30" t="e">
        <v>#N/A</v>
      </c>
      <c r="F30">
        <v>8.8000000000000007</v>
      </c>
      <c r="G30" s="6">
        <v>1561</v>
      </c>
      <c r="H30" t="e">
        <v>#N/A</v>
      </c>
      <c r="I30" s="3">
        <v>0.30653849244117737</v>
      </c>
      <c r="L30">
        <v>119.3</v>
      </c>
      <c r="M30">
        <v>108.3</v>
      </c>
      <c r="N30" t="e">
        <v>#N/A</v>
      </c>
      <c r="O30" t="e">
        <v>#N/A</v>
      </c>
      <c r="P30">
        <v>66.5</v>
      </c>
      <c r="Q30" s="1" t="s">
        <v>27</v>
      </c>
      <c r="S30" t="str">
        <f t="shared" si="0"/>
        <v/>
      </c>
    </row>
    <row r="31" spans="1:19" x14ac:dyDescent="0.4">
      <c r="A31" s="1">
        <v>37408</v>
      </c>
      <c r="B31" s="10" t="e">
        <v>#N/A</v>
      </c>
      <c r="C31" s="2">
        <v>5.2549999999999999</v>
      </c>
      <c r="D31">
        <v>2.9</v>
      </c>
      <c r="E31" t="e">
        <v>#N/A</v>
      </c>
      <c r="F31">
        <v>8.8000000000000007</v>
      </c>
      <c r="G31" s="6">
        <v>1561</v>
      </c>
      <c r="H31" t="e">
        <v>#N/A</v>
      </c>
      <c r="I31" s="3">
        <v>0.18199765682220459</v>
      </c>
      <c r="L31">
        <v>118.2</v>
      </c>
      <c r="M31">
        <v>108.9</v>
      </c>
      <c r="N31" t="e">
        <v>#N/A</v>
      </c>
      <c r="O31" t="e">
        <v>#N/A</v>
      </c>
      <c r="P31">
        <v>66.3</v>
      </c>
      <c r="Q31" s="1" t="s">
        <v>28</v>
      </c>
      <c r="S31" t="str">
        <f t="shared" si="0"/>
        <v/>
      </c>
    </row>
    <row r="32" spans="1:19" x14ac:dyDescent="0.4">
      <c r="A32" s="1">
        <v>37438</v>
      </c>
      <c r="B32" s="10">
        <v>151392</v>
      </c>
      <c r="C32" s="2">
        <v>5.109</v>
      </c>
      <c r="D32">
        <v>2.7</v>
      </c>
      <c r="E32">
        <v>106.3</v>
      </c>
      <c r="F32">
        <v>8.6</v>
      </c>
      <c r="G32" s="6">
        <v>1520</v>
      </c>
      <c r="H32" t="e">
        <v>#N/A</v>
      </c>
      <c r="I32" s="3">
        <v>0.11082612723112106</v>
      </c>
      <c r="L32">
        <v>117.5</v>
      </c>
      <c r="M32">
        <v>109.1</v>
      </c>
      <c r="N32">
        <v>104.2</v>
      </c>
      <c r="O32">
        <v>117486.2</v>
      </c>
      <c r="P32">
        <v>66.5</v>
      </c>
      <c r="Q32" s="1" t="e">
        <v>#N/A</v>
      </c>
      <c r="S32" t="str">
        <f t="shared" si="0"/>
        <v>2002-Q3</v>
      </c>
    </row>
    <row r="33" spans="1:19" x14ac:dyDescent="0.4">
      <c r="A33" s="1">
        <v>37469</v>
      </c>
      <c r="B33" s="10" t="e">
        <v>#N/A</v>
      </c>
      <c r="C33" s="2">
        <v>4.8280000000000003</v>
      </c>
      <c r="D33">
        <v>2.9</v>
      </c>
      <c r="E33" t="e">
        <v>#N/A</v>
      </c>
      <c r="F33">
        <v>8.6</v>
      </c>
      <c r="G33" s="6">
        <v>1520</v>
      </c>
      <c r="H33" t="e">
        <v>#N/A</v>
      </c>
      <c r="I33" s="3">
        <v>8.067639172077179E-2</v>
      </c>
      <c r="L33">
        <v>116</v>
      </c>
      <c r="M33">
        <v>109</v>
      </c>
      <c r="N33" t="e">
        <v>#N/A</v>
      </c>
      <c r="O33" t="e">
        <v>#N/A</v>
      </c>
      <c r="P33">
        <v>66.5</v>
      </c>
      <c r="Q33" s="1" t="e">
        <v>#N/A</v>
      </c>
      <c r="S33" t="str">
        <f t="shared" si="0"/>
        <v/>
      </c>
    </row>
    <row r="34" spans="1:19" x14ac:dyDescent="0.4">
      <c r="A34" s="1">
        <v>37500</v>
      </c>
      <c r="B34" s="10" t="e">
        <v>#N/A</v>
      </c>
      <c r="C34" s="2">
        <v>4.6180000000000003</v>
      </c>
      <c r="D34">
        <v>3.1</v>
      </c>
      <c r="E34" t="e">
        <v>#N/A</v>
      </c>
      <c r="F34">
        <v>8.6</v>
      </c>
      <c r="G34" s="6">
        <v>1520</v>
      </c>
      <c r="H34" t="e">
        <v>#N/A</v>
      </c>
      <c r="I34" s="3">
        <v>0.16278640925884247</v>
      </c>
      <c r="L34">
        <v>118.5</v>
      </c>
      <c r="M34">
        <v>108.4</v>
      </c>
      <c r="N34" t="e">
        <v>#N/A</v>
      </c>
      <c r="O34" t="e">
        <v>#N/A</v>
      </c>
      <c r="P34">
        <v>66.900000000000006</v>
      </c>
      <c r="Q34" s="1" t="e">
        <v>#N/A</v>
      </c>
      <c r="S34" t="str">
        <f t="shared" si="0"/>
        <v/>
      </c>
    </row>
    <row r="35" spans="1:19" x14ac:dyDescent="0.4">
      <c r="A35" s="1">
        <v>37530</v>
      </c>
      <c r="B35" s="10">
        <v>180603</v>
      </c>
      <c r="C35" s="2">
        <v>4.7569999999999997</v>
      </c>
      <c r="D35">
        <v>3</v>
      </c>
      <c r="E35">
        <v>102.8</v>
      </c>
      <c r="F35">
        <v>8.5</v>
      </c>
      <c r="G35" s="6">
        <v>1503</v>
      </c>
      <c r="H35" t="e">
        <v>#N/A</v>
      </c>
      <c r="I35" s="3">
        <v>0.11771630495786667</v>
      </c>
      <c r="L35">
        <v>116.9</v>
      </c>
      <c r="M35">
        <v>109.3</v>
      </c>
      <c r="N35">
        <v>104.3</v>
      </c>
      <c r="O35">
        <v>147250.70000000001</v>
      </c>
      <c r="P35">
        <v>67.3</v>
      </c>
      <c r="Q35" s="1" t="e">
        <v>#N/A</v>
      </c>
      <c r="S35" t="str">
        <f t="shared" si="0"/>
        <v>2002-Q4</v>
      </c>
    </row>
    <row r="36" spans="1:19" x14ac:dyDescent="0.4">
      <c r="A36" s="1">
        <v>37561</v>
      </c>
      <c r="B36" s="10" t="e">
        <v>#N/A</v>
      </c>
      <c r="C36" s="2">
        <v>4.7350000000000003</v>
      </c>
      <c r="D36">
        <v>3.1</v>
      </c>
      <c r="E36" t="e">
        <v>#N/A</v>
      </c>
      <c r="F36">
        <v>8.5</v>
      </c>
      <c r="G36" s="6">
        <v>1503</v>
      </c>
      <c r="H36" t="e">
        <v>#N/A</v>
      </c>
      <c r="I36" s="3">
        <v>0.1266867071390152</v>
      </c>
      <c r="L36">
        <v>119.1</v>
      </c>
      <c r="M36">
        <v>109.1</v>
      </c>
      <c r="N36" t="e">
        <v>#N/A</v>
      </c>
      <c r="O36" t="e">
        <v>#N/A</v>
      </c>
      <c r="P36">
        <v>67</v>
      </c>
      <c r="Q36" s="1" t="e">
        <v>#N/A</v>
      </c>
      <c r="S36" t="str">
        <f t="shared" si="0"/>
        <v/>
      </c>
    </row>
    <row r="37" spans="1:19" x14ac:dyDescent="0.4">
      <c r="A37" s="1">
        <v>37591</v>
      </c>
      <c r="B37" s="10" t="e">
        <v>#N/A</v>
      </c>
      <c r="C37" s="2">
        <v>4.548</v>
      </c>
      <c r="D37">
        <v>3.1</v>
      </c>
      <c r="E37" t="e">
        <v>#N/A</v>
      </c>
      <c r="F37">
        <v>8.4</v>
      </c>
      <c r="G37" s="6">
        <v>1503</v>
      </c>
      <c r="H37" t="e">
        <v>#N/A</v>
      </c>
      <c r="I37" s="3">
        <v>8.3245284855365753E-2</v>
      </c>
      <c r="L37">
        <v>117.9</v>
      </c>
      <c r="M37">
        <v>109.2</v>
      </c>
      <c r="N37" t="e">
        <v>#N/A</v>
      </c>
      <c r="O37" t="e">
        <v>#N/A</v>
      </c>
      <c r="P37">
        <v>66.8</v>
      </c>
      <c r="Q37" s="1" t="e">
        <v>#N/A</v>
      </c>
      <c r="S37" t="str">
        <f t="shared" si="0"/>
        <v/>
      </c>
    </row>
    <row r="38" spans="1:19" x14ac:dyDescent="0.4">
      <c r="A38" s="1">
        <v>37622</v>
      </c>
      <c r="B38" s="10">
        <v>150364</v>
      </c>
      <c r="C38" s="2">
        <v>4.375</v>
      </c>
      <c r="D38">
        <v>2.7</v>
      </c>
      <c r="E38">
        <v>104.6</v>
      </c>
      <c r="F38">
        <v>8.8000000000000007</v>
      </c>
      <c r="G38" s="6">
        <v>1554</v>
      </c>
      <c r="H38" t="e">
        <v>#N/A</v>
      </c>
      <c r="I38" s="3">
        <v>0.22921441495418549</v>
      </c>
      <c r="L38">
        <v>119.1</v>
      </c>
      <c r="M38">
        <v>108.8</v>
      </c>
      <c r="N38">
        <v>105</v>
      </c>
      <c r="O38">
        <v>117996.7</v>
      </c>
      <c r="P38">
        <v>68.2</v>
      </c>
      <c r="Q38" s="1" t="s">
        <v>29</v>
      </c>
      <c r="S38" t="str">
        <f t="shared" si="0"/>
        <v>2003-Q1</v>
      </c>
    </row>
    <row r="39" spans="1:19" x14ac:dyDescent="0.4">
      <c r="A39" s="1">
        <v>37653</v>
      </c>
      <c r="B39" s="10" t="e">
        <v>#N/A</v>
      </c>
      <c r="C39" s="2">
        <v>4.157</v>
      </c>
      <c r="D39">
        <v>2.5</v>
      </c>
      <c r="E39" t="e">
        <v>#N/A</v>
      </c>
      <c r="F39">
        <v>8.6999999999999993</v>
      </c>
      <c r="G39" s="6">
        <v>1554</v>
      </c>
      <c r="H39" t="e">
        <v>#N/A</v>
      </c>
      <c r="I39" s="3">
        <v>0.33827987313270569</v>
      </c>
      <c r="L39">
        <v>116.8</v>
      </c>
      <c r="M39">
        <v>110.2</v>
      </c>
      <c r="N39" t="e">
        <v>#N/A</v>
      </c>
      <c r="O39" t="e">
        <v>#N/A</v>
      </c>
      <c r="P39">
        <v>69</v>
      </c>
      <c r="Q39" s="1" t="e">
        <v>#N/A</v>
      </c>
      <c r="S39" t="str">
        <f t="shared" si="0"/>
        <v/>
      </c>
    </row>
    <row r="40" spans="1:19" x14ac:dyDescent="0.4">
      <c r="A40" s="1">
        <v>37681</v>
      </c>
      <c r="B40" s="10" t="e">
        <v>#N/A</v>
      </c>
      <c r="C40" s="2">
        <v>4.1849999999999996</v>
      </c>
      <c r="D40">
        <v>2.8</v>
      </c>
      <c r="E40" t="e">
        <v>#N/A</v>
      </c>
      <c r="F40">
        <v>8.6999999999999993</v>
      </c>
      <c r="G40" s="6">
        <v>1554</v>
      </c>
      <c r="H40" t="e">
        <v>#N/A</v>
      </c>
      <c r="I40" s="3">
        <v>0.37970122694969177</v>
      </c>
      <c r="L40">
        <v>117</v>
      </c>
      <c r="M40">
        <v>109.7</v>
      </c>
      <c r="N40" t="e">
        <v>#N/A</v>
      </c>
      <c r="O40" t="e">
        <v>#N/A</v>
      </c>
      <c r="P40">
        <v>69.8</v>
      </c>
      <c r="Q40" s="1" t="e">
        <v>#N/A</v>
      </c>
      <c r="S40" t="str">
        <f t="shared" si="0"/>
        <v/>
      </c>
    </row>
    <row r="41" spans="1:19" x14ac:dyDescent="0.4">
      <c r="A41" s="1">
        <v>37712</v>
      </c>
      <c r="B41" s="10">
        <v>158615</v>
      </c>
      <c r="C41" s="2">
        <v>4.3120000000000003</v>
      </c>
      <c r="D41">
        <v>2.8</v>
      </c>
      <c r="E41">
        <v>104.9</v>
      </c>
      <c r="F41">
        <v>8.4</v>
      </c>
      <c r="G41" s="6">
        <v>1456</v>
      </c>
      <c r="H41" t="e">
        <v>#N/A</v>
      </c>
      <c r="I41" s="3">
        <v>0.27981811761856079</v>
      </c>
      <c r="L41">
        <v>118.5</v>
      </c>
      <c r="M41">
        <v>109.3</v>
      </c>
      <c r="N41">
        <v>105</v>
      </c>
      <c r="O41">
        <v>130173.6</v>
      </c>
      <c r="P41">
        <v>69.400000000000006</v>
      </c>
      <c r="Q41" s="1" t="e">
        <v>#N/A</v>
      </c>
      <c r="S41" t="str">
        <f t="shared" si="0"/>
        <v>2003-Q2</v>
      </c>
    </row>
    <row r="42" spans="1:19" x14ac:dyDescent="0.4">
      <c r="A42" s="1">
        <v>37742</v>
      </c>
      <c r="B42" s="10" t="e">
        <v>#N/A</v>
      </c>
      <c r="C42" s="2">
        <v>4.0350000000000001</v>
      </c>
      <c r="D42">
        <v>2.9</v>
      </c>
      <c r="E42" t="e">
        <v>#N/A</v>
      </c>
      <c r="F42">
        <v>8.5</v>
      </c>
      <c r="G42" s="6">
        <v>1456</v>
      </c>
      <c r="H42" t="e">
        <v>#N/A</v>
      </c>
      <c r="I42" s="3">
        <v>0.13420136272907257</v>
      </c>
      <c r="L42">
        <v>114.5</v>
      </c>
      <c r="M42">
        <v>109.5</v>
      </c>
      <c r="N42" t="e">
        <v>#N/A</v>
      </c>
      <c r="O42" t="e">
        <v>#N/A</v>
      </c>
      <c r="P42">
        <v>68.3</v>
      </c>
      <c r="Q42" s="1" t="e">
        <v>#N/A</v>
      </c>
      <c r="S42" t="str">
        <f t="shared" si="0"/>
        <v/>
      </c>
    </row>
    <row r="43" spans="1:19" x14ac:dyDescent="0.4">
      <c r="A43" s="1">
        <v>37773</v>
      </c>
      <c r="B43" s="10" t="e">
        <v>#N/A</v>
      </c>
      <c r="C43" s="2">
        <v>3.8220000000000001</v>
      </c>
      <c r="D43">
        <v>2.9</v>
      </c>
      <c r="E43" t="e">
        <v>#N/A</v>
      </c>
      <c r="F43">
        <v>8.5</v>
      </c>
      <c r="G43" s="6">
        <v>1456</v>
      </c>
      <c r="H43" t="e">
        <v>#N/A</v>
      </c>
      <c r="I43" s="3">
        <v>0.18079368770122528</v>
      </c>
      <c r="L43">
        <v>116</v>
      </c>
      <c r="M43">
        <v>108.5</v>
      </c>
      <c r="N43" t="e">
        <v>#N/A</v>
      </c>
      <c r="O43" t="e">
        <v>#N/A</v>
      </c>
      <c r="P43">
        <v>67.8</v>
      </c>
      <c r="Q43" s="1" t="e">
        <v>#N/A</v>
      </c>
      <c r="S43" t="str">
        <f t="shared" si="0"/>
        <v/>
      </c>
    </row>
    <row r="44" spans="1:19" x14ac:dyDescent="0.4">
      <c r="A44" s="1">
        <v>37803</v>
      </c>
      <c r="B44" s="10">
        <v>156448</v>
      </c>
      <c r="C44" s="2">
        <v>4.1319999999999997</v>
      </c>
      <c r="D44">
        <v>2.9</v>
      </c>
      <c r="E44">
        <v>105.5</v>
      </c>
      <c r="F44">
        <v>8.4</v>
      </c>
      <c r="G44" s="6">
        <v>1489</v>
      </c>
      <c r="H44" t="e">
        <v>#N/A</v>
      </c>
      <c r="I44" s="3">
        <v>0.15644651651382446</v>
      </c>
      <c r="L44">
        <v>117.7</v>
      </c>
      <c r="M44">
        <v>108.8</v>
      </c>
      <c r="N44">
        <v>104.8</v>
      </c>
      <c r="O44">
        <v>124740.9</v>
      </c>
      <c r="P44">
        <v>67.900000000000006</v>
      </c>
      <c r="Q44" s="1" t="e">
        <v>#N/A</v>
      </c>
      <c r="S44" t="str">
        <f t="shared" si="0"/>
        <v>2003-Q3</v>
      </c>
    </row>
    <row r="45" spans="1:19" x14ac:dyDescent="0.4">
      <c r="A45" s="1">
        <v>37834</v>
      </c>
      <c r="B45" s="10" t="e">
        <v>#N/A</v>
      </c>
      <c r="C45" s="2">
        <v>4.2930000000000001</v>
      </c>
      <c r="D45">
        <v>2.8</v>
      </c>
      <c r="E45" t="e">
        <v>#N/A</v>
      </c>
      <c r="F45">
        <v>8.4</v>
      </c>
      <c r="G45" s="6">
        <v>1489</v>
      </c>
      <c r="H45" t="e">
        <v>#N/A</v>
      </c>
      <c r="I45" s="3">
        <v>0.13675214350223541</v>
      </c>
      <c r="L45">
        <v>114.7</v>
      </c>
      <c r="M45">
        <v>108.1</v>
      </c>
      <c r="N45" t="e">
        <v>#N/A</v>
      </c>
      <c r="O45" t="e">
        <v>#N/A</v>
      </c>
      <c r="P45">
        <v>68.3</v>
      </c>
      <c r="Q45" s="1" t="e">
        <v>#N/A</v>
      </c>
      <c r="S45" t="str">
        <f t="shared" si="0"/>
        <v/>
      </c>
    </row>
    <row r="46" spans="1:19" x14ac:dyDescent="0.4">
      <c r="A46" s="1">
        <v>37865</v>
      </c>
      <c r="B46" s="10" t="e">
        <v>#N/A</v>
      </c>
      <c r="C46" s="2">
        <v>4.3140000000000001</v>
      </c>
      <c r="D46">
        <v>2.9</v>
      </c>
      <c r="E46" t="e">
        <v>#N/A</v>
      </c>
      <c r="F46">
        <v>8.4</v>
      </c>
      <c r="G46" s="6">
        <v>1489</v>
      </c>
      <c r="H46" t="e">
        <v>#N/A</v>
      </c>
      <c r="I46" s="3">
        <v>0.11768167465925217</v>
      </c>
      <c r="L46">
        <v>115.4</v>
      </c>
      <c r="M46">
        <v>108.6</v>
      </c>
      <c r="N46" t="e">
        <v>#N/A</v>
      </c>
      <c r="O46" t="e">
        <v>#N/A</v>
      </c>
      <c r="P46">
        <v>68.900000000000006</v>
      </c>
      <c r="Q46" s="1" t="e">
        <v>#N/A</v>
      </c>
      <c r="S46" t="str">
        <f t="shared" si="0"/>
        <v/>
      </c>
    </row>
    <row r="47" spans="1:19" x14ac:dyDescent="0.4">
      <c r="A47" s="1">
        <v>37895</v>
      </c>
      <c r="B47" s="10">
        <v>191844</v>
      </c>
      <c r="C47" s="2">
        <v>4.3819999999999997</v>
      </c>
      <c r="D47">
        <v>2.9</v>
      </c>
      <c r="E47">
        <v>100.9</v>
      </c>
      <c r="F47">
        <v>8.1999999999999993</v>
      </c>
      <c r="G47" s="6">
        <v>1497</v>
      </c>
      <c r="H47" t="e">
        <v>#N/A</v>
      </c>
      <c r="I47" s="3">
        <v>7.5492046773433685E-2</v>
      </c>
      <c r="L47">
        <v>116.8</v>
      </c>
      <c r="M47">
        <v>108.6</v>
      </c>
      <c r="N47">
        <v>105.4</v>
      </c>
      <c r="O47">
        <v>151477.9</v>
      </c>
      <c r="P47">
        <v>68</v>
      </c>
      <c r="Q47" s="1" t="e">
        <v>#N/A</v>
      </c>
      <c r="S47" t="str">
        <f t="shared" si="0"/>
        <v>2003-Q4</v>
      </c>
    </row>
    <row r="48" spans="1:19" x14ac:dyDescent="0.4">
      <c r="A48" s="1">
        <v>37926</v>
      </c>
      <c r="B48" s="10" t="e">
        <v>#N/A</v>
      </c>
      <c r="C48" s="2">
        <v>4.5110000000000001</v>
      </c>
      <c r="D48">
        <v>2.9</v>
      </c>
      <c r="E48" t="e">
        <v>#N/A</v>
      </c>
      <c r="F48">
        <v>8.1999999999999993</v>
      </c>
      <c r="G48" s="6">
        <v>1497</v>
      </c>
      <c r="H48" t="e">
        <v>#N/A</v>
      </c>
      <c r="I48" s="3">
        <v>0.27083146572113037</v>
      </c>
      <c r="L48">
        <v>118.3</v>
      </c>
      <c r="M48">
        <v>107.2</v>
      </c>
      <c r="N48" t="e">
        <v>#N/A</v>
      </c>
      <c r="O48" t="e">
        <v>#N/A</v>
      </c>
      <c r="P48">
        <v>68.099999999999994</v>
      </c>
      <c r="Q48" s="1" t="e">
        <v>#N/A</v>
      </c>
      <c r="S48" t="str">
        <f t="shared" si="0"/>
        <v/>
      </c>
    </row>
    <row r="49" spans="1:19" x14ac:dyDescent="0.4">
      <c r="A49" s="1">
        <v>37956</v>
      </c>
      <c r="B49" s="10" t="e">
        <v>#N/A</v>
      </c>
      <c r="C49" s="2">
        <v>4.4589999999999996</v>
      </c>
      <c r="D49">
        <v>2.7</v>
      </c>
      <c r="E49" t="e">
        <v>#N/A</v>
      </c>
      <c r="F49">
        <v>8.1999999999999993</v>
      </c>
      <c r="G49" s="6">
        <v>1497</v>
      </c>
      <c r="H49" t="e">
        <v>#N/A</v>
      </c>
      <c r="I49" s="3">
        <v>0.18157492578029633</v>
      </c>
      <c r="L49">
        <v>118.3</v>
      </c>
      <c r="M49">
        <v>107.6</v>
      </c>
      <c r="N49" t="e">
        <v>#N/A</v>
      </c>
      <c r="O49" t="e">
        <v>#N/A</v>
      </c>
      <c r="P49">
        <v>68.099999999999994</v>
      </c>
      <c r="Q49" s="1" t="e">
        <v>#N/A</v>
      </c>
      <c r="S49" t="str">
        <f t="shared" si="0"/>
        <v/>
      </c>
    </row>
    <row r="50" spans="1:19" x14ac:dyDescent="0.4">
      <c r="A50" s="1">
        <v>37987</v>
      </c>
      <c r="B50" s="10">
        <v>156913</v>
      </c>
      <c r="C50" s="2">
        <v>4.3170000000000002</v>
      </c>
      <c r="D50">
        <v>2.4</v>
      </c>
      <c r="E50">
        <v>103.7</v>
      </c>
      <c r="F50">
        <v>8.3000000000000007</v>
      </c>
      <c r="G50" s="6">
        <v>1479</v>
      </c>
      <c r="H50" t="e">
        <v>#N/A</v>
      </c>
      <c r="I50" s="3">
        <v>0.15510350465774536</v>
      </c>
      <c r="L50">
        <v>118.4</v>
      </c>
      <c r="M50">
        <v>108.5</v>
      </c>
      <c r="N50">
        <v>104.9</v>
      </c>
      <c r="O50">
        <v>122667.7</v>
      </c>
      <c r="P50">
        <v>68.2</v>
      </c>
      <c r="Q50" s="1" t="e">
        <v>#N/A</v>
      </c>
      <c r="S50" t="str">
        <f t="shared" si="0"/>
        <v>2004-Q1</v>
      </c>
    </row>
    <row r="51" spans="1:19" x14ac:dyDescent="0.4">
      <c r="A51" s="1">
        <v>38018</v>
      </c>
      <c r="B51" s="10" t="e">
        <v>#N/A</v>
      </c>
      <c r="C51" s="2">
        <v>4.343</v>
      </c>
      <c r="D51">
        <v>2.8</v>
      </c>
      <c r="E51" t="e">
        <v>#N/A</v>
      </c>
      <c r="F51">
        <v>8</v>
      </c>
      <c r="G51" s="6">
        <v>1479</v>
      </c>
      <c r="H51" t="e">
        <v>#N/A</v>
      </c>
      <c r="I51" s="3">
        <v>0.11094332486391068</v>
      </c>
      <c r="L51">
        <v>117.9</v>
      </c>
      <c r="M51">
        <v>107.3</v>
      </c>
      <c r="N51" t="e">
        <v>#N/A</v>
      </c>
      <c r="O51" t="e">
        <v>#N/A</v>
      </c>
      <c r="P51">
        <v>68.3</v>
      </c>
      <c r="Q51" s="1" t="e">
        <v>#N/A</v>
      </c>
      <c r="S51" t="str">
        <f t="shared" si="0"/>
        <v/>
      </c>
    </row>
    <row r="52" spans="1:19" x14ac:dyDescent="0.4">
      <c r="A52" s="1">
        <v>38047</v>
      </c>
      <c r="B52" s="10" t="e">
        <v>#N/A</v>
      </c>
      <c r="C52" s="2">
        <v>4.1689999999999996</v>
      </c>
      <c r="D52">
        <v>2.6</v>
      </c>
      <c r="E52" t="e">
        <v>#N/A</v>
      </c>
      <c r="F52">
        <v>8.3000000000000007</v>
      </c>
      <c r="G52" s="6">
        <v>1479</v>
      </c>
      <c r="H52" t="e">
        <v>#N/A</v>
      </c>
      <c r="I52" s="3">
        <v>0.22019502520561218</v>
      </c>
      <c r="L52">
        <v>115.8</v>
      </c>
      <c r="M52">
        <v>107</v>
      </c>
      <c r="N52" t="e">
        <v>#N/A</v>
      </c>
      <c r="O52" t="e">
        <v>#N/A</v>
      </c>
      <c r="P52">
        <v>68.7</v>
      </c>
      <c r="Q52" s="1" t="e">
        <v>#N/A</v>
      </c>
      <c r="S52" t="str">
        <f t="shared" si="0"/>
        <v/>
      </c>
    </row>
    <row r="53" spans="1:19" x14ac:dyDescent="0.4">
      <c r="A53" s="1">
        <v>38078</v>
      </c>
      <c r="B53" s="10">
        <v>163897</v>
      </c>
      <c r="C53" s="2">
        <v>4.351</v>
      </c>
      <c r="D53">
        <v>2.6</v>
      </c>
      <c r="E53">
        <v>105.4</v>
      </c>
      <c r="F53">
        <v>8.1999999999999993</v>
      </c>
      <c r="G53" s="6">
        <v>1429</v>
      </c>
      <c r="H53" t="e">
        <v>#N/A</v>
      </c>
      <c r="I53" s="3">
        <v>0.2920491099357605</v>
      </c>
      <c r="L53">
        <v>118</v>
      </c>
      <c r="M53">
        <v>107</v>
      </c>
      <c r="N53">
        <v>104.5</v>
      </c>
      <c r="O53">
        <v>136350.6</v>
      </c>
      <c r="P53">
        <v>68.8</v>
      </c>
      <c r="Q53" s="1" t="e">
        <v>#N/A</v>
      </c>
      <c r="S53" t="str">
        <f t="shared" si="0"/>
        <v>2004-Q2</v>
      </c>
    </row>
    <row r="54" spans="1:19" x14ac:dyDescent="0.4">
      <c r="A54" s="1">
        <v>38108</v>
      </c>
      <c r="B54" s="10" t="e">
        <v>#N/A</v>
      </c>
      <c r="C54" s="2">
        <v>4.4930000000000003</v>
      </c>
      <c r="D54">
        <v>2.2999999999999998</v>
      </c>
      <c r="E54" t="e">
        <v>#N/A</v>
      </c>
      <c r="F54">
        <v>8.1</v>
      </c>
      <c r="G54" s="6">
        <v>1429</v>
      </c>
      <c r="H54" t="e">
        <v>#N/A</v>
      </c>
      <c r="I54" s="3">
        <v>0.15548905730247498</v>
      </c>
      <c r="L54">
        <v>117.7</v>
      </c>
      <c r="M54">
        <v>105.2</v>
      </c>
      <c r="N54" t="e">
        <v>#N/A</v>
      </c>
      <c r="O54" t="e">
        <v>#N/A</v>
      </c>
      <c r="P54">
        <v>69.599999999999994</v>
      </c>
      <c r="Q54" s="1" t="e">
        <v>#N/A</v>
      </c>
      <c r="S54" t="str">
        <f t="shared" si="0"/>
        <v/>
      </c>
    </row>
    <row r="55" spans="1:19" x14ac:dyDescent="0.4">
      <c r="A55" s="1">
        <v>38139</v>
      </c>
      <c r="B55" s="10" t="e">
        <v>#N/A</v>
      </c>
      <c r="C55" s="2">
        <v>4.5439999999999996</v>
      </c>
      <c r="D55">
        <v>2.5</v>
      </c>
      <c r="E55" t="e">
        <v>#N/A</v>
      </c>
      <c r="F55">
        <v>7.8</v>
      </c>
      <c r="G55" s="6">
        <v>1429</v>
      </c>
      <c r="H55" t="e">
        <v>#N/A</v>
      </c>
      <c r="I55" s="3">
        <v>0.20894275605678558</v>
      </c>
      <c r="L55">
        <v>117</v>
      </c>
      <c r="M55">
        <v>106.9</v>
      </c>
      <c r="N55" t="e">
        <v>#N/A</v>
      </c>
      <c r="O55" t="e">
        <v>#N/A</v>
      </c>
      <c r="P55">
        <v>70.2</v>
      </c>
      <c r="Q55" s="1" t="e">
        <v>#N/A</v>
      </c>
      <c r="S55" t="str">
        <f t="shared" si="0"/>
        <v/>
      </c>
    </row>
    <row r="56" spans="1:19" x14ac:dyDescent="0.4">
      <c r="A56" s="1">
        <v>38169</v>
      </c>
      <c r="B56" s="10">
        <v>157599</v>
      </c>
      <c r="C56" s="2">
        <v>4.4400000000000004</v>
      </c>
      <c r="D56">
        <v>2.2000000000000002</v>
      </c>
      <c r="E56">
        <v>104.7</v>
      </c>
      <c r="F56">
        <v>7.8</v>
      </c>
      <c r="G56" s="6">
        <v>1415</v>
      </c>
      <c r="H56" t="e">
        <v>#N/A</v>
      </c>
      <c r="I56" s="3">
        <v>0.13571794331073761</v>
      </c>
      <c r="L56">
        <v>117.3</v>
      </c>
      <c r="M56">
        <v>105.9</v>
      </c>
      <c r="N56">
        <v>105</v>
      </c>
      <c r="O56">
        <v>126200</v>
      </c>
      <c r="P56">
        <v>70.2</v>
      </c>
      <c r="Q56" s="1" t="s">
        <v>26</v>
      </c>
      <c r="S56" t="str">
        <f t="shared" si="0"/>
        <v>2004-Q3</v>
      </c>
    </row>
    <row r="57" spans="1:19" x14ac:dyDescent="0.4">
      <c r="A57" s="1">
        <v>38200</v>
      </c>
      <c r="B57" s="10" t="e">
        <v>#N/A</v>
      </c>
      <c r="C57" s="2">
        <v>4.2770000000000001</v>
      </c>
      <c r="D57">
        <v>2.2999999999999998</v>
      </c>
      <c r="E57" t="e">
        <v>#N/A</v>
      </c>
      <c r="F57">
        <v>7.7</v>
      </c>
      <c r="G57" s="6">
        <v>1415</v>
      </c>
      <c r="H57" t="e">
        <v>#N/A</v>
      </c>
      <c r="I57" s="3">
        <v>0.14287017285823822</v>
      </c>
      <c r="L57">
        <v>114.5</v>
      </c>
      <c r="M57">
        <v>105.8</v>
      </c>
      <c r="N57" t="e">
        <v>#N/A</v>
      </c>
      <c r="O57" t="e">
        <v>#N/A</v>
      </c>
      <c r="P57">
        <v>70.7</v>
      </c>
      <c r="Q57" s="1" t="e">
        <v>#N/A</v>
      </c>
      <c r="S57" t="str">
        <f t="shared" si="0"/>
        <v/>
      </c>
    </row>
    <row r="58" spans="1:19" x14ac:dyDescent="0.4">
      <c r="A58" s="1">
        <v>38231</v>
      </c>
      <c r="B58" s="10" t="e">
        <v>#N/A</v>
      </c>
      <c r="C58" s="2">
        <v>4.2510000000000003</v>
      </c>
      <c r="D58">
        <v>2.2000000000000002</v>
      </c>
      <c r="E58" t="e">
        <v>#N/A</v>
      </c>
      <c r="F58">
        <v>8.1</v>
      </c>
      <c r="G58" s="6">
        <v>1415</v>
      </c>
      <c r="H58" t="e">
        <v>#N/A</v>
      </c>
      <c r="I58" s="3">
        <v>0.23330242931842804</v>
      </c>
      <c r="L58">
        <v>116.4</v>
      </c>
      <c r="M58">
        <v>105.5</v>
      </c>
      <c r="N58" t="e">
        <v>#N/A</v>
      </c>
      <c r="O58" t="e">
        <v>#N/A</v>
      </c>
      <c r="P58">
        <v>71</v>
      </c>
      <c r="Q58" s="1" t="e">
        <v>#N/A</v>
      </c>
      <c r="S58" t="str">
        <f t="shared" si="0"/>
        <v/>
      </c>
    </row>
    <row r="59" spans="1:19" x14ac:dyDescent="0.4">
      <c r="A59" s="1">
        <v>38261</v>
      </c>
      <c r="B59" s="10">
        <v>201692</v>
      </c>
      <c r="C59" s="2">
        <v>4.1289999999999996</v>
      </c>
      <c r="D59">
        <v>2</v>
      </c>
      <c r="E59">
        <v>100.3</v>
      </c>
      <c r="F59">
        <v>8</v>
      </c>
      <c r="G59" s="6">
        <v>1428</v>
      </c>
      <c r="H59" t="e">
        <v>#N/A</v>
      </c>
      <c r="I59" s="3">
        <v>0.1602931022644043</v>
      </c>
      <c r="L59">
        <v>117.5</v>
      </c>
      <c r="M59">
        <v>105.8</v>
      </c>
      <c r="N59">
        <v>105.2</v>
      </c>
      <c r="O59">
        <v>158159.6</v>
      </c>
      <c r="P59">
        <v>72</v>
      </c>
      <c r="Q59" s="1" t="e">
        <v>#N/A</v>
      </c>
      <c r="S59" t="str">
        <f t="shared" si="0"/>
        <v>2004-Q4</v>
      </c>
    </row>
    <row r="60" spans="1:19" x14ac:dyDescent="0.4">
      <c r="A60" s="1">
        <v>38292</v>
      </c>
      <c r="B60" s="10" t="e">
        <v>#N/A</v>
      </c>
      <c r="C60" s="2">
        <v>4</v>
      </c>
      <c r="D60">
        <v>1.8</v>
      </c>
      <c r="E60" t="e">
        <v>#N/A</v>
      </c>
      <c r="F60">
        <v>8.1</v>
      </c>
      <c r="G60" s="6">
        <v>1428</v>
      </c>
      <c r="H60" t="e">
        <v>#N/A</v>
      </c>
      <c r="I60" s="3">
        <v>0.10807240754365921</v>
      </c>
      <c r="L60">
        <v>115.6</v>
      </c>
      <c r="M60">
        <v>105.8</v>
      </c>
      <c r="N60" t="e">
        <v>#N/A</v>
      </c>
      <c r="O60" t="e">
        <v>#N/A</v>
      </c>
      <c r="P60">
        <v>72.2</v>
      </c>
      <c r="Q60" s="1" t="e">
        <v>#N/A</v>
      </c>
      <c r="S60" t="str">
        <f t="shared" si="0"/>
        <v/>
      </c>
    </row>
    <row r="61" spans="1:19" x14ac:dyDescent="0.4">
      <c r="A61" s="1">
        <v>38322</v>
      </c>
      <c r="B61" s="10" t="e">
        <v>#N/A</v>
      </c>
      <c r="C61" s="2">
        <v>3.7919999999999998</v>
      </c>
      <c r="D61">
        <v>2.1</v>
      </c>
      <c r="E61" t="e">
        <v>#N/A</v>
      </c>
      <c r="F61">
        <v>7.9</v>
      </c>
      <c r="G61" s="6">
        <v>1428</v>
      </c>
      <c r="H61" t="e">
        <v>#N/A</v>
      </c>
      <c r="I61" s="3">
        <v>0.12702041864395142</v>
      </c>
      <c r="L61">
        <v>114.6</v>
      </c>
      <c r="M61">
        <v>106.4</v>
      </c>
      <c r="N61" t="e">
        <v>#N/A</v>
      </c>
      <c r="O61" t="e">
        <v>#N/A</v>
      </c>
      <c r="P61">
        <v>71.8</v>
      </c>
      <c r="Q61" s="1" t="e">
        <v>#N/A</v>
      </c>
      <c r="S61" t="str">
        <f t="shared" si="0"/>
        <v/>
      </c>
    </row>
    <row r="62" spans="1:19" x14ac:dyDescent="0.4">
      <c r="A62" s="1">
        <v>38353</v>
      </c>
      <c r="B62" s="10">
        <v>163515</v>
      </c>
      <c r="C62" s="2">
        <v>3.7109999999999999</v>
      </c>
      <c r="D62">
        <v>1.8</v>
      </c>
      <c r="E62">
        <v>103.7</v>
      </c>
      <c r="F62">
        <v>7.8</v>
      </c>
      <c r="G62" s="6">
        <v>1412</v>
      </c>
      <c r="H62" t="e">
        <v>#N/A</v>
      </c>
      <c r="I62" s="3">
        <v>0.117661252617836</v>
      </c>
      <c r="L62">
        <v>114.7</v>
      </c>
      <c r="M62">
        <v>105.3</v>
      </c>
      <c r="N62">
        <v>105.4</v>
      </c>
      <c r="O62">
        <v>127417.1</v>
      </c>
      <c r="P62">
        <v>71.599999999999994</v>
      </c>
      <c r="Q62" s="1" t="e">
        <v>#N/A</v>
      </c>
      <c r="S62" t="str">
        <f t="shared" si="0"/>
        <v>2005-Q1</v>
      </c>
    </row>
    <row r="63" spans="1:19" x14ac:dyDescent="0.4">
      <c r="A63" s="1">
        <v>38384</v>
      </c>
      <c r="B63" s="10" t="e">
        <v>#N/A</v>
      </c>
      <c r="C63" s="2">
        <v>3.6779999999999999</v>
      </c>
      <c r="D63">
        <v>1.7</v>
      </c>
      <c r="E63" t="e">
        <v>#N/A</v>
      </c>
      <c r="F63">
        <v>8</v>
      </c>
      <c r="G63" s="6">
        <v>1412</v>
      </c>
      <c r="H63" t="e">
        <v>#N/A</v>
      </c>
      <c r="I63" s="3">
        <v>0.16407682001590729</v>
      </c>
      <c r="L63">
        <v>115.3</v>
      </c>
      <c r="M63">
        <v>105</v>
      </c>
      <c r="N63" t="e">
        <v>#N/A</v>
      </c>
      <c r="O63" t="e">
        <v>#N/A</v>
      </c>
      <c r="P63">
        <v>72.400000000000006</v>
      </c>
      <c r="Q63" s="1" t="e">
        <v>#N/A</v>
      </c>
      <c r="S63" t="str">
        <f t="shared" si="0"/>
        <v/>
      </c>
    </row>
    <row r="64" spans="1:19" x14ac:dyDescent="0.4">
      <c r="A64" s="1">
        <v>38412</v>
      </c>
      <c r="B64" s="10" t="e">
        <v>#N/A</v>
      </c>
      <c r="C64" s="2">
        <v>3.8370000000000002</v>
      </c>
      <c r="D64">
        <v>1.7</v>
      </c>
      <c r="E64" t="e">
        <v>#N/A</v>
      </c>
      <c r="F64">
        <v>7.9</v>
      </c>
      <c r="G64" s="6">
        <v>1412</v>
      </c>
      <c r="H64" t="e">
        <v>#N/A</v>
      </c>
      <c r="I64" s="3">
        <v>0.12599506974220276</v>
      </c>
      <c r="L64">
        <v>115.1</v>
      </c>
      <c r="M64">
        <v>105.6</v>
      </c>
      <c r="N64" t="e">
        <v>#N/A</v>
      </c>
      <c r="O64" t="e">
        <v>#N/A</v>
      </c>
      <c r="P64">
        <v>73.5</v>
      </c>
      <c r="Q64" s="1" t="e">
        <v>#N/A</v>
      </c>
      <c r="S64" t="str">
        <f t="shared" si="0"/>
        <v/>
      </c>
    </row>
    <row r="65" spans="1:19" x14ac:dyDescent="0.4">
      <c r="A65" s="1">
        <v>38443</v>
      </c>
      <c r="B65" s="10">
        <v>167935</v>
      </c>
      <c r="C65" s="2">
        <v>3.653</v>
      </c>
      <c r="D65">
        <v>1.8</v>
      </c>
      <c r="E65">
        <v>105.8</v>
      </c>
      <c r="F65">
        <v>7.9</v>
      </c>
      <c r="G65" s="6">
        <v>1410</v>
      </c>
      <c r="H65" t="e">
        <v>#N/A</v>
      </c>
      <c r="I65" s="3">
        <v>0.10889078676700592</v>
      </c>
      <c r="L65">
        <v>118</v>
      </c>
      <c r="M65">
        <v>106</v>
      </c>
      <c r="N65">
        <v>106</v>
      </c>
      <c r="O65">
        <v>140263.5</v>
      </c>
      <c r="P65">
        <v>75.400000000000006</v>
      </c>
      <c r="Q65" s="1" t="e">
        <v>#N/A</v>
      </c>
      <c r="S65" t="str">
        <f t="shared" si="0"/>
        <v>2005-Q2</v>
      </c>
    </row>
    <row r="66" spans="1:19" x14ac:dyDescent="0.4">
      <c r="A66" s="1">
        <v>38473</v>
      </c>
      <c r="B66" s="10" t="e">
        <v>#N/A</v>
      </c>
      <c r="C66" s="2">
        <v>3.5529999999999999</v>
      </c>
      <c r="D66">
        <v>1.9</v>
      </c>
      <c r="E66" t="e">
        <v>#N/A</v>
      </c>
      <c r="F66">
        <v>7.6</v>
      </c>
      <c r="G66" s="6">
        <v>1410</v>
      </c>
      <c r="H66" t="e">
        <v>#N/A</v>
      </c>
      <c r="I66" s="3">
        <v>0.11064593493938446</v>
      </c>
      <c r="L66">
        <v>115</v>
      </c>
      <c r="M66">
        <v>106.2</v>
      </c>
      <c r="N66" t="e">
        <v>#N/A</v>
      </c>
      <c r="O66" t="e">
        <v>#N/A</v>
      </c>
      <c r="P66">
        <v>75.3</v>
      </c>
      <c r="Q66" s="1" t="e">
        <v>#N/A</v>
      </c>
      <c r="S66" t="str">
        <f t="shared" si="0"/>
        <v/>
      </c>
    </row>
    <row r="67" spans="1:19" x14ac:dyDescent="0.4">
      <c r="A67" s="1">
        <v>38504</v>
      </c>
      <c r="B67" s="10" t="e">
        <v>#N/A</v>
      </c>
      <c r="C67" s="2">
        <v>3.4049999999999998</v>
      </c>
      <c r="D67">
        <v>1.8</v>
      </c>
      <c r="E67" t="e">
        <v>#N/A</v>
      </c>
      <c r="F67">
        <v>7.9</v>
      </c>
      <c r="G67" s="6">
        <v>1410</v>
      </c>
      <c r="H67" t="e">
        <v>#N/A</v>
      </c>
      <c r="I67" s="3">
        <v>0.10238805413246155</v>
      </c>
      <c r="L67">
        <v>115</v>
      </c>
      <c r="M67">
        <v>105.4</v>
      </c>
      <c r="N67" t="e">
        <v>#N/A</v>
      </c>
      <c r="O67" t="e">
        <v>#N/A</v>
      </c>
      <c r="P67">
        <v>75.099999999999994</v>
      </c>
      <c r="Q67" s="1" t="s">
        <v>29</v>
      </c>
      <c r="S67" t="str">
        <f t="shared" ref="S67:S130" si="1">IF(MONTH($A67) = 1, YEAR($A67)&amp;"-Q"&amp;MONTH($A67), IF(MONTH($A67) = 4, YEAR($A67)&amp;"-Q2", IF(MONTH($A67) = 7, YEAR($A67)&amp;"-Q3", IF(MONTH($A67) = 10, YEAR($A67)&amp;"-Q4",""))))</f>
        <v/>
      </c>
    </row>
    <row r="68" spans="1:19" x14ac:dyDescent="0.4">
      <c r="A68" s="1">
        <v>38534</v>
      </c>
      <c r="B68" s="10">
        <v>162183</v>
      </c>
      <c r="C68" s="2">
        <v>3.4380000000000002</v>
      </c>
      <c r="D68">
        <v>1.7</v>
      </c>
      <c r="E68">
        <v>104.1</v>
      </c>
      <c r="F68">
        <v>7.6</v>
      </c>
      <c r="G68" s="6">
        <v>1353</v>
      </c>
      <c r="H68" t="e">
        <v>#N/A</v>
      </c>
      <c r="I68" s="3">
        <v>0.28085601329803467</v>
      </c>
      <c r="L68">
        <v>116.6</v>
      </c>
      <c r="M68">
        <v>105.8</v>
      </c>
      <c r="N68">
        <v>105.2</v>
      </c>
      <c r="O68">
        <v>130088.7</v>
      </c>
      <c r="P68">
        <v>77.099999999999994</v>
      </c>
      <c r="Q68" s="1" t="e">
        <v>#N/A</v>
      </c>
      <c r="S68" t="str">
        <f t="shared" si="1"/>
        <v>2005-Q3</v>
      </c>
    </row>
    <row r="69" spans="1:19" x14ac:dyDescent="0.4">
      <c r="A69" s="1">
        <v>38565</v>
      </c>
      <c r="B69" s="10" t="e">
        <v>#N/A</v>
      </c>
      <c r="C69" s="2">
        <v>3.4489999999999998</v>
      </c>
      <c r="D69">
        <v>1.6</v>
      </c>
      <c r="E69" t="e">
        <v>#N/A</v>
      </c>
      <c r="F69">
        <v>7.5</v>
      </c>
      <c r="G69" s="6">
        <v>1353</v>
      </c>
      <c r="H69" t="e">
        <v>#N/A</v>
      </c>
      <c r="I69" s="3">
        <v>0.17802809178829193</v>
      </c>
      <c r="L69">
        <v>115.9</v>
      </c>
      <c r="M69">
        <v>106</v>
      </c>
      <c r="N69" t="e">
        <v>#N/A</v>
      </c>
      <c r="O69" t="e">
        <v>#N/A</v>
      </c>
      <c r="P69">
        <v>77.599999999999994</v>
      </c>
      <c r="Q69" s="1" t="s">
        <v>30</v>
      </c>
      <c r="S69" t="str">
        <f t="shared" si="1"/>
        <v/>
      </c>
    </row>
    <row r="70" spans="1:19" x14ac:dyDescent="0.4">
      <c r="A70" s="1">
        <v>38596</v>
      </c>
      <c r="B70" s="10" t="e">
        <v>#N/A</v>
      </c>
      <c r="C70" s="2">
        <v>3.2869999999999999</v>
      </c>
      <c r="D70">
        <v>1.6</v>
      </c>
      <c r="E70" t="e">
        <v>#N/A</v>
      </c>
      <c r="F70">
        <v>7.9</v>
      </c>
      <c r="G70" s="6">
        <v>1353</v>
      </c>
      <c r="H70" t="e">
        <v>#N/A</v>
      </c>
      <c r="I70" s="3">
        <v>7.3020413517951965E-2</v>
      </c>
      <c r="L70">
        <v>116.3</v>
      </c>
      <c r="M70">
        <v>106.9</v>
      </c>
      <c r="N70" t="e">
        <v>#N/A</v>
      </c>
      <c r="O70" t="e">
        <v>#N/A</v>
      </c>
      <c r="P70">
        <v>79</v>
      </c>
      <c r="Q70" s="1" t="e">
        <v>#N/A</v>
      </c>
      <c r="S70" t="str">
        <f t="shared" si="1"/>
        <v/>
      </c>
    </row>
    <row r="71" spans="1:19" x14ac:dyDescent="0.4">
      <c r="A71" s="1">
        <v>38626</v>
      </c>
      <c r="B71" s="10">
        <v>211731</v>
      </c>
      <c r="C71" s="2">
        <v>3.444</v>
      </c>
      <c r="D71">
        <v>1.8</v>
      </c>
      <c r="E71">
        <v>101.2</v>
      </c>
      <c r="F71">
        <v>7.9</v>
      </c>
      <c r="G71" s="6">
        <v>1396</v>
      </c>
      <c r="H71" t="e">
        <v>#N/A</v>
      </c>
      <c r="I71" s="3">
        <v>3.4472852945327759E-2</v>
      </c>
      <c r="L71">
        <v>116.5</v>
      </c>
      <c r="M71">
        <v>106.5</v>
      </c>
      <c r="N71">
        <v>106.5</v>
      </c>
      <c r="O71">
        <v>168965.9</v>
      </c>
      <c r="P71">
        <v>80.900000000000006</v>
      </c>
      <c r="Q71" s="1" t="e">
        <v>#N/A</v>
      </c>
      <c r="S71" t="str">
        <f t="shared" si="1"/>
        <v>2005-Q4</v>
      </c>
    </row>
    <row r="72" spans="1:19" x14ac:dyDescent="0.4">
      <c r="A72" s="1">
        <v>38657</v>
      </c>
      <c r="B72" s="10" t="e">
        <v>#N/A</v>
      </c>
      <c r="C72" s="2">
        <v>3.6549999999999998</v>
      </c>
      <c r="D72">
        <v>1.7</v>
      </c>
      <c r="E72" t="e">
        <v>#N/A</v>
      </c>
      <c r="F72">
        <v>7.6</v>
      </c>
      <c r="G72" s="6">
        <v>1396</v>
      </c>
      <c r="H72" t="e">
        <v>#N/A</v>
      </c>
      <c r="I72" s="3">
        <v>8.5394494235515594E-2</v>
      </c>
      <c r="L72">
        <v>117.7</v>
      </c>
      <c r="M72">
        <v>106.3</v>
      </c>
      <c r="N72" t="e">
        <v>#N/A</v>
      </c>
      <c r="O72" t="e">
        <v>#N/A</v>
      </c>
      <c r="P72">
        <v>79.099999999999994</v>
      </c>
      <c r="Q72" s="1" t="s">
        <v>30</v>
      </c>
      <c r="S72" t="str">
        <f t="shared" si="1"/>
        <v/>
      </c>
    </row>
    <row r="73" spans="1:19" x14ac:dyDescent="0.4">
      <c r="A73" s="1">
        <v>38687</v>
      </c>
      <c r="B73" s="10" t="e">
        <v>#N/A</v>
      </c>
      <c r="C73" s="2">
        <v>3.5529999999999999</v>
      </c>
      <c r="D73">
        <v>1.5</v>
      </c>
      <c r="E73" t="e">
        <v>#N/A</v>
      </c>
      <c r="F73">
        <v>7.6</v>
      </c>
      <c r="G73" s="6">
        <v>1396</v>
      </c>
      <c r="H73" t="e">
        <v>#N/A</v>
      </c>
      <c r="I73" s="3">
        <v>9.7212202847003937E-2</v>
      </c>
      <c r="L73">
        <v>115.9</v>
      </c>
      <c r="M73">
        <v>106.3</v>
      </c>
      <c r="N73" t="e">
        <v>#N/A</v>
      </c>
      <c r="O73" t="e">
        <v>#N/A</v>
      </c>
      <c r="P73">
        <v>78.400000000000006</v>
      </c>
      <c r="Q73" s="1" t="e">
        <v>#N/A</v>
      </c>
      <c r="S73" t="str">
        <f t="shared" si="1"/>
        <v/>
      </c>
    </row>
    <row r="74" spans="1:19" x14ac:dyDescent="0.4">
      <c r="A74" s="1">
        <v>38718</v>
      </c>
      <c r="B74" s="10">
        <v>168276</v>
      </c>
      <c r="C74" s="2">
        <v>3.544</v>
      </c>
      <c r="D74">
        <v>1.4</v>
      </c>
      <c r="E74">
        <v>103.2</v>
      </c>
      <c r="F74">
        <v>7.4</v>
      </c>
      <c r="G74" s="6">
        <v>1321</v>
      </c>
      <c r="H74" t="e">
        <v>#N/A</v>
      </c>
      <c r="I74" s="3">
        <v>0.1138811931014061</v>
      </c>
      <c r="L74">
        <v>116.3</v>
      </c>
      <c r="M74">
        <v>106.8</v>
      </c>
      <c r="N74">
        <v>107.1</v>
      </c>
      <c r="O74">
        <v>134323</v>
      </c>
      <c r="P74">
        <v>79.400000000000006</v>
      </c>
      <c r="Q74" s="1" t="e">
        <v>#N/A</v>
      </c>
      <c r="S74" t="str">
        <f t="shared" si="1"/>
        <v>2006-Q1</v>
      </c>
    </row>
    <row r="75" spans="1:19" x14ac:dyDescent="0.4">
      <c r="A75" s="1">
        <v>38749</v>
      </c>
      <c r="B75" s="10" t="e">
        <v>#N/A</v>
      </c>
      <c r="C75" s="2">
        <v>3.6970000000000001</v>
      </c>
      <c r="D75">
        <v>1.4</v>
      </c>
      <c r="E75" t="e">
        <v>#N/A</v>
      </c>
      <c r="F75">
        <v>7.4</v>
      </c>
      <c r="G75" s="6">
        <v>1321</v>
      </c>
      <c r="H75" t="e">
        <v>#N/A</v>
      </c>
      <c r="I75" s="3">
        <v>9.8704107105731964E-2</v>
      </c>
      <c r="L75">
        <v>118.7</v>
      </c>
      <c r="M75">
        <v>106.9</v>
      </c>
      <c r="N75" t="e">
        <v>#N/A</v>
      </c>
      <c r="O75" t="e">
        <v>#N/A</v>
      </c>
      <c r="P75">
        <v>80.099999999999994</v>
      </c>
      <c r="Q75" s="1" t="e">
        <v>#N/A</v>
      </c>
      <c r="S75" t="str">
        <f t="shared" si="1"/>
        <v/>
      </c>
    </row>
    <row r="76" spans="1:19" x14ac:dyDescent="0.4">
      <c r="A76" s="1">
        <v>38777</v>
      </c>
      <c r="B76" s="10" t="e">
        <v>#N/A</v>
      </c>
      <c r="C76" s="2">
        <v>3.923</v>
      </c>
      <c r="D76">
        <v>1.7</v>
      </c>
      <c r="E76" t="e">
        <v>#N/A</v>
      </c>
      <c r="F76">
        <v>7.2</v>
      </c>
      <c r="G76" s="6">
        <v>1321</v>
      </c>
      <c r="H76" t="e">
        <v>#N/A</v>
      </c>
      <c r="I76" s="3">
        <v>6.886657327413559E-2</v>
      </c>
      <c r="L76">
        <v>119.3</v>
      </c>
      <c r="M76">
        <v>106.6</v>
      </c>
      <c r="N76" t="e">
        <v>#N/A</v>
      </c>
      <c r="O76" t="e">
        <v>#N/A</v>
      </c>
      <c r="P76">
        <v>80.5</v>
      </c>
      <c r="Q76" s="1" t="e">
        <v>#N/A</v>
      </c>
      <c r="S76" t="str">
        <f t="shared" si="1"/>
        <v/>
      </c>
    </row>
    <row r="77" spans="1:19" x14ac:dyDescent="0.4">
      <c r="A77" s="1">
        <v>38808</v>
      </c>
      <c r="B77" s="10">
        <v>174881</v>
      </c>
      <c r="C77" s="2">
        <v>4.2220000000000004</v>
      </c>
      <c r="D77">
        <v>1.7</v>
      </c>
      <c r="E77">
        <v>104.1</v>
      </c>
      <c r="F77">
        <v>7.1</v>
      </c>
      <c r="G77" s="6">
        <v>1260</v>
      </c>
      <c r="H77" t="e">
        <v>#N/A</v>
      </c>
      <c r="I77" s="3">
        <v>0.13474977016448975</v>
      </c>
      <c r="L77">
        <v>118.2</v>
      </c>
      <c r="M77">
        <v>106.9</v>
      </c>
      <c r="N77">
        <v>108.1</v>
      </c>
      <c r="O77">
        <v>148311.6</v>
      </c>
      <c r="P77">
        <v>82.4</v>
      </c>
      <c r="Q77" s="1" t="e">
        <v>#N/A</v>
      </c>
      <c r="S77" t="str">
        <f t="shared" si="1"/>
        <v>2006-Q2</v>
      </c>
    </row>
    <row r="78" spans="1:19" x14ac:dyDescent="0.4">
      <c r="A78" s="1">
        <v>38838</v>
      </c>
      <c r="B78" s="10" t="e">
        <v>#N/A</v>
      </c>
      <c r="C78" s="2">
        <v>4.2850000000000001</v>
      </c>
      <c r="D78">
        <v>1.7</v>
      </c>
      <c r="E78" t="e">
        <v>#N/A</v>
      </c>
      <c r="F78">
        <v>7</v>
      </c>
      <c r="G78" s="6">
        <v>1260</v>
      </c>
      <c r="H78" t="e">
        <v>#N/A</v>
      </c>
      <c r="I78" s="3">
        <v>8.6787372827529907E-2</v>
      </c>
      <c r="L78">
        <v>121.1</v>
      </c>
      <c r="M78">
        <v>106.7</v>
      </c>
      <c r="N78" t="e">
        <v>#N/A</v>
      </c>
      <c r="O78" t="e">
        <v>#N/A</v>
      </c>
      <c r="P78">
        <v>83.2</v>
      </c>
      <c r="Q78" s="1" t="s">
        <v>29</v>
      </c>
      <c r="S78" t="str">
        <f t="shared" si="1"/>
        <v/>
      </c>
    </row>
    <row r="79" spans="1:19" x14ac:dyDescent="0.4">
      <c r="A79" s="1">
        <v>38869</v>
      </c>
      <c r="B79" s="10" t="e">
        <v>#N/A</v>
      </c>
      <c r="C79" s="2">
        <v>4.2949999999999999</v>
      </c>
      <c r="D79">
        <v>1.6</v>
      </c>
      <c r="E79" t="e">
        <v>#N/A</v>
      </c>
      <c r="F79">
        <v>6.7</v>
      </c>
      <c r="G79" s="6">
        <v>1260</v>
      </c>
      <c r="H79" t="e">
        <v>#N/A</v>
      </c>
      <c r="I79" s="3">
        <v>7.8575961291790009E-2</v>
      </c>
      <c r="L79">
        <v>121.3</v>
      </c>
      <c r="M79">
        <v>107.3</v>
      </c>
      <c r="N79" t="e">
        <v>#N/A</v>
      </c>
      <c r="O79" t="e">
        <v>#N/A</v>
      </c>
      <c r="P79">
        <v>83</v>
      </c>
      <c r="Q79" s="1" t="e">
        <v>#N/A</v>
      </c>
      <c r="S79" t="str">
        <f t="shared" si="1"/>
        <v/>
      </c>
    </row>
    <row r="80" spans="1:19" x14ac:dyDescent="0.4">
      <c r="A80" s="1">
        <v>38899</v>
      </c>
      <c r="B80" s="10">
        <v>167932</v>
      </c>
      <c r="C80" s="2">
        <v>4.306</v>
      </c>
      <c r="D80">
        <v>1.5</v>
      </c>
      <c r="E80">
        <v>102.9</v>
      </c>
      <c r="F80">
        <v>6.6</v>
      </c>
      <c r="G80" s="6">
        <v>1219</v>
      </c>
      <c r="H80" t="e">
        <v>#N/A</v>
      </c>
      <c r="I80" s="3">
        <v>0.3430313766002655</v>
      </c>
      <c r="L80">
        <v>119.5</v>
      </c>
      <c r="M80">
        <v>107.3</v>
      </c>
      <c r="N80">
        <v>108.4</v>
      </c>
      <c r="O80">
        <v>138140.9</v>
      </c>
      <c r="P80">
        <v>85.2</v>
      </c>
      <c r="Q80" s="1" t="e">
        <v>#N/A</v>
      </c>
      <c r="S80" t="str">
        <f t="shared" si="1"/>
        <v>2006-Q3</v>
      </c>
    </row>
    <row r="81" spans="1:19" x14ac:dyDescent="0.4">
      <c r="A81" s="1">
        <v>38930</v>
      </c>
      <c r="B81" s="10" t="e">
        <v>#N/A</v>
      </c>
      <c r="C81" s="2">
        <v>4.1710000000000003</v>
      </c>
      <c r="D81">
        <v>1.7</v>
      </c>
      <c r="E81" t="e">
        <v>#N/A</v>
      </c>
      <c r="F81">
        <v>6.7</v>
      </c>
      <c r="G81" s="6">
        <v>1219</v>
      </c>
      <c r="H81" t="e">
        <v>#N/A</v>
      </c>
      <c r="I81" s="3">
        <v>0.26139995455741882</v>
      </c>
      <c r="L81">
        <v>121.3</v>
      </c>
      <c r="M81">
        <v>107</v>
      </c>
      <c r="N81" t="e">
        <v>#N/A</v>
      </c>
      <c r="O81" t="e">
        <v>#N/A</v>
      </c>
      <c r="P81">
        <v>85.7</v>
      </c>
      <c r="Q81" s="1" t="e">
        <v>#N/A</v>
      </c>
      <c r="S81" t="str">
        <f t="shared" si="1"/>
        <v/>
      </c>
    </row>
    <row r="82" spans="1:19" x14ac:dyDescent="0.4">
      <c r="A82" s="1">
        <v>38961</v>
      </c>
      <c r="B82" s="10" t="e">
        <v>#N/A</v>
      </c>
      <c r="C82" s="2">
        <v>4.0359999999999996</v>
      </c>
      <c r="D82">
        <v>2</v>
      </c>
      <c r="E82" t="e">
        <v>#N/A</v>
      </c>
      <c r="F82">
        <v>6.7</v>
      </c>
      <c r="G82" s="6">
        <v>1219</v>
      </c>
      <c r="H82" t="e">
        <v>#N/A</v>
      </c>
      <c r="I82" s="3">
        <v>0.23979359865188599</v>
      </c>
      <c r="L82">
        <v>121</v>
      </c>
      <c r="M82">
        <v>106.6</v>
      </c>
      <c r="N82" t="e">
        <v>#N/A</v>
      </c>
      <c r="O82" t="e">
        <v>#N/A</v>
      </c>
      <c r="P82">
        <v>83.7</v>
      </c>
      <c r="Q82" s="1" t="e">
        <v>#N/A</v>
      </c>
      <c r="S82" t="str">
        <f t="shared" si="1"/>
        <v/>
      </c>
    </row>
    <row r="83" spans="1:19" x14ac:dyDescent="0.4">
      <c r="A83" s="1">
        <v>38991</v>
      </c>
      <c r="B83" s="10">
        <v>230781</v>
      </c>
      <c r="C83" s="2">
        <v>4.07</v>
      </c>
      <c r="D83">
        <v>2</v>
      </c>
      <c r="E83">
        <v>100.3</v>
      </c>
      <c r="F83">
        <v>6.7</v>
      </c>
      <c r="G83" s="6">
        <v>1188</v>
      </c>
      <c r="H83" t="e">
        <v>#N/A</v>
      </c>
      <c r="I83" s="3">
        <v>8.6322367191314697E-2</v>
      </c>
      <c r="L83">
        <v>121.2</v>
      </c>
      <c r="M83">
        <v>107.6</v>
      </c>
      <c r="N83">
        <v>109.4</v>
      </c>
      <c r="O83">
        <v>171325.8</v>
      </c>
      <c r="P83">
        <v>82.1</v>
      </c>
      <c r="Q83" s="1" t="s">
        <v>31</v>
      </c>
      <c r="S83" t="str">
        <f t="shared" si="1"/>
        <v>2006-Q4</v>
      </c>
    </row>
    <row r="84" spans="1:19" x14ac:dyDescent="0.4">
      <c r="A84" s="1">
        <v>39022</v>
      </c>
      <c r="B84" s="10" t="e">
        <v>#N/A</v>
      </c>
      <c r="C84" s="2">
        <v>3.97</v>
      </c>
      <c r="D84">
        <v>2</v>
      </c>
      <c r="E84" t="e">
        <v>#N/A</v>
      </c>
      <c r="F84">
        <v>6.6</v>
      </c>
      <c r="G84" s="6">
        <v>1188</v>
      </c>
      <c r="H84" t="e">
        <v>#N/A</v>
      </c>
      <c r="I84" s="3">
        <v>0.11841505765914917</v>
      </c>
      <c r="L84">
        <v>121.2</v>
      </c>
      <c r="M84">
        <v>107.3</v>
      </c>
      <c r="N84" t="e">
        <v>#N/A</v>
      </c>
      <c r="O84" t="e">
        <v>#N/A</v>
      </c>
      <c r="P84">
        <v>81.900000000000006</v>
      </c>
      <c r="Q84" s="1" t="e">
        <v>#N/A</v>
      </c>
      <c r="S84" t="str">
        <f t="shared" si="1"/>
        <v/>
      </c>
    </row>
    <row r="85" spans="1:19" x14ac:dyDescent="0.4">
      <c r="A85" s="1">
        <v>39052</v>
      </c>
      <c r="B85" s="10" t="e">
        <v>#N/A</v>
      </c>
      <c r="C85" s="2">
        <v>4.0380000000000003</v>
      </c>
      <c r="D85">
        <v>2</v>
      </c>
      <c r="E85" t="e">
        <v>#N/A</v>
      </c>
      <c r="F85">
        <v>6.3</v>
      </c>
      <c r="G85" s="6">
        <v>1188</v>
      </c>
      <c r="H85" t="e">
        <v>#N/A</v>
      </c>
      <c r="I85" s="3">
        <v>0.10727521032094955</v>
      </c>
      <c r="L85">
        <v>123.4</v>
      </c>
      <c r="M85">
        <v>107.7</v>
      </c>
      <c r="N85" t="e">
        <v>#N/A</v>
      </c>
      <c r="O85" t="e">
        <v>#N/A</v>
      </c>
      <c r="P85">
        <v>81.8</v>
      </c>
      <c r="Q85" s="1" t="e">
        <v>#N/A</v>
      </c>
      <c r="S85" t="str">
        <f t="shared" si="1"/>
        <v/>
      </c>
    </row>
    <row r="86" spans="1:19" x14ac:dyDescent="0.4">
      <c r="A86" s="1">
        <v>39083</v>
      </c>
      <c r="B86" s="10">
        <v>172125</v>
      </c>
      <c r="C86" s="2">
        <v>4.2629999999999999</v>
      </c>
      <c r="D86">
        <v>1.9</v>
      </c>
      <c r="E86">
        <v>101</v>
      </c>
      <c r="F86">
        <v>6.3</v>
      </c>
      <c r="G86" s="6">
        <v>1119</v>
      </c>
      <c r="H86" t="e">
        <v>#N/A</v>
      </c>
      <c r="I86" s="3">
        <v>7.4119828641414642E-2</v>
      </c>
      <c r="L86">
        <v>122</v>
      </c>
      <c r="M86">
        <v>107.1</v>
      </c>
      <c r="N86">
        <v>108.9</v>
      </c>
      <c r="O86">
        <v>139216.6</v>
      </c>
      <c r="P86">
        <v>81.8</v>
      </c>
      <c r="Q86" s="1" t="e">
        <v>#N/A</v>
      </c>
      <c r="S86" t="str">
        <f t="shared" si="1"/>
        <v>2007-Q1</v>
      </c>
    </row>
    <row r="87" spans="1:19" x14ac:dyDescent="0.4">
      <c r="A87" s="1">
        <v>39114</v>
      </c>
      <c r="B87" s="10" t="e">
        <v>#N/A</v>
      </c>
      <c r="C87" s="2">
        <v>4.28</v>
      </c>
      <c r="D87">
        <v>2.2999999999999998</v>
      </c>
      <c r="E87" t="e">
        <v>#N/A</v>
      </c>
      <c r="F87">
        <v>6.1</v>
      </c>
      <c r="G87" s="6">
        <v>1119</v>
      </c>
      <c r="H87" t="e">
        <v>#N/A</v>
      </c>
      <c r="I87" s="3">
        <v>0.10231023281812668</v>
      </c>
      <c r="L87">
        <v>122.9</v>
      </c>
      <c r="M87">
        <v>106.5</v>
      </c>
      <c r="N87" t="e">
        <v>#N/A</v>
      </c>
      <c r="O87" t="e">
        <v>#N/A</v>
      </c>
      <c r="P87">
        <v>81.2</v>
      </c>
      <c r="Q87" s="1" t="e">
        <v>#N/A</v>
      </c>
      <c r="S87" t="str">
        <f t="shared" si="1"/>
        <v/>
      </c>
    </row>
    <row r="88" spans="1:19" x14ac:dyDescent="0.4">
      <c r="A88" s="1">
        <v>39142</v>
      </c>
      <c r="B88" s="10" t="e">
        <v>#N/A</v>
      </c>
      <c r="C88" s="2">
        <v>4.1760000000000002</v>
      </c>
      <c r="D88">
        <v>2.1</v>
      </c>
      <c r="E88" t="e">
        <v>#N/A</v>
      </c>
      <c r="F88">
        <v>6.1</v>
      </c>
      <c r="G88" s="6">
        <v>1119</v>
      </c>
      <c r="H88" t="e">
        <v>#N/A</v>
      </c>
      <c r="I88" s="3">
        <v>8.0957613885402679E-2</v>
      </c>
      <c r="L88">
        <v>123.8</v>
      </c>
      <c r="M88">
        <v>108.1</v>
      </c>
      <c r="N88" t="e">
        <v>#N/A</v>
      </c>
      <c r="O88" t="e">
        <v>#N/A</v>
      </c>
      <c r="P88">
        <v>81.900000000000006</v>
      </c>
      <c r="Q88" s="1" t="e">
        <v>#N/A</v>
      </c>
      <c r="S88" t="str">
        <f t="shared" si="1"/>
        <v/>
      </c>
    </row>
    <row r="89" spans="1:19" x14ac:dyDescent="0.4">
      <c r="A89" s="1">
        <v>39173</v>
      </c>
      <c r="B89" s="10">
        <v>178884</v>
      </c>
      <c r="C89" s="2">
        <v>4.37</v>
      </c>
      <c r="D89">
        <v>2</v>
      </c>
      <c r="E89">
        <v>101</v>
      </c>
      <c r="F89">
        <v>5.8</v>
      </c>
      <c r="G89" s="6">
        <v>1098</v>
      </c>
      <c r="H89" t="e">
        <v>#N/A</v>
      </c>
      <c r="I89" s="3">
        <v>6.7303374409675598E-2</v>
      </c>
      <c r="L89">
        <v>121.4</v>
      </c>
      <c r="M89">
        <v>106.8</v>
      </c>
      <c r="N89">
        <v>109</v>
      </c>
      <c r="O89">
        <v>152812.4</v>
      </c>
      <c r="P89">
        <v>82.3</v>
      </c>
      <c r="Q89" s="1" t="e">
        <v>#N/A</v>
      </c>
      <c r="S89" t="str">
        <f t="shared" si="1"/>
        <v>2007-Q2</v>
      </c>
    </row>
    <row r="90" spans="1:19" x14ac:dyDescent="0.4">
      <c r="A90" s="1">
        <v>39203</v>
      </c>
      <c r="B90" s="10" t="e">
        <v>#N/A</v>
      </c>
      <c r="C90" s="2">
        <v>4.49</v>
      </c>
      <c r="D90">
        <v>2.1</v>
      </c>
      <c r="E90" t="e">
        <v>#N/A</v>
      </c>
      <c r="F90">
        <v>6.2</v>
      </c>
      <c r="G90" s="6">
        <v>1098</v>
      </c>
      <c r="H90" t="e">
        <v>#N/A</v>
      </c>
      <c r="I90" s="3">
        <v>9.7339391708374023E-2</v>
      </c>
      <c r="L90">
        <v>123.9</v>
      </c>
      <c r="M90">
        <v>107.3</v>
      </c>
      <c r="N90" t="e">
        <v>#N/A</v>
      </c>
      <c r="O90" t="e">
        <v>#N/A</v>
      </c>
      <c r="P90">
        <v>83.1</v>
      </c>
      <c r="Q90" s="1" t="e">
        <v>#N/A</v>
      </c>
      <c r="S90" t="str">
        <f t="shared" si="1"/>
        <v/>
      </c>
    </row>
    <row r="91" spans="1:19" x14ac:dyDescent="0.4">
      <c r="A91" s="1">
        <v>39234</v>
      </c>
      <c r="B91" s="10" t="e">
        <v>#N/A</v>
      </c>
      <c r="C91" s="2">
        <v>4.7720000000000002</v>
      </c>
      <c r="D91">
        <v>2.1</v>
      </c>
      <c r="E91" t="e">
        <v>#N/A</v>
      </c>
      <c r="F91">
        <v>6</v>
      </c>
      <c r="G91" s="6">
        <v>1098</v>
      </c>
      <c r="H91" t="e">
        <v>#N/A</v>
      </c>
      <c r="I91" s="3">
        <v>0.12679895758628845</v>
      </c>
      <c r="L91">
        <v>123.2</v>
      </c>
      <c r="M91">
        <v>107.2</v>
      </c>
      <c r="N91" t="e">
        <v>#N/A</v>
      </c>
      <c r="O91" t="e">
        <v>#N/A</v>
      </c>
      <c r="P91">
        <v>84.1</v>
      </c>
      <c r="Q91" s="1" t="e">
        <v>#N/A</v>
      </c>
      <c r="S91" t="str">
        <f t="shared" si="1"/>
        <v/>
      </c>
    </row>
    <row r="92" spans="1:19" x14ac:dyDescent="0.4">
      <c r="A92" s="1">
        <v>39264</v>
      </c>
      <c r="B92" s="10">
        <v>173179</v>
      </c>
      <c r="C92" s="2">
        <v>4.76</v>
      </c>
      <c r="D92">
        <v>1.9</v>
      </c>
      <c r="E92">
        <v>99.8</v>
      </c>
      <c r="F92">
        <v>6.3</v>
      </c>
      <c r="G92" s="6">
        <v>1137</v>
      </c>
      <c r="H92" t="e">
        <v>#N/A</v>
      </c>
      <c r="I92" s="3">
        <v>0.15537500381469727</v>
      </c>
      <c r="L92">
        <v>122.4</v>
      </c>
      <c r="M92">
        <v>106.8</v>
      </c>
      <c r="N92">
        <v>110.1</v>
      </c>
      <c r="O92">
        <v>142176.9</v>
      </c>
      <c r="P92">
        <v>84.4</v>
      </c>
      <c r="Q92" s="1" t="e">
        <v>#N/A</v>
      </c>
      <c r="S92" t="str">
        <f t="shared" si="1"/>
        <v>2007-Q3</v>
      </c>
    </row>
    <row r="93" spans="1:19" x14ac:dyDescent="0.4">
      <c r="A93" s="1">
        <v>39295</v>
      </c>
      <c r="B93" s="10" t="e">
        <v>#N/A</v>
      </c>
      <c r="C93" s="2">
        <v>4.5839999999999996</v>
      </c>
      <c r="D93">
        <v>2</v>
      </c>
      <c r="E93" t="e">
        <v>#N/A</v>
      </c>
      <c r="F93">
        <v>6.2</v>
      </c>
      <c r="G93" s="6">
        <v>1137</v>
      </c>
      <c r="H93" t="e">
        <v>#N/A</v>
      </c>
      <c r="I93" s="3">
        <v>0.10791252553462982</v>
      </c>
      <c r="L93">
        <v>127.2</v>
      </c>
      <c r="M93">
        <v>107.4</v>
      </c>
      <c r="N93" t="e">
        <v>#N/A</v>
      </c>
      <c r="O93" t="e">
        <v>#N/A</v>
      </c>
      <c r="P93">
        <v>83.9</v>
      </c>
      <c r="Q93" s="1" t="e">
        <v>#N/A</v>
      </c>
      <c r="S93" t="str">
        <f t="shared" si="1"/>
        <v/>
      </c>
    </row>
    <row r="94" spans="1:19" x14ac:dyDescent="0.4">
      <c r="A94" s="1">
        <v>39326</v>
      </c>
      <c r="B94" s="10" t="e">
        <v>#N/A</v>
      </c>
      <c r="C94" s="2">
        <v>4.5739999999999998</v>
      </c>
      <c r="D94">
        <v>2</v>
      </c>
      <c r="E94" t="e">
        <v>#N/A</v>
      </c>
      <c r="F94">
        <v>6.2</v>
      </c>
      <c r="G94" s="6">
        <v>1137</v>
      </c>
      <c r="H94" t="e">
        <v>#N/A</v>
      </c>
      <c r="I94" s="3">
        <v>8.1331335008144379E-2</v>
      </c>
      <c r="L94">
        <v>123.8</v>
      </c>
      <c r="M94">
        <v>106.6</v>
      </c>
      <c r="N94" t="e">
        <v>#N/A</v>
      </c>
      <c r="O94" t="e">
        <v>#N/A</v>
      </c>
      <c r="P94">
        <v>83.6</v>
      </c>
      <c r="Q94" s="1" t="e">
        <v>#N/A</v>
      </c>
      <c r="S94" t="str">
        <f t="shared" si="1"/>
        <v/>
      </c>
    </row>
    <row r="95" spans="1:19" x14ac:dyDescent="0.4">
      <c r="A95" s="1">
        <v>39356</v>
      </c>
      <c r="B95" s="10">
        <v>231537</v>
      </c>
      <c r="C95" s="2">
        <v>4.5910000000000002</v>
      </c>
      <c r="D95">
        <v>2.2000000000000002</v>
      </c>
      <c r="E95">
        <v>97.4</v>
      </c>
      <c r="F95">
        <v>6.3</v>
      </c>
      <c r="G95" s="6">
        <v>1178</v>
      </c>
      <c r="H95" t="e">
        <v>#N/A</v>
      </c>
      <c r="I95" s="3">
        <v>0.11441975086927414</v>
      </c>
      <c r="L95">
        <v>122.6</v>
      </c>
      <c r="M95">
        <v>106.2</v>
      </c>
      <c r="N95">
        <v>109.8</v>
      </c>
      <c r="O95">
        <v>180692.6</v>
      </c>
      <c r="P95">
        <v>84.6</v>
      </c>
      <c r="Q95" s="1" t="e">
        <v>#N/A</v>
      </c>
      <c r="S95" t="str">
        <f t="shared" si="1"/>
        <v>2007-Q4</v>
      </c>
    </row>
    <row r="96" spans="1:19" x14ac:dyDescent="0.4">
      <c r="A96" s="1">
        <v>39387</v>
      </c>
      <c r="B96" s="10" t="e">
        <v>#N/A</v>
      </c>
      <c r="C96" s="2">
        <v>4.4489999999999998</v>
      </c>
      <c r="D96">
        <v>2.2999999999999998</v>
      </c>
      <c r="E96" t="e">
        <v>#N/A</v>
      </c>
      <c r="F96">
        <v>6.3</v>
      </c>
      <c r="G96" s="6">
        <v>1178</v>
      </c>
      <c r="H96" t="e">
        <v>#N/A</v>
      </c>
      <c r="I96" s="3">
        <v>0.11384403705596924</v>
      </c>
      <c r="L96">
        <v>121</v>
      </c>
      <c r="M96">
        <v>106.6</v>
      </c>
      <c r="N96" t="e">
        <v>#N/A</v>
      </c>
      <c r="O96" t="e">
        <v>#N/A</v>
      </c>
      <c r="P96">
        <v>86.1</v>
      </c>
      <c r="Q96" s="1" t="e">
        <v>#N/A</v>
      </c>
      <c r="S96" t="str">
        <f t="shared" si="1"/>
        <v/>
      </c>
    </row>
    <row r="97" spans="1:19" x14ac:dyDescent="0.4">
      <c r="A97" s="1">
        <v>39417</v>
      </c>
      <c r="B97" s="10" t="e">
        <v>#N/A</v>
      </c>
      <c r="C97" s="2">
        <v>4.5380000000000003</v>
      </c>
      <c r="D97">
        <v>2.4</v>
      </c>
      <c r="E97" t="e">
        <v>#N/A</v>
      </c>
      <c r="F97">
        <v>6.7</v>
      </c>
      <c r="G97" s="6">
        <v>1178</v>
      </c>
      <c r="H97" t="e">
        <v>#N/A</v>
      </c>
      <c r="I97" s="3">
        <v>0.11017855256795883</v>
      </c>
      <c r="L97">
        <v>121.8</v>
      </c>
      <c r="M97">
        <v>106</v>
      </c>
      <c r="N97" t="e">
        <v>#N/A</v>
      </c>
      <c r="O97" t="e">
        <v>#N/A</v>
      </c>
      <c r="P97">
        <v>87.1</v>
      </c>
      <c r="Q97" s="1" t="e">
        <v>#N/A</v>
      </c>
      <c r="S97" t="str">
        <f t="shared" si="1"/>
        <v/>
      </c>
    </row>
    <row r="98" spans="1:19" x14ac:dyDescent="0.4">
      <c r="A98" s="1">
        <v>39448</v>
      </c>
      <c r="B98" s="10">
        <v>178970</v>
      </c>
      <c r="C98" s="2">
        <v>4.399</v>
      </c>
      <c r="D98">
        <v>2.7</v>
      </c>
      <c r="E98">
        <v>99.8</v>
      </c>
      <c r="F98">
        <v>6.7</v>
      </c>
      <c r="G98" s="6">
        <v>1246</v>
      </c>
      <c r="H98" t="e">
        <v>#N/A</v>
      </c>
      <c r="I98" s="3">
        <v>6.8508081138134003E-2</v>
      </c>
      <c r="L98">
        <v>124.5</v>
      </c>
      <c r="M98">
        <v>105.4</v>
      </c>
      <c r="N98">
        <v>110.3</v>
      </c>
      <c r="O98">
        <v>146520.79999999999</v>
      </c>
      <c r="P98">
        <v>88.5</v>
      </c>
      <c r="Q98" s="1" t="e">
        <v>#N/A</v>
      </c>
      <c r="S98" t="str">
        <f t="shared" si="1"/>
        <v>2008-Q1</v>
      </c>
    </row>
    <row r="99" spans="1:19" x14ac:dyDescent="0.4">
      <c r="A99" s="1">
        <v>39479</v>
      </c>
      <c r="B99" s="10" t="e">
        <v>#N/A</v>
      </c>
      <c r="C99" s="2">
        <v>4.3540000000000001</v>
      </c>
      <c r="D99">
        <v>2.6</v>
      </c>
      <c r="E99" t="e">
        <v>#N/A</v>
      </c>
      <c r="F99">
        <v>6.7</v>
      </c>
      <c r="G99" s="6">
        <v>1246</v>
      </c>
      <c r="H99" t="e">
        <v>#N/A</v>
      </c>
      <c r="I99" s="3">
        <v>6.0392230749130249E-2</v>
      </c>
      <c r="L99">
        <v>123.6</v>
      </c>
      <c r="M99">
        <v>105.4</v>
      </c>
      <c r="N99" t="e">
        <v>#N/A</v>
      </c>
      <c r="O99" t="e">
        <v>#N/A</v>
      </c>
      <c r="P99">
        <v>88.5</v>
      </c>
      <c r="Q99" s="1" t="e">
        <v>#N/A</v>
      </c>
      <c r="S99" t="str">
        <f t="shared" si="1"/>
        <v/>
      </c>
    </row>
    <row r="100" spans="1:19" x14ac:dyDescent="0.4">
      <c r="A100" s="1">
        <v>39508</v>
      </c>
      <c r="B100" s="10" t="e">
        <v>#N/A</v>
      </c>
      <c r="C100" s="2">
        <v>4.3769999999999998</v>
      </c>
      <c r="D100">
        <v>3</v>
      </c>
      <c r="E100" t="e">
        <v>#N/A</v>
      </c>
      <c r="F100">
        <v>6.4</v>
      </c>
      <c r="G100" s="6">
        <v>1246</v>
      </c>
      <c r="H100" t="e">
        <v>#N/A</v>
      </c>
      <c r="I100" s="3">
        <v>6.1931010335683823E-2</v>
      </c>
      <c r="L100">
        <v>124.3</v>
      </c>
      <c r="M100">
        <v>104.3</v>
      </c>
      <c r="N100" t="e">
        <v>#N/A</v>
      </c>
      <c r="O100" t="e">
        <v>#N/A</v>
      </c>
      <c r="P100">
        <v>89.9</v>
      </c>
      <c r="Q100" s="1" t="e">
        <v>#N/A</v>
      </c>
      <c r="S100" t="str">
        <f t="shared" si="1"/>
        <v/>
      </c>
    </row>
    <row r="101" spans="1:19" x14ac:dyDescent="0.4">
      <c r="A101" s="1">
        <v>39539</v>
      </c>
      <c r="B101" s="10">
        <v>190864</v>
      </c>
      <c r="C101" s="2">
        <v>4.532</v>
      </c>
      <c r="D101">
        <v>2.9</v>
      </c>
      <c r="E101">
        <v>99.1</v>
      </c>
      <c r="F101">
        <v>6.8</v>
      </c>
      <c r="G101" s="6">
        <v>1296</v>
      </c>
      <c r="H101" t="e">
        <v>#N/A</v>
      </c>
      <c r="I101" s="3">
        <v>5.7005319744348526E-2</v>
      </c>
      <c r="L101">
        <v>125.6</v>
      </c>
      <c r="M101">
        <v>105</v>
      </c>
      <c r="N101">
        <v>109.3</v>
      </c>
      <c r="O101">
        <v>158650.20000000001</v>
      </c>
      <c r="P101">
        <v>90.9</v>
      </c>
      <c r="Q101" s="1" t="e">
        <v>#N/A</v>
      </c>
      <c r="S101" t="str">
        <f t="shared" si="1"/>
        <v>2008-Q2</v>
      </c>
    </row>
    <row r="102" spans="1:19" x14ac:dyDescent="0.4">
      <c r="A102" s="1">
        <v>39569</v>
      </c>
      <c r="B102" s="10" t="e">
        <v>#N/A</v>
      </c>
      <c r="C102" s="2">
        <v>4.7030000000000003</v>
      </c>
      <c r="D102">
        <v>2.8</v>
      </c>
      <c r="E102" t="e">
        <v>#N/A</v>
      </c>
      <c r="F102">
        <v>6.8</v>
      </c>
      <c r="G102" s="6">
        <v>1296</v>
      </c>
      <c r="H102" t="e">
        <v>#N/A</v>
      </c>
      <c r="I102" s="3">
        <v>9.1589070856571198E-2</v>
      </c>
      <c r="L102">
        <v>121</v>
      </c>
      <c r="M102">
        <v>105</v>
      </c>
      <c r="N102" t="e">
        <v>#N/A</v>
      </c>
      <c r="O102" t="e">
        <v>#N/A</v>
      </c>
      <c r="P102">
        <v>93.9</v>
      </c>
      <c r="Q102" s="1" t="e">
        <v>#N/A</v>
      </c>
      <c r="S102" t="str">
        <f t="shared" si="1"/>
        <v/>
      </c>
    </row>
    <row r="103" spans="1:19" x14ac:dyDescent="0.4">
      <c r="A103" s="1">
        <v>39600</v>
      </c>
      <c r="B103" s="10" t="e">
        <v>#N/A</v>
      </c>
      <c r="C103" s="2">
        <v>5.1059999999999999</v>
      </c>
      <c r="D103">
        <v>3.1</v>
      </c>
      <c r="E103" t="e">
        <v>#N/A</v>
      </c>
      <c r="F103">
        <v>6.9</v>
      </c>
      <c r="G103" s="6">
        <v>1296</v>
      </c>
      <c r="H103" t="e">
        <v>#N/A</v>
      </c>
      <c r="I103" s="3">
        <v>0.13374216854572296</v>
      </c>
      <c r="L103">
        <v>122.3</v>
      </c>
      <c r="M103">
        <v>104.2</v>
      </c>
      <c r="N103" t="e">
        <v>#N/A</v>
      </c>
      <c r="O103" t="e">
        <v>#N/A</v>
      </c>
      <c r="P103">
        <v>96.5</v>
      </c>
      <c r="Q103" s="1" t="e">
        <v>#N/A</v>
      </c>
      <c r="S103" t="str">
        <f t="shared" si="1"/>
        <v/>
      </c>
    </row>
    <row r="104" spans="1:19" x14ac:dyDescent="0.4">
      <c r="A104" s="1">
        <v>39630</v>
      </c>
      <c r="B104" s="10">
        <v>180825</v>
      </c>
      <c r="C104" s="2">
        <v>5.0949999999999998</v>
      </c>
      <c r="D104">
        <v>3</v>
      </c>
      <c r="E104">
        <v>98.6</v>
      </c>
      <c r="F104">
        <v>6.6</v>
      </c>
      <c r="G104" s="6">
        <v>1264</v>
      </c>
      <c r="H104" t="e">
        <v>#N/A</v>
      </c>
      <c r="I104" s="3">
        <v>8.5868090391159058E-2</v>
      </c>
      <c r="L104">
        <v>118.4</v>
      </c>
      <c r="M104">
        <v>104.3</v>
      </c>
      <c r="N104">
        <v>109</v>
      </c>
      <c r="O104">
        <v>149064.20000000001</v>
      </c>
      <c r="P104">
        <v>98.4</v>
      </c>
      <c r="Q104" s="1" t="e">
        <v>#N/A</v>
      </c>
      <c r="S104" t="str">
        <f t="shared" si="1"/>
        <v>2008-Q3</v>
      </c>
    </row>
    <row r="105" spans="1:19" x14ac:dyDescent="0.4">
      <c r="A105" s="1">
        <v>39661</v>
      </c>
      <c r="B105" s="10" t="e">
        <v>#N/A</v>
      </c>
      <c r="C105" s="2">
        <v>4.8140000000000001</v>
      </c>
      <c r="D105">
        <v>3.3</v>
      </c>
      <c r="E105" t="e">
        <v>#N/A</v>
      </c>
      <c r="F105">
        <v>6.8</v>
      </c>
      <c r="G105" s="6">
        <v>1264</v>
      </c>
      <c r="H105" t="e">
        <v>#N/A</v>
      </c>
      <c r="I105" s="3">
        <v>0.10010343790054321</v>
      </c>
      <c r="L105">
        <v>115.8</v>
      </c>
      <c r="M105">
        <v>103.6</v>
      </c>
      <c r="N105" t="e">
        <v>#N/A</v>
      </c>
      <c r="O105" t="e">
        <v>#N/A</v>
      </c>
      <c r="P105">
        <v>96</v>
      </c>
      <c r="Q105" s="1" t="e">
        <v>#N/A</v>
      </c>
      <c r="S105" t="str">
        <f t="shared" si="1"/>
        <v/>
      </c>
    </row>
    <row r="106" spans="1:19" x14ac:dyDescent="0.4">
      <c r="A106" s="1">
        <v>39692</v>
      </c>
      <c r="B106" s="10" t="e">
        <v>#N/A</v>
      </c>
      <c r="C106" s="2">
        <v>4.8040000000000003</v>
      </c>
      <c r="D106">
        <v>3.1</v>
      </c>
      <c r="E106" t="e">
        <v>#N/A</v>
      </c>
      <c r="F106">
        <v>6.8</v>
      </c>
      <c r="G106" s="6">
        <v>1264</v>
      </c>
      <c r="H106" t="e">
        <v>#N/A</v>
      </c>
      <c r="I106" s="3">
        <v>0.12041918933391571</v>
      </c>
      <c r="L106">
        <v>114.9</v>
      </c>
      <c r="M106">
        <v>103.8</v>
      </c>
      <c r="N106" t="e">
        <v>#N/A</v>
      </c>
      <c r="O106" t="e">
        <v>#N/A</v>
      </c>
      <c r="P106">
        <v>94.9</v>
      </c>
      <c r="Q106" s="1" t="e">
        <v>#N/A</v>
      </c>
      <c r="S106" t="str">
        <f t="shared" si="1"/>
        <v/>
      </c>
    </row>
    <row r="107" spans="1:19" x14ac:dyDescent="0.4">
      <c r="A107" s="1">
        <v>39722</v>
      </c>
      <c r="B107" s="10">
        <v>234232</v>
      </c>
      <c r="C107" s="2">
        <v>4.78</v>
      </c>
      <c r="D107">
        <v>3</v>
      </c>
      <c r="E107">
        <v>100.1</v>
      </c>
      <c r="F107">
        <v>7</v>
      </c>
      <c r="G107" s="6">
        <v>1317</v>
      </c>
      <c r="H107" t="e">
        <v>#N/A</v>
      </c>
      <c r="I107" s="3">
        <v>7.4976570904254913E-2</v>
      </c>
      <c r="L107">
        <v>112.5</v>
      </c>
      <c r="M107">
        <v>102.2</v>
      </c>
      <c r="N107">
        <v>107.8</v>
      </c>
      <c r="O107">
        <v>182467.6</v>
      </c>
      <c r="P107">
        <v>93.4</v>
      </c>
      <c r="Q107" s="1" t="e">
        <v>#N/A</v>
      </c>
      <c r="S107" t="str">
        <f t="shared" si="1"/>
        <v>2008-Q4</v>
      </c>
    </row>
    <row r="108" spans="1:19" x14ac:dyDescent="0.4">
      <c r="A108" s="1">
        <v>39753</v>
      </c>
      <c r="B108" s="10" t="e">
        <v>#N/A</v>
      </c>
      <c r="C108" s="2">
        <v>4.7430000000000003</v>
      </c>
      <c r="D108">
        <v>2.8</v>
      </c>
      <c r="E108" t="e">
        <v>#N/A</v>
      </c>
      <c r="F108">
        <v>7.1</v>
      </c>
      <c r="G108" s="6">
        <v>1317</v>
      </c>
      <c r="H108" t="e">
        <v>#N/A</v>
      </c>
      <c r="I108" s="3">
        <v>7.4334368109703064E-2</v>
      </c>
      <c r="L108">
        <v>108.6</v>
      </c>
      <c r="M108">
        <v>103.5</v>
      </c>
      <c r="N108" t="e">
        <v>#N/A</v>
      </c>
      <c r="O108" t="e">
        <v>#N/A</v>
      </c>
      <c r="P108">
        <v>88.9</v>
      </c>
      <c r="Q108" s="1" t="e">
        <v>#N/A</v>
      </c>
      <c r="S108" t="str">
        <f t="shared" si="1"/>
        <v/>
      </c>
    </row>
    <row r="109" spans="1:19" x14ac:dyDescent="0.4">
      <c r="A109" s="1">
        <v>39783</v>
      </c>
      <c r="B109" s="10" t="e">
        <v>#N/A</v>
      </c>
      <c r="C109" s="2">
        <v>4.4690000000000003</v>
      </c>
      <c r="D109">
        <v>2.7</v>
      </c>
      <c r="E109" t="e">
        <v>#N/A</v>
      </c>
      <c r="F109">
        <v>6.8</v>
      </c>
      <c r="G109" s="6">
        <v>1317</v>
      </c>
      <c r="H109" t="e">
        <v>#N/A</v>
      </c>
      <c r="I109" s="3">
        <v>5.9659197926521301E-2</v>
      </c>
      <c r="L109">
        <v>103.9</v>
      </c>
      <c r="M109">
        <v>102.2</v>
      </c>
      <c r="N109" t="e">
        <v>#N/A</v>
      </c>
      <c r="O109" t="e">
        <v>#N/A</v>
      </c>
      <c r="P109">
        <v>85.9</v>
      </c>
      <c r="Q109" s="1" t="e">
        <v>#N/A</v>
      </c>
      <c r="S109" t="str">
        <f t="shared" si="1"/>
        <v/>
      </c>
    </row>
    <row r="110" spans="1:19" x14ac:dyDescent="0.4">
      <c r="A110" s="1">
        <v>39814</v>
      </c>
      <c r="B110" s="10">
        <v>185956</v>
      </c>
      <c r="C110" s="2">
        <v>4.6210000000000004</v>
      </c>
      <c r="D110">
        <v>1.9</v>
      </c>
      <c r="E110">
        <v>105.9</v>
      </c>
      <c r="F110">
        <v>7.3</v>
      </c>
      <c r="G110" s="6">
        <v>1392</v>
      </c>
      <c r="H110">
        <v>43</v>
      </c>
      <c r="I110" s="3">
        <v>0.10712187737226486</v>
      </c>
      <c r="L110">
        <v>100.1</v>
      </c>
      <c r="M110">
        <v>102.2</v>
      </c>
      <c r="N110">
        <v>105.9</v>
      </c>
      <c r="O110">
        <v>145370.20000000001</v>
      </c>
      <c r="P110">
        <v>83.7</v>
      </c>
      <c r="Q110" s="1" t="e">
        <v>#N/A</v>
      </c>
      <c r="S110" t="str">
        <f t="shared" si="1"/>
        <v>2009-Q1</v>
      </c>
    </row>
    <row r="111" spans="1:19" x14ac:dyDescent="0.4">
      <c r="A111" s="1">
        <v>39845</v>
      </c>
      <c r="B111" s="10" t="e">
        <v>#N/A</v>
      </c>
      <c r="C111" s="2">
        <v>4.5359999999999996</v>
      </c>
      <c r="D111">
        <v>2.2000000000000002</v>
      </c>
      <c r="E111" t="e">
        <v>#N/A</v>
      </c>
      <c r="F111">
        <v>7.4</v>
      </c>
      <c r="G111" s="6">
        <v>1392</v>
      </c>
      <c r="H111" t="e">
        <v>#N/A</v>
      </c>
      <c r="I111" s="3">
        <v>3.3844765275716782E-2</v>
      </c>
      <c r="L111">
        <v>96.3</v>
      </c>
      <c r="M111">
        <v>102.4</v>
      </c>
      <c r="N111" t="e">
        <v>#N/A</v>
      </c>
      <c r="O111" t="e">
        <v>#N/A</v>
      </c>
      <c r="P111">
        <v>84.3</v>
      </c>
      <c r="Q111" s="1" t="e">
        <v>#N/A</v>
      </c>
      <c r="S111" t="str">
        <f t="shared" si="1"/>
        <v/>
      </c>
    </row>
    <row r="112" spans="1:19" x14ac:dyDescent="0.4">
      <c r="A112" s="1">
        <v>39873</v>
      </c>
      <c r="B112" s="10" t="e">
        <v>#N/A</v>
      </c>
      <c r="C112" s="2">
        <v>4.4580000000000002</v>
      </c>
      <c r="D112">
        <v>1.9</v>
      </c>
      <c r="E112" t="e">
        <v>#N/A</v>
      </c>
      <c r="F112">
        <v>7.7</v>
      </c>
      <c r="G112" s="6">
        <v>1392</v>
      </c>
      <c r="H112" t="e">
        <v>#N/A</v>
      </c>
      <c r="I112" s="3">
        <v>5.2043579518795013E-2</v>
      </c>
      <c r="L112">
        <v>92.6</v>
      </c>
      <c r="M112">
        <v>102.2</v>
      </c>
      <c r="N112" t="e">
        <v>#N/A</v>
      </c>
      <c r="O112" t="e">
        <v>#N/A</v>
      </c>
      <c r="P112">
        <v>84</v>
      </c>
      <c r="Q112" s="1" t="e">
        <v>#N/A</v>
      </c>
      <c r="S112" t="str">
        <f t="shared" si="1"/>
        <v/>
      </c>
    </row>
    <row r="113" spans="1:19" x14ac:dyDescent="0.4">
      <c r="A113" s="1">
        <v>39904</v>
      </c>
      <c r="B113" s="10">
        <v>193645</v>
      </c>
      <c r="C113" s="2">
        <v>4.3559999999999999</v>
      </c>
      <c r="D113">
        <v>2.1</v>
      </c>
      <c r="E113">
        <v>108.2</v>
      </c>
      <c r="F113">
        <v>7.5</v>
      </c>
      <c r="G113" s="6">
        <v>1428</v>
      </c>
      <c r="H113">
        <v>45.8</v>
      </c>
      <c r="I113" s="3">
        <v>8.3140544593334198E-2</v>
      </c>
      <c r="L113">
        <v>93.1</v>
      </c>
      <c r="M113">
        <v>102.6</v>
      </c>
      <c r="N113">
        <v>105.3</v>
      </c>
      <c r="O113">
        <v>157890.5</v>
      </c>
      <c r="P113">
        <v>83.3</v>
      </c>
      <c r="Q113" s="1" t="e">
        <v>#N/A</v>
      </c>
      <c r="S113" t="str">
        <f t="shared" si="1"/>
        <v>2009-Q2</v>
      </c>
    </row>
    <row r="114" spans="1:19" x14ac:dyDescent="0.4">
      <c r="A114" s="1">
        <v>39934</v>
      </c>
      <c r="B114" s="10" t="e">
        <v>#N/A</v>
      </c>
      <c r="C114" s="2">
        <v>4.415</v>
      </c>
      <c r="D114">
        <v>2</v>
      </c>
      <c r="E114" t="e">
        <v>#N/A</v>
      </c>
      <c r="F114">
        <v>7.5</v>
      </c>
      <c r="G114" s="6">
        <v>1428</v>
      </c>
      <c r="H114" t="e">
        <v>#N/A</v>
      </c>
      <c r="I114" s="3">
        <v>6.4729571342468262E-2</v>
      </c>
      <c r="L114">
        <v>94.7</v>
      </c>
      <c r="M114">
        <v>102.5</v>
      </c>
      <c r="N114" t="e">
        <v>#N/A</v>
      </c>
      <c r="O114" t="e">
        <v>#N/A</v>
      </c>
      <c r="P114">
        <v>83.5</v>
      </c>
      <c r="Q114" s="1" t="e">
        <v>#N/A</v>
      </c>
      <c r="S114" t="str">
        <f t="shared" si="1"/>
        <v/>
      </c>
    </row>
    <row r="115" spans="1:19" x14ac:dyDescent="0.4">
      <c r="A115" s="1">
        <v>39965</v>
      </c>
      <c r="B115" s="10" t="e">
        <v>#N/A</v>
      </c>
      <c r="C115" s="2">
        <v>4.6059999999999999</v>
      </c>
      <c r="D115">
        <v>1.7</v>
      </c>
      <c r="E115" t="e">
        <v>#N/A</v>
      </c>
      <c r="F115">
        <v>7.8</v>
      </c>
      <c r="G115" s="6">
        <v>1428</v>
      </c>
      <c r="H115" t="e">
        <v>#N/A</v>
      </c>
      <c r="I115" s="3">
        <v>0.15416431427001953</v>
      </c>
      <c r="L115">
        <v>93.9</v>
      </c>
      <c r="M115">
        <v>102.8</v>
      </c>
      <c r="N115" t="e">
        <v>#N/A</v>
      </c>
      <c r="O115" t="e">
        <v>#N/A</v>
      </c>
      <c r="P115">
        <v>85.3</v>
      </c>
      <c r="Q115" s="1" t="e">
        <v>#N/A</v>
      </c>
      <c r="S115" t="str">
        <f t="shared" si="1"/>
        <v/>
      </c>
    </row>
    <row r="116" spans="1:19" x14ac:dyDescent="0.4">
      <c r="A116" s="1">
        <v>39995</v>
      </c>
      <c r="B116" s="10">
        <v>187119</v>
      </c>
      <c r="C116" s="2">
        <v>4.3730000000000002</v>
      </c>
      <c r="D116">
        <v>1.3</v>
      </c>
      <c r="E116">
        <v>110.7</v>
      </c>
      <c r="F116">
        <v>7.9</v>
      </c>
      <c r="G116" s="6">
        <v>1512</v>
      </c>
      <c r="H116">
        <v>47.9</v>
      </c>
      <c r="I116" s="3">
        <v>0.15665596723556519</v>
      </c>
      <c r="L116">
        <v>96.1</v>
      </c>
      <c r="M116">
        <v>102.7</v>
      </c>
      <c r="N116">
        <v>104.6</v>
      </c>
      <c r="O116">
        <v>147181.79999999999</v>
      </c>
      <c r="P116">
        <v>84</v>
      </c>
      <c r="Q116" s="1" t="e">
        <v>#N/A</v>
      </c>
      <c r="S116" t="str">
        <f t="shared" si="1"/>
        <v>2009-Q3</v>
      </c>
    </row>
    <row r="117" spans="1:19" x14ac:dyDescent="0.4">
      <c r="A117" s="1">
        <v>40026</v>
      </c>
      <c r="B117" s="10" t="e">
        <v>#N/A</v>
      </c>
      <c r="C117" s="2">
        <v>4.1159999999999997</v>
      </c>
      <c r="D117">
        <v>1.3</v>
      </c>
      <c r="E117" t="e">
        <v>#N/A</v>
      </c>
      <c r="F117">
        <v>7.9</v>
      </c>
      <c r="G117" s="6">
        <v>1512</v>
      </c>
      <c r="H117" t="e">
        <v>#N/A</v>
      </c>
      <c r="I117" s="3">
        <v>4.801536351442337E-2</v>
      </c>
      <c r="L117">
        <v>94</v>
      </c>
      <c r="M117">
        <v>101.9</v>
      </c>
      <c r="N117" t="e">
        <v>#N/A</v>
      </c>
      <c r="O117" t="e">
        <v>#N/A</v>
      </c>
      <c r="P117">
        <v>84.5</v>
      </c>
      <c r="Q117" s="1" t="e">
        <v>#N/A</v>
      </c>
      <c r="S117" t="str">
        <f t="shared" si="1"/>
        <v/>
      </c>
    </row>
    <row r="118" spans="1:19" x14ac:dyDescent="0.4">
      <c r="A118" s="1">
        <v>40057</v>
      </c>
      <c r="B118" s="10" t="e">
        <v>#N/A</v>
      </c>
      <c r="C118" s="2">
        <v>4.0880000000000001</v>
      </c>
      <c r="D118">
        <v>1.4</v>
      </c>
      <c r="E118" t="e">
        <v>#N/A</v>
      </c>
      <c r="F118">
        <v>8.3000000000000007</v>
      </c>
      <c r="G118" s="6">
        <v>1512</v>
      </c>
      <c r="H118" t="e">
        <v>#N/A</v>
      </c>
      <c r="I118" s="3">
        <v>0.12140066176652908</v>
      </c>
      <c r="L118">
        <v>96.8</v>
      </c>
      <c r="M118">
        <v>102.5</v>
      </c>
      <c r="N118" t="e">
        <v>#N/A</v>
      </c>
      <c r="O118" t="e">
        <v>#N/A</v>
      </c>
      <c r="P118">
        <v>84.1</v>
      </c>
      <c r="Q118" s="1" t="e">
        <v>#N/A</v>
      </c>
      <c r="S118" t="str">
        <f t="shared" si="1"/>
        <v/>
      </c>
    </row>
    <row r="119" spans="1:19" x14ac:dyDescent="0.4">
      <c r="A119" s="1">
        <v>40087</v>
      </c>
      <c r="B119" s="10">
        <v>242008</v>
      </c>
      <c r="C119" s="2">
        <v>4.101</v>
      </c>
      <c r="D119">
        <v>1.3</v>
      </c>
      <c r="E119">
        <v>109.4</v>
      </c>
      <c r="F119">
        <v>8.3000000000000007</v>
      </c>
      <c r="G119" s="6">
        <v>1586</v>
      </c>
      <c r="H119">
        <v>48.5</v>
      </c>
      <c r="I119" s="3">
        <v>6.7562758922576904E-2</v>
      </c>
      <c r="L119">
        <v>98.6</v>
      </c>
      <c r="M119">
        <v>102.2</v>
      </c>
      <c r="N119">
        <v>104.6</v>
      </c>
      <c r="O119">
        <v>181873.9</v>
      </c>
      <c r="P119">
        <v>82.9</v>
      </c>
      <c r="Q119" s="1" t="e">
        <v>#N/A</v>
      </c>
      <c r="S119" t="str">
        <f t="shared" si="1"/>
        <v>2009-Q4</v>
      </c>
    </row>
    <row r="120" spans="1:19" x14ac:dyDescent="0.4">
      <c r="A120" s="1">
        <v>40118</v>
      </c>
      <c r="B120" s="10" t="e">
        <v>#N/A</v>
      </c>
      <c r="C120" s="2">
        <v>4.0570000000000004</v>
      </c>
      <c r="D120">
        <v>1.3</v>
      </c>
      <c r="E120" t="e">
        <v>#N/A</v>
      </c>
      <c r="F120">
        <v>8.4</v>
      </c>
      <c r="G120" s="6">
        <v>1586</v>
      </c>
      <c r="H120" t="e">
        <v>#N/A</v>
      </c>
      <c r="I120" s="3">
        <v>4.5743908733129501E-2</v>
      </c>
      <c r="L120">
        <v>98.7</v>
      </c>
      <c r="M120">
        <v>103.1</v>
      </c>
      <c r="N120" t="e">
        <v>#N/A</v>
      </c>
      <c r="O120" t="e">
        <v>#N/A</v>
      </c>
      <c r="P120">
        <v>84.1</v>
      </c>
      <c r="Q120" s="1" t="e">
        <v>#N/A</v>
      </c>
      <c r="S120" t="str">
        <f t="shared" si="1"/>
        <v/>
      </c>
    </row>
    <row r="121" spans="1:19" x14ac:dyDescent="0.4">
      <c r="A121" s="1">
        <v>40148</v>
      </c>
      <c r="B121" s="10" t="e">
        <v>#N/A</v>
      </c>
      <c r="C121" s="2">
        <v>4.0069999999999997</v>
      </c>
      <c r="D121">
        <v>1.4</v>
      </c>
      <c r="E121" t="e">
        <v>#N/A</v>
      </c>
      <c r="F121">
        <v>8.5</v>
      </c>
      <c r="G121" s="6">
        <v>1586</v>
      </c>
      <c r="H121" t="e">
        <v>#N/A</v>
      </c>
      <c r="I121" s="3">
        <v>0.12873119115829468</v>
      </c>
      <c r="L121">
        <v>97.2</v>
      </c>
      <c r="M121">
        <v>103.2</v>
      </c>
      <c r="N121" t="e">
        <v>#N/A</v>
      </c>
      <c r="O121" t="e">
        <v>#N/A</v>
      </c>
      <c r="P121">
        <v>83.7</v>
      </c>
      <c r="Q121" s="1" t="e">
        <v>#N/A</v>
      </c>
      <c r="S121" t="str">
        <f t="shared" si="1"/>
        <v/>
      </c>
    </row>
    <row r="122" spans="1:19" x14ac:dyDescent="0.4">
      <c r="A122" s="1">
        <v>40179</v>
      </c>
      <c r="B122" s="10">
        <v>187424</v>
      </c>
      <c r="C122" s="2">
        <v>4.0780000000000003</v>
      </c>
      <c r="D122">
        <v>1.4</v>
      </c>
      <c r="E122">
        <v>111.3</v>
      </c>
      <c r="F122">
        <v>8.6</v>
      </c>
      <c r="G122" s="6">
        <v>1632</v>
      </c>
      <c r="H122">
        <v>49</v>
      </c>
      <c r="I122" s="3">
        <v>5.1757920533418655E-2</v>
      </c>
      <c r="L122">
        <v>100.5</v>
      </c>
      <c r="M122">
        <v>103.4</v>
      </c>
      <c r="N122">
        <v>105.2</v>
      </c>
      <c r="O122">
        <v>145269.6</v>
      </c>
      <c r="P122">
        <v>84.4</v>
      </c>
      <c r="Q122" s="1" t="e">
        <v>#N/A</v>
      </c>
      <c r="S122" t="str">
        <f t="shared" si="1"/>
        <v>2010-Q1</v>
      </c>
    </row>
    <row r="123" spans="1:19" x14ac:dyDescent="0.4">
      <c r="A123" s="1">
        <v>40210</v>
      </c>
      <c r="B123" s="10" t="e">
        <v>#N/A</v>
      </c>
      <c r="C123" s="2">
        <v>4.0469999999999997</v>
      </c>
      <c r="D123">
        <v>1.1000000000000001</v>
      </c>
      <c r="E123" t="e">
        <v>#N/A</v>
      </c>
      <c r="F123">
        <v>8.6999999999999993</v>
      </c>
      <c r="G123" s="6">
        <v>1632</v>
      </c>
      <c r="H123" t="e">
        <v>#N/A</v>
      </c>
      <c r="I123" s="3">
        <v>6.5537959337234497E-2</v>
      </c>
      <c r="L123">
        <v>99.7</v>
      </c>
      <c r="M123">
        <v>103.4</v>
      </c>
      <c r="N123" t="e">
        <v>#N/A</v>
      </c>
      <c r="O123" t="e">
        <v>#N/A</v>
      </c>
      <c r="P123">
        <v>84.6</v>
      </c>
      <c r="Q123" s="1" t="e">
        <v>#N/A</v>
      </c>
      <c r="S123" t="str">
        <f t="shared" si="1"/>
        <v/>
      </c>
    </row>
    <row r="124" spans="1:19" x14ac:dyDescent="0.4">
      <c r="A124" s="1">
        <v>40238</v>
      </c>
      <c r="B124" s="10" t="e">
        <v>#N/A</v>
      </c>
      <c r="C124" s="2">
        <v>3.9449999999999998</v>
      </c>
      <c r="D124">
        <v>1.3</v>
      </c>
      <c r="E124" t="e">
        <v>#N/A</v>
      </c>
      <c r="F124">
        <v>8.5</v>
      </c>
      <c r="G124" s="6">
        <v>1632</v>
      </c>
      <c r="H124" t="e">
        <v>#N/A</v>
      </c>
      <c r="I124" s="3">
        <v>6.7879445850849152E-2</v>
      </c>
      <c r="L124">
        <v>100.1</v>
      </c>
      <c r="M124">
        <v>103.5</v>
      </c>
      <c r="N124" t="e">
        <v>#N/A</v>
      </c>
      <c r="O124" t="e">
        <v>#N/A</v>
      </c>
      <c r="P124">
        <v>86</v>
      </c>
      <c r="Q124" s="1" t="e">
        <v>#N/A</v>
      </c>
      <c r="S124" t="str">
        <f t="shared" si="1"/>
        <v/>
      </c>
    </row>
    <row r="125" spans="1:19" x14ac:dyDescent="0.4">
      <c r="A125" s="1">
        <v>40269</v>
      </c>
      <c r="B125" s="10">
        <v>194372</v>
      </c>
      <c r="C125" s="2">
        <v>3.996</v>
      </c>
      <c r="D125">
        <v>1.4</v>
      </c>
      <c r="E125">
        <v>112.2</v>
      </c>
      <c r="F125">
        <v>8.8000000000000007</v>
      </c>
      <c r="G125" s="6">
        <v>1627</v>
      </c>
      <c r="H125">
        <v>49.5</v>
      </c>
      <c r="I125" s="3">
        <v>6.406605988740921E-2</v>
      </c>
      <c r="L125">
        <v>101</v>
      </c>
      <c r="M125">
        <v>102.5</v>
      </c>
      <c r="N125">
        <v>104.1</v>
      </c>
      <c r="O125">
        <v>161668.5</v>
      </c>
      <c r="P125">
        <v>87.4</v>
      </c>
      <c r="Q125" s="1" t="e">
        <v>#N/A</v>
      </c>
      <c r="S125" t="str">
        <f t="shared" si="1"/>
        <v>2010-Q2</v>
      </c>
    </row>
    <row r="126" spans="1:19" x14ac:dyDescent="0.4">
      <c r="A126" s="1">
        <v>40299</v>
      </c>
      <c r="B126" s="10" t="e">
        <v>#N/A</v>
      </c>
      <c r="C126" s="2">
        <v>3.9849999999999999</v>
      </c>
      <c r="D126">
        <v>1.2</v>
      </c>
      <c r="E126" t="e">
        <v>#N/A</v>
      </c>
      <c r="F126">
        <v>8.6999999999999993</v>
      </c>
      <c r="G126" s="6">
        <v>1627</v>
      </c>
      <c r="H126" t="e">
        <v>#N/A</v>
      </c>
      <c r="I126" s="3">
        <v>6.4828716218471527E-2</v>
      </c>
      <c r="L126">
        <v>101.4</v>
      </c>
      <c r="M126">
        <v>103.3</v>
      </c>
      <c r="N126" t="e">
        <v>#N/A</v>
      </c>
      <c r="O126" t="e">
        <v>#N/A</v>
      </c>
      <c r="P126">
        <v>88.2</v>
      </c>
      <c r="Q126" s="1" t="e">
        <v>#N/A</v>
      </c>
      <c r="S126" t="str">
        <f t="shared" si="1"/>
        <v/>
      </c>
    </row>
    <row r="127" spans="1:19" x14ac:dyDescent="0.4">
      <c r="A127" s="1">
        <v>40330</v>
      </c>
      <c r="B127" s="10" t="e">
        <v>#N/A</v>
      </c>
      <c r="C127" s="2">
        <v>4.1020000000000003</v>
      </c>
      <c r="D127">
        <v>1.3</v>
      </c>
      <c r="E127" t="e">
        <v>#N/A</v>
      </c>
      <c r="F127">
        <v>8.5</v>
      </c>
      <c r="G127" s="6">
        <v>1627</v>
      </c>
      <c r="H127" t="e">
        <v>#N/A</v>
      </c>
      <c r="I127" s="3">
        <v>6.5359480679035187E-2</v>
      </c>
      <c r="L127">
        <v>103.8</v>
      </c>
      <c r="M127">
        <v>102.5</v>
      </c>
      <c r="N127" t="e">
        <v>#N/A</v>
      </c>
      <c r="O127" t="e">
        <v>#N/A</v>
      </c>
      <c r="P127">
        <v>87.7</v>
      </c>
      <c r="Q127" s="1" t="e">
        <v>#N/A</v>
      </c>
      <c r="S127" t="str">
        <f t="shared" si="1"/>
        <v/>
      </c>
    </row>
    <row r="128" spans="1:19" x14ac:dyDescent="0.4">
      <c r="A128" s="1">
        <v>40360</v>
      </c>
      <c r="B128" s="10">
        <v>188301</v>
      </c>
      <c r="C128" s="2">
        <v>4.0259999999999998</v>
      </c>
      <c r="D128">
        <v>1.4</v>
      </c>
      <c r="E128">
        <v>112.8</v>
      </c>
      <c r="F128">
        <v>8.5</v>
      </c>
      <c r="G128" s="6">
        <v>1572</v>
      </c>
      <c r="H128">
        <v>52.4</v>
      </c>
      <c r="I128" s="3">
        <v>9.4956740736961365E-2</v>
      </c>
      <c r="L128">
        <v>103.7</v>
      </c>
      <c r="M128">
        <v>102.6</v>
      </c>
      <c r="N128">
        <v>103.9</v>
      </c>
      <c r="O128">
        <v>149503.6</v>
      </c>
      <c r="P128">
        <v>88.5</v>
      </c>
      <c r="Q128" s="1" t="e">
        <v>#N/A</v>
      </c>
      <c r="S128" t="str">
        <f t="shared" si="1"/>
        <v>2010-Q3</v>
      </c>
    </row>
    <row r="129" spans="1:19" x14ac:dyDescent="0.4">
      <c r="A129" s="1">
        <v>40391</v>
      </c>
      <c r="B129" s="10" t="e">
        <v>#N/A</v>
      </c>
      <c r="C129" s="2">
        <v>3.802</v>
      </c>
      <c r="D129">
        <v>1.4</v>
      </c>
      <c r="E129" t="e">
        <v>#N/A</v>
      </c>
      <c r="F129">
        <v>8.1999999999999993</v>
      </c>
      <c r="G129" s="6">
        <v>1572</v>
      </c>
      <c r="H129" t="e">
        <v>#N/A</v>
      </c>
      <c r="I129" s="3">
        <v>7.5094804167747498E-2</v>
      </c>
      <c r="L129">
        <v>107.5</v>
      </c>
      <c r="M129">
        <v>102.9</v>
      </c>
      <c r="N129" t="e">
        <v>#N/A</v>
      </c>
      <c r="O129" t="e">
        <v>#N/A</v>
      </c>
      <c r="P129">
        <v>88.1</v>
      </c>
      <c r="Q129" s="1" t="e">
        <v>#N/A</v>
      </c>
      <c r="S129" t="str">
        <f t="shared" si="1"/>
        <v/>
      </c>
    </row>
    <row r="130" spans="1:19" x14ac:dyDescent="0.4">
      <c r="A130" s="1">
        <v>40422</v>
      </c>
      <c r="B130" s="10" t="e">
        <v>#N/A</v>
      </c>
      <c r="C130" s="2">
        <v>3.8620000000000001</v>
      </c>
      <c r="D130">
        <v>1.4</v>
      </c>
      <c r="E130" t="e">
        <v>#N/A</v>
      </c>
      <c r="F130">
        <v>8.4</v>
      </c>
      <c r="G130" s="6">
        <v>1572</v>
      </c>
      <c r="H130" t="e">
        <v>#N/A</v>
      </c>
      <c r="I130" s="3">
        <v>2.8133351355791092E-2</v>
      </c>
      <c r="L130">
        <v>102.9</v>
      </c>
      <c r="M130">
        <v>102.7</v>
      </c>
      <c r="N130" t="e">
        <v>#N/A</v>
      </c>
      <c r="O130" t="e">
        <v>#N/A</v>
      </c>
      <c r="P130">
        <v>88</v>
      </c>
      <c r="Q130" s="1" t="e">
        <v>#N/A</v>
      </c>
      <c r="S130" t="str">
        <f t="shared" si="1"/>
        <v/>
      </c>
    </row>
    <row r="131" spans="1:19" x14ac:dyDescent="0.4">
      <c r="A131" s="1">
        <v>40452</v>
      </c>
      <c r="B131" s="10">
        <v>235620</v>
      </c>
      <c r="C131" s="2">
        <v>3.8</v>
      </c>
      <c r="D131">
        <v>1.6</v>
      </c>
      <c r="E131">
        <v>112.1</v>
      </c>
      <c r="F131">
        <v>8.6</v>
      </c>
      <c r="G131" s="6">
        <v>1579</v>
      </c>
      <c r="H131">
        <v>51.2</v>
      </c>
      <c r="I131" s="3">
        <v>9.8638787865638733E-2</v>
      </c>
      <c r="L131">
        <v>103.2</v>
      </c>
      <c r="M131">
        <v>103.2</v>
      </c>
      <c r="N131">
        <v>104.2</v>
      </c>
      <c r="O131">
        <v>183736.9</v>
      </c>
      <c r="P131">
        <v>87.9</v>
      </c>
      <c r="Q131" s="1" t="e">
        <v>#N/A</v>
      </c>
      <c r="S131" t="str">
        <f t="shared" ref="S131:S194" si="2">IF(MONTH($A131) = 1, YEAR($A131)&amp;"-Q"&amp;MONTH($A131), IF(MONTH($A131) = 4, YEAR($A131)&amp;"-Q2", IF(MONTH($A131) = 7, YEAR($A131)&amp;"-Q3", IF(MONTH($A131) = 10, YEAR($A131)&amp;"-Q4",""))))</f>
        <v>2010-Q4</v>
      </c>
    </row>
    <row r="132" spans="1:19" x14ac:dyDescent="0.4">
      <c r="A132" s="1">
        <v>40483</v>
      </c>
      <c r="B132" s="10" t="e">
        <v>#N/A</v>
      </c>
      <c r="C132" s="2">
        <v>4.1840000000000002</v>
      </c>
      <c r="D132">
        <v>1.6</v>
      </c>
      <c r="E132" t="e">
        <v>#N/A</v>
      </c>
      <c r="F132">
        <v>8.4</v>
      </c>
      <c r="G132" s="6">
        <v>1579</v>
      </c>
      <c r="H132" t="e">
        <v>#N/A</v>
      </c>
      <c r="I132" s="3">
        <v>0.10831207782030106</v>
      </c>
      <c r="L132">
        <v>103.9</v>
      </c>
      <c r="M132">
        <v>102.6</v>
      </c>
      <c r="N132" t="e">
        <v>#N/A</v>
      </c>
      <c r="O132" t="e">
        <v>#N/A</v>
      </c>
      <c r="P132">
        <v>88.6</v>
      </c>
      <c r="Q132" s="1" t="e">
        <v>#N/A</v>
      </c>
      <c r="S132" t="str">
        <f t="shared" si="2"/>
        <v/>
      </c>
    </row>
    <row r="133" spans="1:19" x14ac:dyDescent="0.4">
      <c r="A133" s="1">
        <v>40513</v>
      </c>
      <c r="B133" s="10" t="e">
        <v>#N/A</v>
      </c>
      <c r="C133" s="2">
        <v>4.6029999999999998</v>
      </c>
      <c r="D133">
        <v>1.6</v>
      </c>
      <c r="E133" t="e">
        <v>#N/A</v>
      </c>
      <c r="F133">
        <v>8.1999999999999993</v>
      </c>
      <c r="G133" s="6">
        <v>1579</v>
      </c>
      <c r="H133" t="e">
        <v>#N/A</v>
      </c>
      <c r="I133" s="3">
        <v>0.1170739084482193</v>
      </c>
      <c r="L133">
        <v>104.7</v>
      </c>
      <c r="M133">
        <v>103.7</v>
      </c>
      <c r="N133" t="e">
        <v>#N/A</v>
      </c>
      <c r="O133" t="e">
        <v>#N/A</v>
      </c>
      <c r="P133">
        <v>90.1</v>
      </c>
      <c r="Q133" s="1" t="e">
        <v>#N/A</v>
      </c>
      <c r="S133" t="str">
        <f t="shared" si="2"/>
        <v/>
      </c>
    </row>
    <row r="134" spans="1:19" x14ac:dyDescent="0.4">
      <c r="A134" s="1">
        <v>40544</v>
      </c>
      <c r="B134" s="10">
        <v>188863</v>
      </c>
      <c r="C134" s="2">
        <v>4.7290000000000001</v>
      </c>
      <c r="D134">
        <v>1.3</v>
      </c>
      <c r="E134">
        <v>112.3</v>
      </c>
      <c r="F134">
        <v>8.1999999999999993</v>
      </c>
      <c r="G134" s="6">
        <v>1527</v>
      </c>
      <c r="H134">
        <v>53.6</v>
      </c>
      <c r="I134" s="3">
        <v>6.878574937582016E-2</v>
      </c>
      <c r="L134">
        <v>102.6</v>
      </c>
      <c r="M134">
        <v>102.3</v>
      </c>
      <c r="N134">
        <v>105.1</v>
      </c>
      <c r="O134">
        <v>148881</v>
      </c>
      <c r="P134">
        <v>92.2</v>
      </c>
      <c r="Q134" s="1" t="e">
        <v>#N/A</v>
      </c>
      <c r="S134" t="str">
        <f t="shared" si="2"/>
        <v>2011-Q1</v>
      </c>
    </row>
    <row r="135" spans="1:19" x14ac:dyDescent="0.4">
      <c r="A135" s="1">
        <v>40575</v>
      </c>
      <c r="B135" s="10" t="e">
        <v>#N/A</v>
      </c>
      <c r="C135" s="2">
        <v>4.7359999999999998</v>
      </c>
      <c r="D135">
        <v>1.4</v>
      </c>
      <c r="E135" t="e">
        <v>#N/A</v>
      </c>
      <c r="F135">
        <v>8.1</v>
      </c>
      <c r="G135" s="6">
        <v>1527</v>
      </c>
      <c r="H135" t="e">
        <v>#N/A</v>
      </c>
      <c r="I135" s="3">
        <v>0.2050052285194397</v>
      </c>
      <c r="L135">
        <v>105.3</v>
      </c>
      <c r="M135">
        <v>102.5</v>
      </c>
      <c r="N135" t="e">
        <v>#N/A</v>
      </c>
      <c r="O135" t="e">
        <v>#N/A</v>
      </c>
      <c r="P135">
        <v>93</v>
      </c>
      <c r="Q135" s="1" t="e">
        <v>#N/A</v>
      </c>
      <c r="S135" t="str">
        <f t="shared" si="2"/>
        <v/>
      </c>
    </row>
    <row r="136" spans="1:19" x14ac:dyDescent="0.4">
      <c r="A136" s="1">
        <v>40603</v>
      </c>
      <c r="B136" s="10" t="e">
        <v>#N/A</v>
      </c>
      <c r="C136" s="2">
        <v>4.875</v>
      </c>
      <c r="D136">
        <v>2.2000000000000002</v>
      </c>
      <c r="E136" t="e">
        <v>#N/A</v>
      </c>
      <c r="F136">
        <v>8.1</v>
      </c>
      <c r="G136" s="6">
        <v>1527</v>
      </c>
      <c r="H136" t="e">
        <v>#N/A</v>
      </c>
      <c r="I136" s="3">
        <v>0.48910331726074219</v>
      </c>
      <c r="L136">
        <v>105.6</v>
      </c>
      <c r="M136">
        <v>101.7</v>
      </c>
      <c r="N136" t="e">
        <v>#N/A</v>
      </c>
      <c r="O136" t="e">
        <v>#N/A</v>
      </c>
      <c r="P136">
        <v>94.9</v>
      </c>
      <c r="Q136" s="1" t="e">
        <v>#N/A</v>
      </c>
      <c r="S136" t="str">
        <f t="shared" si="2"/>
        <v/>
      </c>
    </row>
    <row r="137" spans="1:19" x14ac:dyDescent="0.4">
      <c r="A137" s="1">
        <v>40634</v>
      </c>
      <c r="B137" s="10">
        <v>194640</v>
      </c>
      <c r="C137" s="2">
        <v>4.8410000000000002</v>
      </c>
      <c r="D137">
        <v>2.2000000000000002</v>
      </c>
      <c r="E137">
        <v>113.6</v>
      </c>
      <c r="F137">
        <v>8</v>
      </c>
      <c r="G137" s="6">
        <v>1537</v>
      </c>
      <c r="H137">
        <v>53.8</v>
      </c>
      <c r="I137" s="3">
        <v>0.35063865780830383</v>
      </c>
      <c r="L137">
        <v>106.6</v>
      </c>
      <c r="M137">
        <v>103</v>
      </c>
      <c r="N137">
        <v>105</v>
      </c>
      <c r="O137">
        <v>164678.5</v>
      </c>
      <c r="P137">
        <v>96.7</v>
      </c>
      <c r="Q137" s="1" t="e">
        <v>#N/A</v>
      </c>
      <c r="S137" t="str">
        <f t="shared" si="2"/>
        <v>2011-Q2</v>
      </c>
    </row>
    <row r="138" spans="1:19" x14ac:dyDescent="0.4">
      <c r="A138" s="1">
        <v>40664</v>
      </c>
      <c r="B138" s="10" t="e">
        <v>#N/A</v>
      </c>
      <c r="C138" s="2">
        <v>4.7560000000000002</v>
      </c>
      <c r="D138">
        <v>2.4</v>
      </c>
      <c r="E138" t="e">
        <v>#N/A</v>
      </c>
      <c r="F138">
        <v>8.3000000000000007</v>
      </c>
      <c r="G138" s="6">
        <v>1537</v>
      </c>
      <c r="H138" t="e">
        <v>#N/A</v>
      </c>
      <c r="I138" s="3">
        <v>0.25706022977828979</v>
      </c>
      <c r="L138">
        <v>104.6</v>
      </c>
      <c r="M138">
        <v>101.8</v>
      </c>
      <c r="N138" t="e">
        <v>#N/A</v>
      </c>
      <c r="O138" t="e">
        <v>#N/A</v>
      </c>
      <c r="P138">
        <v>96.8</v>
      </c>
      <c r="Q138" s="1" t="s">
        <v>32</v>
      </c>
      <c r="S138" t="str">
        <f t="shared" si="2"/>
        <v/>
      </c>
    </row>
    <row r="139" spans="1:19" x14ac:dyDescent="0.4">
      <c r="A139" s="1">
        <v>40695</v>
      </c>
      <c r="B139" s="10" t="e">
        <v>#N/A</v>
      </c>
      <c r="C139" s="2">
        <v>4.8159999999999998</v>
      </c>
      <c r="D139">
        <v>2.5</v>
      </c>
      <c r="E139" t="e">
        <v>#N/A</v>
      </c>
      <c r="F139">
        <v>8.1999999999999993</v>
      </c>
      <c r="G139" s="6">
        <v>1537</v>
      </c>
      <c r="H139" t="e">
        <v>#N/A</v>
      </c>
      <c r="I139" s="3">
        <v>0.22683902084827423</v>
      </c>
      <c r="L139">
        <v>103.8</v>
      </c>
      <c r="M139">
        <v>101.6</v>
      </c>
      <c r="N139" t="e">
        <v>#N/A</v>
      </c>
      <c r="O139" t="e">
        <v>#N/A</v>
      </c>
      <c r="P139">
        <v>95.9</v>
      </c>
      <c r="Q139" s="1" t="s">
        <v>33</v>
      </c>
      <c r="S139" t="str">
        <f t="shared" si="2"/>
        <v/>
      </c>
    </row>
    <row r="140" spans="1:19" x14ac:dyDescent="0.4">
      <c r="A140" s="1">
        <v>40725</v>
      </c>
      <c r="B140" s="10">
        <v>184995</v>
      </c>
      <c r="C140" s="2">
        <v>5.4630000000000001</v>
      </c>
      <c r="D140">
        <v>1.4</v>
      </c>
      <c r="E140">
        <v>111.8</v>
      </c>
      <c r="F140">
        <v>8.4</v>
      </c>
      <c r="G140" s="6">
        <v>1646</v>
      </c>
      <c r="H140">
        <v>55.6</v>
      </c>
      <c r="I140" s="3">
        <v>0.13643068075180054</v>
      </c>
      <c r="L140">
        <v>103.4</v>
      </c>
      <c r="M140">
        <v>101.9</v>
      </c>
      <c r="N140">
        <v>104.8</v>
      </c>
      <c r="O140">
        <v>151258.6</v>
      </c>
      <c r="P140">
        <v>97.9</v>
      </c>
      <c r="Q140" s="1" t="e">
        <v>#N/A</v>
      </c>
      <c r="S140" t="str">
        <f t="shared" si="2"/>
        <v>2011-Q3</v>
      </c>
    </row>
    <row r="141" spans="1:19" x14ac:dyDescent="0.4">
      <c r="A141" s="1">
        <v>40756</v>
      </c>
      <c r="B141" s="10" t="e">
        <v>#N/A</v>
      </c>
      <c r="C141" s="2">
        <v>5.2709999999999999</v>
      </c>
      <c r="D141">
        <v>1.5</v>
      </c>
      <c r="E141" t="e">
        <v>#N/A</v>
      </c>
      <c r="F141">
        <v>8.5</v>
      </c>
      <c r="G141" s="6">
        <v>1646</v>
      </c>
      <c r="H141" t="e">
        <v>#N/A</v>
      </c>
      <c r="I141" s="3">
        <v>0.21358713507652283</v>
      </c>
      <c r="L141">
        <v>102.5</v>
      </c>
      <c r="M141">
        <v>101.4</v>
      </c>
      <c r="N141" t="e">
        <v>#N/A</v>
      </c>
      <c r="O141" t="e">
        <v>#N/A</v>
      </c>
      <c r="P141">
        <v>98.4</v>
      </c>
      <c r="Q141" s="1" t="e">
        <v>#N/A</v>
      </c>
      <c r="S141" t="str">
        <f t="shared" si="2"/>
        <v/>
      </c>
    </row>
    <row r="142" spans="1:19" x14ac:dyDescent="0.4">
      <c r="A142" s="1">
        <v>40787</v>
      </c>
      <c r="B142" s="10" t="e">
        <v>#N/A</v>
      </c>
      <c r="C142" s="2">
        <v>5.7460000000000004</v>
      </c>
      <c r="D142">
        <v>2.9</v>
      </c>
      <c r="E142" t="e">
        <v>#N/A</v>
      </c>
      <c r="F142">
        <v>9</v>
      </c>
      <c r="G142" s="6">
        <v>1646</v>
      </c>
      <c r="H142" t="e">
        <v>#N/A</v>
      </c>
      <c r="I142" s="3">
        <v>0.14914773404598236</v>
      </c>
      <c r="L142">
        <v>102.3</v>
      </c>
      <c r="M142">
        <v>100.6</v>
      </c>
      <c r="N142" t="e">
        <v>#N/A</v>
      </c>
      <c r="O142" t="e">
        <v>#N/A</v>
      </c>
      <c r="P142">
        <v>98.3</v>
      </c>
      <c r="Q142" s="1" t="s">
        <v>34</v>
      </c>
      <c r="S142" t="str">
        <f t="shared" si="2"/>
        <v/>
      </c>
    </row>
    <row r="143" spans="1:19" x14ac:dyDescent="0.4">
      <c r="A143" s="1">
        <v>40817</v>
      </c>
      <c r="B143" s="10">
        <v>244052</v>
      </c>
      <c r="C143" s="2">
        <v>5.9720000000000004</v>
      </c>
      <c r="D143">
        <v>2.9</v>
      </c>
      <c r="E143">
        <v>112.7</v>
      </c>
      <c r="F143">
        <v>8.9</v>
      </c>
      <c r="G143" s="6">
        <v>1799</v>
      </c>
      <c r="H143">
        <v>53.6</v>
      </c>
      <c r="I143" s="3">
        <v>0.10184372216463089</v>
      </c>
      <c r="L143">
        <v>100.9</v>
      </c>
      <c r="M143">
        <v>102</v>
      </c>
      <c r="N143">
        <v>104.2</v>
      </c>
      <c r="O143">
        <v>184249.1</v>
      </c>
      <c r="P143">
        <v>100.1</v>
      </c>
      <c r="Q143" s="1" t="s">
        <v>35</v>
      </c>
      <c r="S143" t="str">
        <f t="shared" si="2"/>
        <v>2011-Q4</v>
      </c>
    </row>
    <row r="144" spans="1:19" x14ac:dyDescent="0.4">
      <c r="A144" s="1">
        <v>40848</v>
      </c>
      <c r="B144" s="10" t="e">
        <v>#N/A</v>
      </c>
      <c r="C144" s="2">
        <v>7.0570000000000004</v>
      </c>
      <c r="D144">
        <v>2.8</v>
      </c>
      <c r="E144" t="e">
        <v>#N/A</v>
      </c>
      <c r="F144">
        <v>9.5</v>
      </c>
      <c r="G144" s="6">
        <v>1799</v>
      </c>
      <c r="H144" t="e">
        <v>#N/A</v>
      </c>
      <c r="I144" s="3">
        <v>0.17078810930252075</v>
      </c>
      <c r="L144">
        <v>101.7</v>
      </c>
      <c r="M144">
        <v>100</v>
      </c>
      <c r="N144" t="e">
        <v>#N/A</v>
      </c>
      <c r="O144" t="e">
        <v>#N/A</v>
      </c>
      <c r="P144">
        <v>100.7</v>
      </c>
      <c r="Q144" s="1" t="s">
        <v>32</v>
      </c>
      <c r="S144" t="str">
        <f t="shared" si="2"/>
        <v/>
      </c>
    </row>
    <row r="145" spans="1:19" x14ac:dyDescent="0.4">
      <c r="A145" s="1">
        <v>40878</v>
      </c>
      <c r="B145" s="10" t="e">
        <v>#N/A</v>
      </c>
      <c r="C145" s="2">
        <v>6.8120000000000003</v>
      </c>
      <c r="D145">
        <v>2.8</v>
      </c>
      <c r="E145" t="e">
        <v>#N/A</v>
      </c>
      <c r="F145">
        <v>9.6999999999999993</v>
      </c>
      <c r="G145" s="6">
        <v>1799</v>
      </c>
      <c r="H145" t="e">
        <v>#N/A</v>
      </c>
      <c r="I145" s="3">
        <v>0.14453065395355225</v>
      </c>
      <c r="L145">
        <v>102.7</v>
      </c>
      <c r="M145">
        <v>99.4</v>
      </c>
      <c r="N145" t="e">
        <v>#N/A</v>
      </c>
      <c r="O145" t="e">
        <v>#N/A</v>
      </c>
      <c r="P145">
        <v>102.5</v>
      </c>
      <c r="Q145" s="1" t="s">
        <v>36</v>
      </c>
      <c r="S145" t="str">
        <f t="shared" si="2"/>
        <v/>
      </c>
    </row>
    <row r="146" spans="1:19" x14ac:dyDescent="0.4">
      <c r="A146" s="1">
        <v>40909</v>
      </c>
      <c r="B146" s="10">
        <v>193219</v>
      </c>
      <c r="C146" s="2">
        <v>6.5369999999999999</v>
      </c>
      <c r="D146">
        <v>2.2999999999999998</v>
      </c>
      <c r="E146">
        <v>115.8</v>
      </c>
      <c r="F146">
        <v>9.6999999999999993</v>
      </c>
      <c r="G146" s="6">
        <v>1977</v>
      </c>
      <c r="H146">
        <v>52.5</v>
      </c>
      <c r="I146" s="3">
        <v>0.16344724595546722</v>
      </c>
      <c r="L146">
        <v>98.6</v>
      </c>
      <c r="M146">
        <v>100.8</v>
      </c>
      <c r="N146">
        <v>102.8</v>
      </c>
      <c r="O146">
        <v>148471.5</v>
      </c>
      <c r="P146">
        <v>106.5</v>
      </c>
      <c r="Q146" s="1" t="s">
        <v>37</v>
      </c>
      <c r="S146" t="str">
        <f t="shared" si="2"/>
        <v>2012-Q1</v>
      </c>
    </row>
    <row r="147" spans="1:19" x14ac:dyDescent="0.4">
      <c r="A147" s="1">
        <v>40940</v>
      </c>
      <c r="B147" s="10" t="e">
        <v>#N/A</v>
      </c>
      <c r="C147" s="2">
        <v>5.5460000000000003</v>
      </c>
      <c r="D147">
        <v>2.4</v>
      </c>
      <c r="E147" t="e">
        <v>#N/A</v>
      </c>
      <c r="F147">
        <v>10.199999999999999</v>
      </c>
      <c r="G147" s="6">
        <v>1977</v>
      </c>
      <c r="H147" t="e">
        <v>#N/A</v>
      </c>
      <c r="I147" s="3">
        <v>0.13330794870853424</v>
      </c>
      <c r="L147">
        <v>98.9</v>
      </c>
      <c r="M147">
        <v>99.8</v>
      </c>
      <c r="N147" t="e">
        <v>#N/A</v>
      </c>
      <c r="O147" t="e">
        <v>#N/A</v>
      </c>
      <c r="P147">
        <v>107.6</v>
      </c>
      <c r="Q147" s="1" t="s">
        <v>38</v>
      </c>
      <c r="S147" t="str">
        <f t="shared" si="2"/>
        <v/>
      </c>
    </row>
    <row r="148" spans="1:19" x14ac:dyDescent="0.4">
      <c r="A148" s="1">
        <v>40969</v>
      </c>
      <c r="B148" s="10" t="e">
        <v>#N/A</v>
      </c>
      <c r="C148" s="2">
        <v>5.0490000000000004</v>
      </c>
      <c r="D148">
        <v>2.6</v>
      </c>
      <c r="E148" t="e">
        <v>#N/A</v>
      </c>
      <c r="F148">
        <v>10.7</v>
      </c>
      <c r="G148" s="6">
        <v>1977</v>
      </c>
      <c r="H148" t="e">
        <v>#N/A</v>
      </c>
      <c r="I148" s="3">
        <v>8.6212843656539917E-2</v>
      </c>
      <c r="L148">
        <v>99.4</v>
      </c>
      <c r="M148">
        <v>100.2</v>
      </c>
      <c r="N148" t="e">
        <v>#N/A</v>
      </c>
      <c r="O148" t="e">
        <v>#N/A</v>
      </c>
      <c r="P148">
        <v>109.5</v>
      </c>
      <c r="Q148" s="1" t="e">
        <v>#N/A</v>
      </c>
      <c r="S148" t="str">
        <f t="shared" si="2"/>
        <v/>
      </c>
    </row>
    <row r="149" spans="1:19" x14ac:dyDescent="0.4">
      <c r="A149" s="1">
        <v>41000</v>
      </c>
      <c r="B149" s="10">
        <v>197658</v>
      </c>
      <c r="C149" s="2">
        <v>5.6760000000000002</v>
      </c>
      <c r="D149">
        <v>2.4</v>
      </c>
      <c r="E149">
        <v>118</v>
      </c>
      <c r="F149">
        <v>10.7</v>
      </c>
      <c r="G149" s="6">
        <v>2082</v>
      </c>
      <c r="H149">
        <v>54.5</v>
      </c>
      <c r="I149" s="3">
        <v>3.7943463772535324E-2</v>
      </c>
      <c r="L149">
        <v>97.9</v>
      </c>
      <c r="M149">
        <v>98.8</v>
      </c>
      <c r="N149">
        <v>102.7</v>
      </c>
      <c r="O149">
        <v>161607</v>
      </c>
      <c r="P149">
        <v>111.8</v>
      </c>
      <c r="Q149" s="1" t="s">
        <v>39</v>
      </c>
      <c r="S149" t="str">
        <f t="shared" si="2"/>
        <v>2012-Q2</v>
      </c>
    </row>
    <row r="150" spans="1:19" x14ac:dyDescent="0.4">
      <c r="A150" s="1">
        <v>41030</v>
      </c>
      <c r="B150" s="10" t="e">
        <v>#N/A</v>
      </c>
      <c r="C150" s="2">
        <v>5.7830000000000004</v>
      </c>
      <c r="D150">
        <v>2.4</v>
      </c>
      <c r="E150" t="e">
        <v>#N/A</v>
      </c>
      <c r="F150">
        <v>10.6</v>
      </c>
      <c r="G150" s="6">
        <v>2082</v>
      </c>
      <c r="H150" t="e">
        <v>#N/A</v>
      </c>
      <c r="I150" s="3">
        <v>9.3930639326572418E-2</v>
      </c>
      <c r="L150">
        <v>99.5</v>
      </c>
      <c r="M150">
        <v>98.8</v>
      </c>
      <c r="N150" t="e">
        <v>#N/A</v>
      </c>
      <c r="O150" t="e">
        <v>#N/A</v>
      </c>
      <c r="P150">
        <v>111.6</v>
      </c>
      <c r="Q150" s="1" t="s">
        <v>39</v>
      </c>
      <c r="S150" t="str">
        <f t="shared" si="2"/>
        <v/>
      </c>
    </row>
    <row r="151" spans="1:19" x14ac:dyDescent="0.4">
      <c r="A151" s="1">
        <v>41061</v>
      </c>
      <c r="B151" s="10" t="e">
        <v>#N/A</v>
      </c>
      <c r="C151" s="2">
        <v>5.9039999999999999</v>
      </c>
      <c r="D151">
        <v>2.5</v>
      </c>
      <c r="E151" t="e">
        <v>#N/A</v>
      </c>
      <c r="F151">
        <v>10.9</v>
      </c>
      <c r="G151" s="6">
        <v>2082</v>
      </c>
      <c r="H151" t="e">
        <v>#N/A</v>
      </c>
      <c r="I151" s="3">
        <v>5.2369728684425354E-2</v>
      </c>
      <c r="L151">
        <v>97.4</v>
      </c>
      <c r="M151">
        <v>98.8</v>
      </c>
      <c r="N151" t="e">
        <v>#N/A</v>
      </c>
      <c r="O151" t="e">
        <v>#N/A</v>
      </c>
      <c r="P151">
        <v>109.8</v>
      </c>
      <c r="Q151" s="1" t="e">
        <v>#N/A</v>
      </c>
      <c r="S151" t="str">
        <f t="shared" si="2"/>
        <v/>
      </c>
    </row>
    <row r="152" spans="1:19" x14ac:dyDescent="0.4">
      <c r="A152" s="1">
        <v>41091</v>
      </c>
      <c r="B152" s="10">
        <v>189697</v>
      </c>
      <c r="C152" s="2">
        <v>5.9960000000000004</v>
      </c>
      <c r="D152">
        <v>2.8</v>
      </c>
      <c r="E152">
        <v>119.4</v>
      </c>
      <c r="F152">
        <v>11</v>
      </c>
      <c r="G152" s="6">
        <v>2146</v>
      </c>
      <c r="H152">
        <v>56</v>
      </c>
      <c r="I152" s="3">
        <v>6.9313414394855499E-2</v>
      </c>
      <c r="L152">
        <v>98.5</v>
      </c>
      <c r="M152">
        <v>98.4</v>
      </c>
      <c r="N152">
        <v>102.3</v>
      </c>
      <c r="O152">
        <v>148851.79999999999</v>
      </c>
      <c r="P152">
        <v>109.6</v>
      </c>
      <c r="Q152" s="1" t="s">
        <v>40</v>
      </c>
      <c r="S152" t="str">
        <f t="shared" si="2"/>
        <v>2012-Q3</v>
      </c>
    </row>
    <row r="153" spans="1:19" x14ac:dyDescent="0.4">
      <c r="A153" s="1">
        <v>41122</v>
      </c>
      <c r="B153" s="10" t="e">
        <v>#N/A</v>
      </c>
      <c r="C153" s="2">
        <v>5.8220000000000001</v>
      </c>
      <c r="D153">
        <v>2.2000000000000002</v>
      </c>
      <c r="E153" t="e">
        <v>#N/A</v>
      </c>
      <c r="F153">
        <v>10.9</v>
      </c>
      <c r="G153" s="6">
        <v>2146</v>
      </c>
      <c r="H153" t="e">
        <v>#N/A</v>
      </c>
      <c r="I153" s="3">
        <v>7.1001492440700531E-2</v>
      </c>
      <c r="L153">
        <v>97.8</v>
      </c>
      <c r="M153">
        <v>98.1</v>
      </c>
      <c r="N153" t="e">
        <v>#N/A</v>
      </c>
      <c r="O153" t="e">
        <v>#N/A</v>
      </c>
      <c r="P153">
        <v>111.7</v>
      </c>
      <c r="Q153" s="1" t="s">
        <v>39</v>
      </c>
      <c r="S153" t="str">
        <f t="shared" si="2"/>
        <v/>
      </c>
    </row>
    <row r="154" spans="1:19" x14ac:dyDescent="0.4">
      <c r="A154" s="1">
        <v>41153</v>
      </c>
      <c r="B154" s="10" t="e">
        <v>#N/A</v>
      </c>
      <c r="C154" s="2">
        <v>5.2539999999999996</v>
      </c>
      <c r="D154">
        <v>2.2000000000000002</v>
      </c>
      <c r="E154" t="e">
        <v>#N/A</v>
      </c>
      <c r="F154">
        <v>11.2</v>
      </c>
      <c r="G154" s="6">
        <v>2146</v>
      </c>
      <c r="H154" t="e">
        <v>#N/A</v>
      </c>
      <c r="I154" s="3">
        <v>6.2303014099597931E-2</v>
      </c>
      <c r="L154">
        <v>97.6</v>
      </c>
      <c r="M154">
        <v>98.7</v>
      </c>
      <c r="N154" t="e">
        <v>#N/A</v>
      </c>
      <c r="O154" t="e">
        <v>#N/A</v>
      </c>
      <c r="P154">
        <v>113.9</v>
      </c>
      <c r="Q154" s="1" t="e">
        <v>#N/A</v>
      </c>
      <c r="S154" t="str">
        <f t="shared" si="2"/>
        <v/>
      </c>
    </row>
    <row r="155" spans="1:19" x14ac:dyDescent="0.4">
      <c r="A155" s="1">
        <v>41183</v>
      </c>
      <c r="B155" s="10">
        <v>243728</v>
      </c>
      <c r="C155" s="2">
        <v>4.9530000000000003</v>
      </c>
      <c r="D155">
        <v>1.8</v>
      </c>
      <c r="E155">
        <v>119.5</v>
      </c>
      <c r="F155">
        <v>11.7</v>
      </c>
      <c r="G155" s="6">
        <v>2280</v>
      </c>
      <c r="H155">
        <v>58.1</v>
      </c>
      <c r="I155" s="3">
        <v>6.6294483840465546E-2</v>
      </c>
      <c r="L155">
        <v>95.7</v>
      </c>
      <c r="M155">
        <v>97.3</v>
      </c>
      <c r="N155">
        <v>100.8</v>
      </c>
      <c r="O155">
        <v>181179.4</v>
      </c>
      <c r="P155">
        <v>113.8</v>
      </c>
      <c r="Q155" s="1" t="e">
        <v>#N/A</v>
      </c>
      <c r="S155" t="str">
        <f t="shared" si="2"/>
        <v>2012-Q4</v>
      </c>
    </row>
    <row r="156" spans="1:19" x14ac:dyDescent="0.4">
      <c r="A156" s="1">
        <v>41214</v>
      </c>
      <c r="B156" s="10" t="e">
        <v>#N/A</v>
      </c>
      <c r="C156" s="2">
        <v>4.851</v>
      </c>
      <c r="D156">
        <v>1.7</v>
      </c>
      <c r="E156" t="e">
        <v>#N/A</v>
      </c>
      <c r="F156">
        <v>11.6</v>
      </c>
      <c r="G156" s="6">
        <v>2280</v>
      </c>
      <c r="H156" t="e">
        <v>#N/A</v>
      </c>
      <c r="I156" s="3">
        <v>7.0964768528938293E-2</v>
      </c>
      <c r="L156">
        <v>94.3</v>
      </c>
      <c r="M156">
        <v>97.2</v>
      </c>
      <c r="N156" t="e">
        <v>#N/A</v>
      </c>
      <c r="O156" t="e">
        <v>#N/A</v>
      </c>
      <c r="P156">
        <v>112.4</v>
      </c>
      <c r="Q156" s="1" t="e">
        <v>#N/A</v>
      </c>
      <c r="S156" t="str">
        <f t="shared" si="2"/>
        <v/>
      </c>
    </row>
    <row r="157" spans="1:19" x14ac:dyDescent="0.4">
      <c r="A157" s="1">
        <v>41244</v>
      </c>
      <c r="B157" s="10" t="e">
        <v>#N/A</v>
      </c>
      <c r="C157" s="2">
        <v>4.5419999999999998</v>
      </c>
      <c r="D157">
        <v>1.9</v>
      </c>
      <c r="E157" t="e">
        <v>#N/A</v>
      </c>
      <c r="F157">
        <v>11.6</v>
      </c>
      <c r="G157" s="6">
        <v>2280</v>
      </c>
      <c r="H157" t="e">
        <v>#N/A</v>
      </c>
      <c r="I157" s="3">
        <v>6.9897480309009552E-2</v>
      </c>
      <c r="L157">
        <v>95.2</v>
      </c>
      <c r="M157">
        <v>97.6</v>
      </c>
      <c r="N157" t="e">
        <v>#N/A</v>
      </c>
      <c r="O157" t="e">
        <v>#N/A</v>
      </c>
      <c r="P157">
        <v>112</v>
      </c>
      <c r="Q157" s="1" t="e">
        <v>#N/A</v>
      </c>
      <c r="S157" t="str">
        <f t="shared" si="2"/>
        <v/>
      </c>
    </row>
    <row r="158" spans="1:19" x14ac:dyDescent="0.4">
      <c r="A158" s="1">
        <v>41275</v>
      </c>
      <c r="B158" s="10">
        <v>192415</v>
      </c>
      <c r="C158" s="2">
        <v>4.2080000000000002</v>
      </c>
      <c r="D158">
        <v>2</v>
      </c>
      <c r="E158">
        <v>123</v>
      </c>
      <c r="F158">
        <v>12.1</v>
      </c>
      <c r="G158" s="6">
        <v>2370</v>
      </c>
      <c r="H158">
        <v>59.8</v>
      </c>
      <c r="I158" s="3">
        <v>0.10274852067232132</v>
      </c>
      <c r="L158">
        <v>95.1</v>
      </c>
      <c r="M158">
        <v>96.5</v>
      </c>
      <c r="N158">
        <v>99.6</v>
      </c>
      <c r="O158">
        <v>145933.70000000001</v>
      </c>
      <c r="P158">
        <v>112.3</v>
      </c>
      <c r="Q158" s="1" t="e">
        <v>#N/A</v>
      </c>
      <c r="S158" t="str">
        <f t="shared" si="2"/>
        <v>2013-Q1</v>
      </c>
    </row>
    <row r="159" spans="1:19" x14ac:dyDescent="0.4">
      <c r="A159" s="1">
        <v>41306</v>
      </c>
      <c r="B159" s="10" t="e">
        <v>#N/A</v>
      </c>
      <c r="C159" s="2">
        <v>4.4930000000000003</v>
      </c>
      <c r="D159">
        <v>1.6</v>
      </c>
      <c r="E159" t="e">
        <v>#N/A</v>
      </c>
      <c r="F159">
        <v>12.1</v>
      </c>
      <c r="G159" s="6">
        <v>2370</v>
      </c>
      <c r="H159" t="e">
        <v>#N/A</v>
      </c>
      <c r="I159" s="3">
        <v>0.1815669983625412</v>
      </c>
      <c r="L159">
        <v>94.6</v>
      </c>
      <c r="M159">
        <v>96.9</v>
      </c>
      <c r="N159" t="e">
        <v>#N/A</v>
      </c>
      <c r="O159" t="e">
        <v>#N/A</v>
      </c>
      <c r="P159">
        <v>113</v>
      </c>
      <c r="Q159" s="1" t="e">
        <v>#N/A</v>
      </c>
      <c r="S159" t="str">
        <f t="shared" si="2"/>
        <v/>
      </c>
    </row>
    <row r="160" spans="1:19" x14ac:dyDescent="0.4">
      <c r="A160" s="1">
        <v>41334</v>
      </c>
      <c r="B160" s="10" t="e">
        <v>#N/A</v>
      </c>
      <c r="C160" s="2">
        <v>4.6399999999999997</v>
      </c>
      <c r="D160">
        <v>1.6</v>
      </c>
      <c r="E160" t="e">
        <v>#N/A</v>
      </c>
      <c r="F160">
        <v>12.1</v>
      </c>
      <c r="G160" s="6">
        <v>2370</v>
      </c>
      <c r="H160" t="e">
        <v>#N/A</v>
      </c>
      <c r="I160" s="3">
        <v>0.12765051424503326</v>
      </c>
      <c r="L160">
        <v>94</v>
      </c>
      <c r="M160">
        <v>96.8</v>
      </c>
      <c r="N160" t="e">
        <v>#N/A</v>
      </c>
      <c r="O160" t="e">
        <v>#N/A</v>
      </c>
      <c r="P160">
        <v>113.2</v>
      </c>
      <c r="Q160" s="1" t="s">
        <v>37</v>
      </c>
      <c r="S160" t="str">
        <f t="shared" si="2"/>
        <v/>
      </c>
    </row>
    <row r="161" spans="1:19" x14ac:dyDescent="0.4">
      <c r="A161" s="1">
        <v>41365</v>
      </c>
      <c r="B161" s="10">
        <v>199631</v>
      </c>
      <c r="C161" s="2">
        <v>4.2779999999999996</v>
      </c>
      <c r="D161">
        <v>1.5</v>
      </c>
      <c r="E161">
        <v>125.9</v>
      </c>
      <c r="F161">
        <v>12.2</v>
      </c>
      <c r="G161" s="6">
        <v>2439</v>
      </c>
      <c r="H161">
        <v>57.8</v>
      </c>
      <c r="I161" s="3">
        <v>9.3590892851352692E-2</v>
      </c>
      <c r="L161">
        <v>93.3</v>
      </c>
      <c r="M161">
        <v>96.3</v>
      </c>
      <c r="N161">
        <v>99.4</v>
      </c>
      <c r="O161">
        <v>158988.6</v>
      </c>
      <c r="P161">
        <v>110.8</v>
      </c>
      <c r="Q161" s="1" t="s">
        <v>40</v>
      </c>
      <c r="S161" t="str">
        <f t="shared" si="2"/>
        <v>2013-Q2</v>
      </c>
    </row>
    <row r="162" spans="1:19" x14ac:dyDescent="0.4">
      <c r="A162" s="1">
        <v>41395</v>
      </c>
      <c r="B162" s="10" t="e">
        <v>#N/A</v>
      </c>
      <c r="C162" s="2">
        <v>3.964</v>
      </c>
      <c r="D162">
        <v>1.6</v>
      </c>
      <c r="E162" t="e">
        <v>#N/A</v>
      </c>
      <c r="F162">
        <v>12.4</v>
      </c>
      <c r="G162" s="6">
        <v>2439</v>
      </c>
      <c r="H162" t="e">
        <v>#N/A</v>
      </c>
      <c r="I162" s="3">
        <v>9.7409628331661224E-2</v>
      </c>
      <c r="L162">
        <v>95.1</v>
      </c>
      <c r="M162">
        <v>96.8</v>
      </c>
      <c r="N162" t="e">
        <v>#N/A</v>
      </c>
      <c r="O162" t="e">
        <v>#N/A</v>
      </c>
      <c r="P162">
        <v>109</v>
      </c>
      <c r="Q162" s="1" t="s">
        <v>37</v>
      </c>
      <c r="S162" t="str">
        <f t="shared" si="2"/>
        <v/>
      </c>
    </row>
    <row r="163" spans="1:19" x14ac:dyDescent="0.4">
      <c r="A163" s="1">
        <v>41426</v>
      </c>
      <c r="B163" s="10" t="e">
        <v>#N/A</v>
      </c>
      <c r="C163" s="2">
        <v>4.3789999999999996</v>
      </c>
      <c r="D163">
        <v>1.5</v>
      </c>
      <c r="E163" t="e">
        <v>#N/A</v>
      </c>
      <c r="F163">
        <v>12.4</v>
      </c>
      <c r="G163" s="6">
        <v>2439</v>
      </c>
      <c r="H163" t="e">
        <v>#N/A</v>
      </c>
      <c r="I163" s="3">
        <v>0.1217702329158783</v>
      </c>
      <c r="L163">
        <v>95.1</v>
      </c>
      <c r="M163">
        <v>96.6</v>
      </c>
      <c r="N163" t="e">
        <v>#N/A</v>
      </c>
      <c r="O163" t="e">
        <v>#N/A</v>
      </c>
      <c r="P163">
        <v>109.3</v>
      </c>
      <c r="Q163" s="1" t="s">
        <v>37</v>
      </c>
      <c r="S163" t="str">
        <f t="shared" si="2"/>
        <v/>
      </c>
    </row>
    <row r="164" spans="1:19" x14ac:dyDescent="0.4">
      <c r="A164" s="1">
        <v>41456</v>
      </c>
      <c r="B164" s="10">
        <v>191732</v>
      </c>
      <c r="C164" s="2">
        <v>4.4180000000000001</v>
      </c>
      <c r="D164">
        <v>1.2</v>
      </c>
      <c r="E164">
        <v>125.7</v>
      </c>
      <c r="F164">
        <v>12.2</v>
      </c>
      <c r="G164" s="6">
        <v>2434</v>
      </c>
      <c r="H164">
        <v>59.2</v>
      </c>
      <c r="I164" s="3">
        <v>0.10603204369544983</v>
      </c>
      <c r="L164">
        <v>94.9</v>
      </c>
      <c r="M164">
        <v>96.1</v>
      </c>
      <c r="N164">
        <v>99.6</v>
      </c>
      <c r="O164">
        <v>147755.29999999999</v>
      </c>
      <c r="P164">
        <v>109.9</v>
      </c>
      <c r="Q164" s="1" t="s">
        <v>41</v>
      </c>
      <c r="S164" t="str">
        <f t="shared" si="2"/>
        <v>2013-Q3</v>
      </c>
    </row>
    <row r="165" spans="1:19" x14ac:dyDescent="0.4">
      <c r="A165" s="1">
        <v>41487</v>
      </c>
      <c r="B165" s="10" t="e">
        <v>#N/A</v>
      </c>
      <c r="C165" s="2">
        <v>4.4189999999999996</v>
      </c>
      <c r="D165">
        <v>1.5</v>
      </c>
      <c r="E165" t="e">
        <v>#N/A</v>
      </c>
      <c r="F165">
        <v>12.5</v>
      </c>
      <c r="G165" s="6">
        <v>2434</v>
      </c>
      <c r="H165" t="e">
        <v>#N/A</v>
      </c>
      <c r="I165" s="3">
        <v>8.417830616235733E-2</v>
      </c>
      <c r="L165">
        <v>93.2</v>
      </c>
      <c r="M165">
        <v>96.7</v>
      </c>
      <c r="N165" t="e">
        <v>#N/A</v>
      </c>
      <c r="O165" t="e">
        <v>#N/A</v>
      </c>
      <c r="P165">
        <v>110.5</v>
      </c>
      <c r="Q165" s="1" t="e">
        <v>#N/A</v>
      </c>
      <c r="S165" t="str">
        <f t="shared" si="2"/>
        <v/>
      </c>
    </row>
    <row r="166" spans="1:19" x14ac:dyDescent="0.4">
      <c r="A166" s="1">
        <v>41518</v>
      </c>
      <c r="B166" s="10" t="e">
        <v>#N/A</v>
      </c>
      <c r="C166" s="2">
        <v>4.5410000000000004</v>
      </c>
      <c r="D166">
        <v>1.3</v>
      </c>
      <c r="E166" t="e">
        <v>#N/A</v>
      </c>
      <c r="F166">
        <v>12.6</v>
      </c>
      <c r="G166" s="6">
        <v>2434</v>
      </c>
      <c r="H166" t="e">
        <v>#N/A</v>
      </c>
      <c r="I166" s="3">
        <v>0.13468791544437408</v>
      </c>
      <c r="L166">
        <v>95</v>
      </c>
      <c r="M166">
        <v>96.6</v>
      </c>
      <c r="N166" t="e">
        <v>#N/A</v>
      </c>
      <c r="O166" t="e">
        <v>#N/A</v>
      </c>
      <c r="P166">
        <v>111</v>
      </c>
      <c r="Q166" s="1" t="s">
        <v>37</v>
      </c>
      <c r="S166" t="str">
        <f t="shared" si="2"/>
        <v/>
      </c>
    </row>
    <row r="167" spans="1:19" x14ac:dyDescent="0.4">
      <c r="A167" s="1">
        <v>41548</v>
      </c>
      <c r="B167" s="10">
        <v>241455</v>
      </c>
      <c r="C167" s="2">
        <v>4.2480000000000002</v>
      </c>
      <c r="D167">
        <v>1.1000000000000001</v>
      </c>
      <c r="E167">
        <v>125.8</v>
      </c>
      <c r="F167">
        <v>12.6</v>
      </c>
      <c r="G167" s="6">
        <v>2463</v>
      </c>
      <c r="H167">
        <v>61.4</v>
      </c>
      <c r="I167" s="3">
        <v>0.13382038474082947</v>
      </c>
      <c r="L167">
        <v>95.3</v>
      </c>
      <c r="M167">
        <v>96.6</v>
      </c>
      <c r="N167">
        <v>99.3</v>
      </c>
      <c r="O167">
        <v>181436.2</v>
      </c>
      <c r="P167">
        <v>109.7</v>
      </c>
      <c r="Q167" s="1" t="s">
        <v>37</v>
      </c>
      <c r="S167" t="str">
        <f t="shared" si="2"/>
        <v>2013-Q4</v>
      </c>
    </row>
    <row r="168" spans="1:19" x14ac:dyDescent="0.4">
      <c r="A168" s="1">
        <v>41579</v>
      </c>
      <c r="B168" s="10" t="e">
        <v>#N/A</v>
      </c>
      <c r="C168" s="2">
        <v>4.0949999999999998</v>
      </c>
      <c r="D168">
        <v>1.1000000000000001</v>
      </c>
      <c r="E168" t="e">
        <v>#N/A</v>
      </c>
      <c r="F168">
        <v>12.6</v>
      </c>
      <c r="G168" s="6">
        <v>2463</v>
      </c>
      <c r="H168" t="e">
        <v>#N/A</v>
      </c>
      <c r="I168" s="3">
        <v>4.9233101308345795E-2</v>
      </c>
      <c r="L168">
        <v>95</v>
      </c>
      <c r="M168">
        <v>96.8</v>
      </c>
      <c r="N168" t="e">
        <v>#N/A</v>
      </c>
      <c r="O168" t="e">
        <v>#N/A</v>
      </c>
      <c r="P168">
        <v>108.8</v>
      </c>
      <c r="Q168" s="1" t="s">
        <v>37</v>
      </c>
      <c r="S168" t="str">
        <f t="shared" si="2"/>
        <v/>
      </c>
    </row>
    <row r="169" spans="1:19" x14ac:dyDescent="0.4">
      <c r="A169" s="1">
        <v>41609</v>
      </c>
      <c r="B169" s="10" t="e">
        <v>#N/A</v>
      </c>
      <c r="C169" s="2">
        <v>4.1139999999999999</v>
      </c>
      <c r="D169">
        <v>1</v>
      </c>
      <c r="E169" t="e">
        <v>#N/A</v>
      </c>
      <c r="F169">
        <v>12.6</v>
      </c>
      <c r="G169" s="6">
        <v>2463</v>
      </c>
      <c r="H169" t="e">
        <v>#N/A</v>
      </c>
      <c r="I169" s="3">
        <v>6.6611155867576599E-2</v>
      </c>
      <c r="L169">
        <v>94</v>
      </c>
      <c r="M169">
        <v>96.4</v>
      </c>
      <c r="N169" t="e">
        <v>#N/A</v>
      </c>
      <c r="O169" t="e">
        <v>#N/A</v>
      </c>
      <c r="P169">
        <v>109.5</v>
      </c>
      <c r="Q169" s="1" t="s">
        <v>37</v>
      </c>
      <c r="S169" t="str">
        <f t="shared" si="2"/>
        <v/>
      </c>
    </row>
    <row r="170" spans="1:19" x14ac:dyDescent="0.4">
      <c r="A170" s="1">
        <v>41640</v>
      </c>
      <c r="B170" s="10">
        <v>191216</v>
      </c>
      <c r="C170" s="2">
        <v>3.8660000000000001</v>
      </c>
      <c r="D170">
        <v>0.9</v>
      </c>
      <c r="E170">
        <v>128.4</v>
      </c>
      <c r="F170">
        <v>13</v>
      </c>
      <c r="G170" s="6">
        <v>2533</v>
      </c>
      <c r="H170">
        <v>63.9</v>
      </c>
      <c r="I170" s="3">
        <v>7.46268630027771E-2</v>
      </c>
      <c r="L170">
        <v>95.6</v>
      </c>
      <c r="M170">
        <v>96.5</v>
      </c>
      <c r="N170">
        <v>99.6</v>
      </c>
      <c r="O170">
        <v>145465.20000000001</v>
      </c>
      <c r="P170">
        <v>109.8</v>
      </c>
      <c r="Q170" s="1" t="s">
        <v>37</v>
      </c>
      <c r="S170" t="str">
        <f t="shared" si="2"/>
        <v>2014-Q1</v>
      </c>
    </row>
    <row r="171" spans="1:19" x14ac:dyDescent="0.4">
      <c r="A171" s="1">
        <v>41671</v>
      </c>
      <c r="B171" s="10" t="e">
        <v>#N/A</v>
      </c>
      <c r="C171" s="2">
        <v>3.6509999999999998</v>
      </c>
      <c r="D171">
        <v>0.8</v>
      </c>
      <c r="E171" t="e">
        <v>#N/A</v>
      </c>
      <c r="F171">
        <v>12.9</v>
      </c>
      <c r="G171" s="6">
        <v>2533</v>
      </c>
      <c r="H171" t="e">
        <v>#N/A</v>
      </c>
      <c r="I171" s="3">
        <v>0.10369141399860382</v>
      </c>
      <c r="L171">
        <v>94.9</v>
      </c>
      <c r="M171">
        <v>96.5</v>
      </c>
      <c r="N171" t="e">
        <v>#N/A</v>
      </c>
      <c r="O171" t="e">
        <v>#N/A</v>
      </c>
      <c r="P171">
        <v>109.3</v>
      </c>
      <c r="Q171" s="1" t="s">
        <v>42</v>
      </c>
      <c r="S171" t="str">
        <f t="shared" si="2"/>
        <v/>
      </c>
    </row>
    <row r="172" spans="1:19" x14ac:dyDescent="0.4">
      <c r="A172" s="1">
        <v>41699</v>
      </c>
      <c r="B172" s="10" t="e">
        <v>#N/A</v>
      </c>
      <c r="C172" s="2">
        <v>3.399</v>
      </c>
      <c r="D172">
        <v>0.7</v>
      </c>
      <c r="E172" t="e">
        <v>#N/A</v>
      </c>
      <c r="F172">
        <v>12.8</v>
      </c>
      <c r="G172" s="6">
        <v>2533</v>
      </c>
      <c r="H172" t="e">
        <v>#N/A</v>
      </c>
      <c r="I172" s="3">
        <v>0.34604650735855103</v>
      </c>
      <c r="L172">
        <v>93.7</v>
      </c>
      <c r="M172">
        <v>96.7</v>
      </c>
      <c r="N172" t="e">
        <v>#N/A</v>
      </c>
      <c r="O172" t="e">
        <v>#N/A</v>
      </c>
      <c r="P172">
        <v>109.1</v>
      </c>
      <c r="Q172" s="1" t="s">
        <v>37</v>
      </c>
      <c r="S172" t="str">
        <f t="shared" si="2"/>
        <v/>
      </c>
    </row>
    <row r="173" spans="1:19" x14ac:dyDescent="0.4">
      <c r="A173" s="1">
        <v>41730</v>
      </c>
      <c r="B173" s="10">
        <v>198668</v>
      </c>
      <c r="C173" s="2">
        <v>3.2280000000000002</v>
      </c>
      <c r="D173">
        <v>0.9</v>
      </c>
      <c r="E173">
        <v>131.4</v>
      </c>
      <c r="F173">
        <v>12.8</v>
      </c>
      <c r="G173" s="6">
        <v>2458</v>
      </c>
      <c r="H173">
        <v>64.099999999999994</v>
      </c>
      <c r="I173" s="3">
        <v>0.14985999464988708</v>
      </c>
      <c r="L173">
        <v>94.7</v>
      </c>
      <c r="M173">
        <v>97.5</v>
      </c>
      <c r="N173">
        <v>99.5</v>
      </c>
      <c r="O173">
        <v>159224.20000000001</v>
      </c>
      <c r="P173">
        <v>107.7</v>
      </c>
      <c r="Q173" s="1" t="s">
        <v>43</v>
      </c>
      <c r="S173" t="str">
        <f t="shared" si="2"/>
        <v>2014-Q2</v>
      </c>
    </row>
    <row r="174" spans="1:19" x14ac:dyDescent="0.4">
      <c r="A174" s="1">
        <v>41760</v>
      </c>
      <c r="B174" s="10" t="e">
        <v>#N/A</v>
      </c>
      <c r="C174" s="2">
        <v>3.1230000000000002</v>
      </c>
      <c r="D174">
        <v>0.5</v>
      </c>
      <c r="E174" t="e">
        <v>#N/A</v>
      </c>
      <c r="F174">
        <v>12.7</v>
      </c>
      <c r="G174" s="6">
        <v>2458</v>
      </c>
      <c r="H174" t="e">
        <v>#N/A</v>
      </c>
      <c r="I174" s="3">
        <v>0.12417685985565186</v>
      </c>
      <c r="L174">
        <v>93.4</v>
      </c>
      <c r="M174">
        <v>97.1</v>
      </c>
      <c r="N174" t="e">
        <v>#N/A</v>
      </c>
      <c r="O174" t="e">
        <v>#N/A</v>
      </c>
      <c r="P174">
        <v>107.8</v>
      </c>
      <c r="Q174" s="1" t="s">
        <v>43</v>
      </c>
      <c r="S174" t="str">
        <f t="shared" si="2"/>
        <v/>
      </c>
    </row>
    <row r="175" spans="1:19" x14ac:dyDescent="0.4">
      <c r="A175" s="1">
        <v>41791</v>
      </c>
      <c r="B175" s="10" t="e">
        <v>#N/A</v>
      </c>
      <c r="C175" s="2">
        <v>2.92</v>
      </c>
      <c r="D175">
        <v>0.4</v>
      </c>
      <c r="E175" t="e">
        <v>#N/A</v>
      </c>
      <c r="F175">
        <v>12.2</v>
      </c>
      <c r="G175" s="6">
        <v>2458</v>
      </c>
      <c r="H175" t="e">
        <v>#N/A</v>
      </c>
      <c r="I175" s="3">
        <v>7.5348988175392151E-2</v>
      </c>
      <c r="L175">
        <v>95.3</v>
      </c>
      <c r="M175">
        <v>97</v>
      </c>
      <c r="N175" t="e">
        <v>#N/A</v>
      </c>
      <c r="O175" t="e">
        <v>#N/A</v>
      </c>
      <c r="P175">
        <v>107.9</v>
      </c>
      <c r="Q175" s="1" t="s">
        <v>43</v>
      </c>
      <c r="S175" t="str">
        <f t="shared" si="2"/>
        <v/>
      </c>
    </row>
    <row r="176" spans="1:19" x14ac:dyDescent="0.4">
      <c r="A176" s="1">
        <v>41821</v>
      </c>
      <c r="B176" s="10">
        <v>192016</v>
      </c>
      <c r="C176" s="2">
        <v>2.794</v>
      </c>
      <c r="D176">
        <v>0.3</v>
      </c>
      <c r="E176">
        <v>129.19999999999999</v>
      </c>
      <c r="F176">
        <v>12.9</v>
      </c>
      <c r="G176" s="6">
        <v>2515</v>
      </c>
      <c r="H176">
        <v>64.3</v>
      </c>
      <c r="I176" s="3">
        <v>0.19612458348274231</v>
      </c>
      <c r="L176">
        <v>93.9</v>
      </c>
      <c r="M176">
        <v>96.4</v>
      </c>
      <c r="N176">
        <v>99.6</v>
      </c>
      <c r="O176">
        <v>148675.4</v>
      </c>
      <c r="P176">
        <v>106.8</v>
      </c>
      <c r="Q176" s="1" t="s">
        <v>43</v>
      </c>
      <c r="S176" t="str">
        <f t="shared" si="2"/>
        <v>2014-Q3</v>
      </c>
    </row>
    <row r="177" spans="1:19" x14ac:dyDescent="0.4">
      <c r="A177" s="1">
        <v>41852</v>
      </c>
      <c r="B177" s="10" t="e">
        <v>#N/A</v>
      </c>
      <c r="C177" s="2">
        <v>2.633</v>
      </c>
      <c r="D177">
        <v>0.2</v>
      </c>
      <c r="E177" t="e">
        <v>#N/A</v>
      </c>
      <c r="F177">
        <v>12.5</v>
      </c>
      <c r="G177" s="6">
        <v>2515</v>
      </c>
      <c r="H177" t="e">
        <v>#N/A</v>
      </c>
      <c r="I177" s="3">
        <v>0.27311098575592041</v>
      </c>
      <c r="L177">
        <v>92.5</v>
      </c>
      <c r="M177">
        <v>96.6</v>
      </c>
      <c r="N177" t="e">
        <v>#N/A</v>
      </c>
      <c r="O177" t="e">
        <v>#N/A</v>
      </c>
      <c r="P177">
        <v>106.5</v>
      </c>
      <c r="Q177" s="1" t="s">
        <v>43</v>
      </c>
      <c r="S177" t="str">
        <f t="shared" si="2"/>
        <v/>
      </c>
    </row>
    <row r="178" spans="1:19" x14ac:dyDescent="0.4">
      <c r="A178" s="1">
        <v>41883</v>
      </c>
      <c r="B178" s="10" t="e">
        <v>#N/A</v>
      </c>
      <c r="C178" s="2">
        <v>2.4</v>
      </c>
      <c r="D178">
        <v>0.3</v>
      </c>
      <c r="E178" t="e">
        <v>#N/A</v>
      </c>
      <c r="F178">
        <v>12.9</v>
      </c>
      <c r="G178" s="6">
        <v>2515</v>
      </c>
      <c r="H178" t="e">
        <v>#N/A</v>
      </c>
      <c r="I178" s="3">
        <v>0.25289016962051392</v>
      </c>
      <c r="L178">
        <v>93.2</v>
      </c>
      <c r="M178">
        <v>97.4</v>
      </c>
      <c r="N178" t="e">
        <v>#N/A</v>
      </c>
      <c r="O178" t="e">
        <v>#N/A</v>
      </c>
      <c r="P178">
        <v>106.1</v>
      </c>
      <c r="Q178" s="1" t="s">
        <v>43</v>
      </c>
      <c r="S178" t="str">
        <f t="shared" si="2"/>
        <v/>
      </c>
    </row>
    <row r="179" spans="1:19" x14ac:dyDescent="0.4">
      <c r="A179" s="1">
        <v>41913</v>
      </c>
      <c r="B179" s="10">
        <v>247732</v>
      </c>
      <c r="C179" s="2">
        <v>2.4239999999999999</v>
      </c>
      <c r="D179">
        <v>0.5</v>
      </c>
      <c r="E179">
        <v>129.30000000000001</v>
      </c>
      <c r="F179">
        <v>13</v>
      </c>
      <c r="G179" s="6">
        <v>2585</v>
      </c>
      <c r="H179">
        <v>63.9</v>
      </c>
      <c r="I179" s="3">
        <v>0.1254657506942749</v>
      </c>
      <c r="L179">
        <v>93.1</v>
      </c>
      <c r="M179">
        <v>97.6</v>
      </c>
      <c r="N179">
        <v>99.9</v>
      </c>
      <c r="O179">
        <v>182573</v>
      </c>
      <c r="P179">
        <v>107</v>
      </c>
      <c r="Q179" s="1" t="s">
        <v>43</v>
      </c>
      <c r="S179" t="str">
        <f t="shared" si="2"/>
        <v>2014-Q4</v>
      </c>
    </row>
    <row r="180" spans="1:19" x14ac:dyDescent="0.4">
      <c r="A180" s="1">
        <v>41944</v>
      </c>
      <c r="B180" s="10" t="e">
        <v>#N/A</v>
      </c>
      <c r="C180" s="2">
        <v>2.29</v>
      </c>
      <c r="D180">
        <v>0.5</v>
      </c>
      <c r="E180" t="e">
        <v>#N/A</v>
      </c>
      <c r="F180">
        <v>13.3</v>
      </c>
      <c r="G180" s="6">
        <v>2585</v>
      </c>
      <c r="H180" t="e">
        <v>#N/A</v>
      </c>
      <c r="I180" s="3">
        <v>8.0473184585571289E-2</v>
      </c>
      <c r="L180">
        <v>93.1</v>
      </c>
      <c r="M180">
        <v>98.5</v>
      </c>
      <c r="N180" t="e">
        <v>#N/A</v>
      </c>
      <c r="O180" t="e">
        <v>#N/A</v>
      </c>
      <c r="P180">
        <v>105.7</v>
      </c>
      <c r="Q180" s="1" t="e">
        <v>#N/A</v>
      </c>
      <c r="S180" t="str">
        <f t="shared" si="2"/>
        <v/>
      </c>
    </row>
    <row r="181" spans="1:19" x14ac:dyDescent="0.4">
      <c r="A181" s="1">
        <v>41974</v>
      </c>
      <c r="B181" s="10" t="e">
        <v>#N/A</v>
      </c>
      <c r="C181" s="2">
        <v>1.99</v>
      </c>
      <c r="D181">
        <v>0.4</v>
      </c>
      <c r="E181" t="e">
        <v>#N/A</v>
      </c>
      <c r="F181">
        <v>12.4</v>
      </c>
      <c r="G181" s="6">
        <v>2585</v>
      </c>
      <c r="H181" t="e">
        <v>#N/A</v>
      </c>
      <c r="I181" s="3">
        <v>8.2734599709510803E-2</v>
      </c>
      <c r="L181">
        <v>94.1</v>
      </c>
      <c r="M181">
        <v>98.5</v>
      </c>
      <c r="N181" t="e">
        <v>#N/A</v>
      </c>
      <c r="O181" t="e">
        <v>#N/A</v>
      </c>
      <c r="P181">
        <v>103.7</v>
      </c>
      <c r="Q181" s="1" t="s">
        <v>44</v>
      </c>
      <c r="S181" t="str">
        <f t="shared" si="2"/>
        <v/>
      </c>
    </row>
    <row r="182" spans="1:19" x14ac:dyDescent="0.4">
      <c r="A182" s="1">
        <v>42005</v>
      </c>
      <c r="B182" s="10">
        <v>191637</v>
      </c>
      <c r="C182" s="2">
        <v>1.702</v>
      </c>
      <c r="D182">
        <v>0.4</v>
      </c>
      <c r="E182">
        <v>131.9</v>
      </c>
      <c r="F182">
        <v>12.4</v>
      </c>
      <c r="G182" s="6">
        <v>2475</v>
      </c>
      <c r="H182">
        <v>62.4</v>
      </c>
      <c r="I182" s="3">
        <v>0.14658458530902863</v>
      </c>
      <c r="L182">
        <v>93.7</v>
      </c>
      <c r="M182">
        <v>98.6</v>
      </c>
      <c r="N182">
        <v>99.5</v>
      </c>
      <c r="O182">
        <v>147632.1</v>
      </c>
      <c r="P182">
        <v>99.8</v>
      </c>
      <c r="Q182" s="1" t="e">
        <v>#N/A</v>
      </c>
      <c r="S182" t="str">
        <f t="shared" si="2"/>
        <v>2015-Q1</v>
      </c>
    </row>
    <row r="183" spans="1:19" x14ac:dyDescent="0.4">
      <c r="A183" s="1">
        <v>42036</v>
      </c>
      <c r="B183" s="10" t="e">
        <v>#N/A</v>
      </c>
      <c r="C183" s="2">
        <v>1.5569999999999999</v>
      </c>
      <c r="D183">
        <v>1</v>
      </c>
      <c r="E183" t="e">
        <v>#N/A</v>
      </c>
      <c r="F183">
        <v>12.4</v>
      </c>
      <c r="G183" s="6">
        <v>2475</v>
      </c>
      <c r="H183" t="e">
        <v>#N/A</v>
      </c>
      <c r="I183" s="3">
        <v>0.1733260303735733</v>
      </c>
      <c r="L183">
        <v>94.5</v>
      </c>
      <c r="M183">
        <v>98.6</v>
      </c>
      <c r="N183" t="e">
        <v>#N/A</v>
      </c>
      <c r="O183" t="e">
        <v>#N/A</v>
      </c>
      <c r="P183">
        <v>100.1</v>
      </c>
      <c r="Q183" s="1" t="e">
        <v>#N/A</v>
      </c>
      <c r="S183" t="str">
        <f t="shared" si="2"/>
        <v/>
      </c>
    </row>
    <row r="184" spans="1:19" x14ac:dyDescent="0.4">
      <c r="A184" s="1">
        <v>42064</v>
      </c>
      <c r="B184" s="10" t="e">
        <v>#N/A</v>
      </c>
      <c r="C184" s="2">
        <v>1.294</v>
      </c>
      <c r="D184">
        <v>0.7</v>
      </c>
      <c r="E184" t="e">
        <v>#N/A</v>
      </c>
      <c r="F184">
        <v>12.6</v>
      </c>
      <c r="G184" s="6">
        <v>2475</v>
      </c>
      <c r="H184" t="e">
        <v>#N/A</v>
      </c>
      <c r="I184" s="3">
        <v>4.9429502338171005E-2</v>
      </c>
      <c r="L184">
        <v>94.8</v>
      </c>
      <c r="M184">
        <v>98.6</v>
      </c>
      <c r="N184" t="e">
        <v>#N/A</v>
      </c>
      <c r="O184" t="e">
        <v>#N/A</v>
      </c>
      <c r="P184">
        <v>102</v>
      </c>
      <c r="Q184" s="1" t="e">
        <v>#N/A</v>
      </c>
      <c r="S184" t="str">
        <f t="shared" si="2"/>
        <v/>
      </c>
    </row>
    <row r="185" spans="1:19" x14ac:dyDescent="0.4">
      <c r="A185" s="1">
        <v>42095</v>
      </c>
      <c r="B185" s="10">
        <v>202366</v>
      </c>
      <c r="C185" s="2">
        <v>1.357</v>
      </c>
      <c r="D185">
        <v>0.5</v>
      </c>
      <c r="E185">
        <v>132.69999999999999</v>
      </c>
      <c r="F185">
        <v>12.2</v>
      </c>
      <c r="G185" s="6">
        <v>2451</v>
      </c>
      <c r="H185">
        <v>61.6</v>
      </c>
      <c r="I185" s="3">
        <v>0.24231603741645813</v>
      </c>
      <c r="L185">
        <v>95</v>
      </c>
      <c r="M185">
        <v>98.6</v>
      </c>
      <c r="N185">
        <v>99.9</v>
      </c>
      <c r="O185">
        <v>162452.29999999999</v>
      </c>
      <c r="P185">
        <v>100.8</v>
      </c>
      <c r="Q185" s="1" t="e">
        <v>#N/A</v>
      </c>
      <c r="S185" t="str">
        <f t="shared" si="2"/>
        <v>2015-Q2</v>
      </c>
    </row>
    <row r="186" spans="1:19" x14ac:dyDescent="0.4">
      <c r="A186" s="1">
        <v>42125</v>
      </c>
      <c r="B186" s="10" t="e">
        <v>#N/A</v>
      </c>
      <c r="C186" s="2">
        <v>1.8120000000000001</v>
      </c>
      <c r="D186">
        <v>0.8</v>
      </c>
      <c r="E186" t="e">
        <v>#N/A</v>
      </c>
      <c r="F186">
        <v>12.4</v>
      </c>
      <c r="G186" s="6">
        <v>2451</v>
      </c>
      <c r="H186" t="e">
        <v>#N/A</v>
      </c>
      <c r="I186" s="3">
        <v>6.840822845697403E-2</v>
      </c>
      <c r="L186">
        <v>95.9</v>
      </c>
      <c r="M186">
        <v>98.8</v>
      </c>
      <c r="N186" t="e">
        <v>#N/A</v>
      </c>
      <c r="O186" t="e">
        <v>#N/A</v>
      </c>
      <c r="P186">
        <v>101.6</v>
      </c>
      <c r="Q186" s="1" t="e">
        <v>#N/A</v>
      </c>
      <c r="S186" t="str">
        <f t="shared" si="2"/>
        <v/>
      </c>
    </row>
    <row r="187" spans="1:19" x14ac:dyDescent="0.4">
      <c r="A187" s="1">
        <v>42156</v>
      </c>
      <c r="B187" s="10" t="e">
        <v>#N/A</v>
      </c>
      <c r="C187" s="2">
        <v>2.1989999999999998</v>
      </c>
      <c r="D187">
        <v>0.9</v>
      </c>
      <c r="E187" t="e">
        <v>#N/A</v>
      </c>
      <c r="F187">
        <v>12.4</v>
      </c>
      <c r="G187" s="6">
        <v>2451</v>
      </c>
      <c r="H187" t="e">
        <v>#N/A</v>
      </c>
      <c r="I187" s="3">
        <v>0.17322015762329102</v>
      </c>
      <c r="L187">
        <v>95.4</v>
      </c>
      <c r="M187">
        <v>99</v>
      </c>
      <c r="N187" t="e">
        <v>#N/A</v>
      </c>
      <c r="O187" t="e">
        <v>#N/A</v>
      </c>
      <c r="P187">
        <v>101.6</v>
      </c>
      <c r="Q187" s="1" t="e">
        <v>#N/A</v>
      </c>
      <c r="S187" t="str">
        <f t="shared" si="2"/>
        <v/>
      </c>
    </row>
    <row r="188" spans="1:19" x14ac:dyDescent="0.4">
      <c r="A188" s="1">
        <v>42186</v>
      </c>
      <c r="B188" s="10">
        <v>192322</v>
      </c>
      <c r="C188" s="2">
        <v>2.0419999999999998</v>
      </c>
      <c r="D188">
        <v>1</v>
      </c>
      <c r="E188">
        <v>131.4</v>
      </c>
      <c r="F188">
        <v>11.7</v>
      </c>
      <c r="G188" s="6">
        <v>2319</v>
      </c>
      <c r="H188">
        <v>60.1</v>
      </c>
      <c r="I188" s="3">
        <v>0.13853412866592407</v>
      </c>
      <c r="L188">
        <v>96.4</v>
      </c>
      <c r="M188">
        <v>100</v>
      </c>
      <c r="N188">
        <v>100.1</v>
      </c>
      <c r="O188">
        <v>152178.5</v>
      </c>
      <c r="P188">
        <v>101</v>
      </c>
      <c r="Q188" s="1" t="e">
        <v>#N/A</v>
      </c>
      <c r="S188" t="str">
        <f t="shared" si="2"/>
        <v>2015-Q3</v>
      </c>
    </row>
    <row r="189" spans="1:19" x14ac:dyDescent="0.4">
      <c r="A189" s="1">
        <v>42217</v>
      </c>
      <c r="B189" s="10" t="e">
        <v>#N/A</v>
      </c>
      <c r="C189" s="2">
        <v>1.839</v>
      </c>
      <c r="D189">
        <v>1</v>
      </c>
      <c r="E189" t="e">
        <v>#N/A</v>
      </c>
      <c r="F189">
        <v>11.6</v>
      </c>
      <c r="G189" s="6">
        <v>2319</v>
      </c>
      <c r="H189" t="e">
        <v>#N/A</v>
      </c>
      <c r="I189" s="3">
        <v>0.10366600751876831</v>
      </c>
      <c r="L189">
        <v>94</v>
      </c>
      <c r="M189">
        <v>99.6</v>
      </c>
      <c r="N189" t="e">
        <v>#N/A</v>
      </c>
      <c r="O189" t="e">
        <v>#N/A</v>
      </c>
      <c r="P189">
        <v>99.7</v>
      </c>
      <c r="Q189" s="1" t="e">
        <v>#N/A</v>
      </c>
      <c r="S189" t="str">
        <f t="shared" si="2"/>
        <v/>
      </c>
    </row>
    <row r="190" spans="1:19" x14ac:dyDescent="0.4">
      <c r="A190" s="1">
        <v>42248</v>
      </c>
      <c r="B190" s="10" t="e">
        <v>#N/A</v>
      </c>
      <c r="C190" s="2">
        <v>1.92</v>
      </c>
      <c r="D190">
        <v>1.1000000000000001</v>
      </c>
      <c r="E190" t="e">
        <v>#N/A</v>
      </c>
      <c r="F190">
        <v>11.6</v>
      </c>
      <c r="G190" s="6">
        <v>2319</v>
      </c>
      <c r="H190" t="e">
        <v>#N/A</v>
      </c>
      <c r="I190" s="3">
        <v>0.14790324866771698</v>
      </c>
      <c r="L190">
        <v>95.1</v>
      </c>
      <c r="M190">
        <v>99.1</v>
      </c>
      <c r="N190" t="e">
        <v>#N/A</v>
      </c>
      <c r="O190" t="e">
        <v>#N/A</v>
      </c>
      <c r="P190">
        <v>98</v>
      </c>
      <c r="Q190" s="1" t="e">
        <v>#N/A</v>
      </c>
      <c r="S190" t="str">
        <f t="shared" si="2"/>
        <v/>
      </c>
    </row>
    <row r="191" spans="1:19" x14ac:dyDescent="0.4">
      <c r="A191" s="1">
        <v>42278</v>
      </c>
      <c r="B191" s="10">
        <v>249369</v>
      </c>
      <c r="C191" s="2">
        <v>1.696</v>
      </c>
      <c r="D191">
        <v>1.2</v>
      </c>
      <c r="E191">
        <v>129.6</v>
      </c>
      <c r="F191">
        <v>11.8</v>
      </c>
      <c r="G191" s="6">
        <v>2337</v>
      </c>
      <c r="H191">
        <v>61.4</v>
      </c>
      <c r="I191" s="3">
        <v>6.893475353717804E-2</v>
      </c>
      <c r="L191">
        <v>95.2</v>
      </c>
      <c r="M191">
        <v>98.6</v>
      </c>
      <c r="N191">
        <v>100.5</v>
      </c>
      <c r="O191">
        <v>187052.3</v>
      </c>
      <c r="P191">
        <v>98.8</v>
      </c>
      <c r="Q191" s="1" t="s">
        <v>43</v>
      </c>
      <c r="S191" t="str">
        <f t="shared" si="2"/>
        <v>2015-Q4</v>
      </c>
    </row>
    <row r="192" spans="1:19" x14ac:dyDescent="0.4">
      <c r="A192" s="1">
        <v>42309</v>
      </c>
      <c r="B192" s="10" t="e">
        <v>#N/A</v>
      </c>
      <c r="C192" s="2">
        <v>1.57</v>
      </c>
      <c r="D192">
        <v>0.9</v>
      </c>
      <c r="E192" t="e">
        <v>#N/A</v>
      </c>
      <c r="F192">
        <v>11.5</v>
      </c>
      <c r="G192" s="6">
        <v>2337</v>
      </c>
      <c r="H192" t="e">
        <v>#N/A</v>
      </c>
      <c r="I192" s="3">
        <v>0.18721461296081543</v>
      </c>
      <c r="L192">
        <v>96</v>
      </c>
      <c r="M192">
        <v>98.5</v>
      </c>
      <c r="N192" t="e">
        <v>#N/A</v>
      </c>
      <c r="O192" t="e">
        <v>#N/A</v>
      </c>
      <c r="P192">
        <v>98.5</v>
      </c>
      <c r="Q192" s="1" t="e">
        <v>#N/A</v>
      </c>
      <c r="S192" t="str">
        <f t="shared" si="2"/>
        <v/>
      </c>
    </row>
    <row r="193" spans="1:19" x14ac:dyDescent="0.4">
      <c r="A193" s="1">
        <v>42339</v>
      </c>
      <c r="B193" s="10" t="e">
        <v>#N/A</v>
      </c>
      <c r="C193" s="2">
        <v>1.579</v>
      </c>
      <c r="D193">
        <v>0.7</v>
      </c>
      <c r="E193" t="e">
        <v>#N/A</v>
      </c>
      <c r="F193">
        <v>11.7</v>
      </c>
      <c r="G193" s="6">
        <v>2337</v>
      </c>
      <c r="H193" t="e">
        <v>#N/A</v>
      </c>
      <c r="I193" s="3">
        <v>0.17214243113994598</v>
      </c>
      <c r="L193">
        <v>94.1</v>
      </c>
      <c r="M193">
        <v>98.8</v>
      </c>
      <c r="N193" t="e">
        <v>#N/A</v>
      </c>
      <c r="O193" t="e">
        <v>#N/A</v>
      </c>
      <c r="P193">
        <v>98.1</v>
      </c>
      <c r="Q193" s="1" t="e">
        <v>#N/A</v>
      </c>
      <c r="S193" t="str">
        <f t="shared" si="2"/>
        <v/>
      </c>
    </row>
    <row r="194" spans="1:19" x14ac:dyDescent="0.4">
      <c r="A194" s="1">
        <v>42370</v>
      </c>
      <c r="B194" s="10">
        <v>193348</v>
      </c>
      <c r="C194" s="2">
        <v>1.534</v>
      </c>
      <c r="D194">
        <v>0.9</v>
      </c>
      <c r="E194">
        <v>132.19999999999999</v>
      </c>
      <c r="F194">
        <v>11.6</v>
      </c>
      <c r="G194" s="6">
        <v>2340</v>
      </c>
      <c r="H194">
        <v>62.1</v>
      </c>
      <c r="I194" s="3">
        <v>0.17148683965206146</v>
      </c>
      <c r="L194">
        <v>97</v>
      </c>
      <c r="M194">
        <v>98.6</v>
      </c>
      <c r="N194">
        <v>102.2</v>
      </c>
      <c r="O194">
        <v>151833</v>
      </c>
      <c r="P194">
        <v>95.7</v>
      </c>
      <c r="Q194" s="1" t="e">
        <v>#N/A</v>
      </c>
      <c r="S194" t="str">
        <f t="shared" si="2"/>
        <v>2016-Q1</v>
      </c>
    </row>
    <row r="195" spans="1:19" x14ac:dyDescent="0.4">
      <c r="A195" s="1">
        <v>42401</v>
      </c>
      <c r="B195" s="10" t="e">
        <v>#N/A</v>
      </c>
      <c r="C195" s="2">
        <v>1.5580000000000001</v>
      </c>
      <c r="D195">
        <v>0.3</v>
      </c>
      <c r="E195" t="e">
        <v>#N/A</v>
      </c>
      <c r="F195">
        <v>11.7</v>
      </c>
      <c r="G195" s="6">
        <v>2340</v>
      </c>
      <c r="H195" t="e">
        <v>#N/A</v>
      </c>
      <c r="I195" s="3">
        <v>0.12232116609811783</v>
      </c>
      <c r="L195">
        <v>95.6</v>
      </c>
      <c r="M195">
        <v>99.3</v>
      </c>
      <c r="N195" t="e">
        <v>#N/A</v>
      </c>
      <c r="O195" t="e">
        <v>#N/A</v>
      </c>
      <c r="P195">
        <v>94.6</v>
      </c>
      <c r="Q195" s="1" t="e">
        <v>#N/A</v>
      </c>
      <c r="S195" t="str">
        <f t="shared" ref="S195:S258" si="3">IF(MONTH($A195) = 1, YEAR($A195)&amp;"-Q"&amp;MONTH($A195), IF(MONTH($A195) = 4, YEAR($A195)&amp;"-Q2", IF(MONTH($A195) = 7, YEAR($A195)&amp;"-Q3", IF(MONTH($A195) = 10, YEAR($A195)&amp;"-Q4",""))))</f>
        <v/>
      </c>
    </row>
    <row r="196" spans="1:19" x14ac:dyDescent="0.4">
      <c r="A196" s="1">
        <v>42430</v>
      </c>
      <c r="B196" s="10" t="e">
        <v>#N/A</v>
      </c>
      <c r="C196" s="2">
        <v>1.375</v>
      </c>
      <c r="D196">
        <v>0.5</v>
      </c>
      <c r="E196" t="e">
        <v>#N/A</v>
      </c>
      <c r="F196">
        <v>11.6</v>
      </c>
      <c r="G196" s="6">
        <v>2340</v>
      </c>
      <c r="H196" t="e">
        <v>#N/A</v>
      </c>
      <c r="I196" s="3">
        <v>0.13127517700195313</v>
      </c>
      <c r="L196">
        <v>95.7</v>
      </c>
      <c r="M196">
        <v>98.7</v>
      </c>
      <c r="N196" t="e">
        <v>#N/A</v>
      </c>
      <c r="O196" t="e">
        <v>#N/A</v>
      </c>
      <c r="P196">
        <v>94.9</v>
      </c>
      <c r="Q196" s="1" t="e">
        <v>#N/A</v>
      </c>
      <c r="S196" t="str">
        <f t="shared" si="3"/>
        <v/>
      </c>
    </row>
    <row r="197" spans="1:19" x14ac:dyDescent="0.4">
      <c r="A197" s="1">
        <v>42461</v>
      </c>
      <c r="B197" s="10">
        <v>199545</v>
      </c>
      <c r="C197" s="2">
        <v>1.4419999999999999</v>
      </c>
      <c r="D197">
        <v>0.5</v>
      </c>
      <c r="E197">
        <v>132.80000000000001</v>
      </c>
      <c r="F197">
        <v>11.9</v>
      </c>
      <c r="G197" s="6">
        <v>2390</v>
      </c>
      <c r="H197">
        <v>60.9</v>
      </c>
      <c r="I197" s="3">
        <v>0.14871962368488312</v>
      </c>
      <c r="L197">
        <v>97.4</v>
      </c>
      <c r="M197">
        <v>99.1</v>
      </c>
      <c r="N197">
        <v>101.9</v>
      </c>
      <c r="O197">
        <v>166939.79999999999</v>
      </c>
      <c r="P197">
        <v>92.5</v>
      </c>
      <c r="Q197" s="1" t="s">
        <v>43</v>
      </c>
      <c r="S197" t="str">
        <f t="shared" si="3"/>
        <v>2016-Q2</v>
      </c>
    </row>
    <row r="198" spans="1:19" x14ac:dyDescent="0.4">
      <c r="A198" s="1">
        <v>42491</v>
      </c>
      <c r="B198" s="10" t="e">
        <v>#N/A</v>
      </c>
      <c r="C198" s="2">
        <v>1.526</v>
      </c>
      <c r="D198">
        <v>0.6</v>
      </c>
      <c r="E198" t="e">
        <v>#N/A</v>
      </c>
      <c r="F198">
        <v>11.5</v>
      </c>
      <c r="G198" s="6">
        <v>2390</v>
      </c>
      <c r="H198" t="e">
        <v>#N/A</v>
      </c>
      <c r="I198" s="3">
        <v>0.18209132552146912</v>
      </c>
      <c r="L198">
        <v>95.7</v>
      </c>
      <c r="M198">
        <v>98.8</v>
      </c>
      <c r="N198" t="e">
        <v>#N/A</v>
      </c>
      <c r="O198" t="e">
        <v>#N/A</v>
      </c>
      <c r="P198">
        <v>93.1</v>
      </c>
      <c r="Q198" s="1" t="e">
        <v>#N/A</v>
      </c>
      <c r="S198" t="str">
        <f t="shared" si="3"/>
        <v/>
      </c>
    </row>
    <row r="199" spans="1:19" x14ac:dyDescent="0.4">
      <c r="A199" s="1">
        <v>42522</v>
      </c>
      <c r="B199" s="10" t="e">
        <v>#N/A</v>
      </c>
      <c r="C199" s="2">
        <v>1.4530000000000001</v>
      </c>
      <c r="D199">
        <v>0.5</v>
      </c>
      <c r="E199" t="e">
        <v>#N/A</v>
      </c>
      <c r="F199">
        <v>11.7</v>
      </c>
      <c r="G199" s="6">
        <v>2390</v>
      </c>
      <c r="H199" t="e">
        <v>#N/A</v>
      </c>
      <c r="I199" s="3">
        <v>0.16519564390182495</v>
      </c>
      <c r="L199">
        <v>94.6</v>
      </c>
      <c r="M199">
        <v>98.7</v>
      </c>
      <c r="N199" t="e">
        <v>#N/A</v>
      </c>
      <c r="O199" t="e">
        <v>#N/A</v>
      </c>
      <c r="P199">
        <v>94</v>
      </c>
      <c r="Q199" s="1" t="e">
        <v>#N/A</v>
      </c>
      <c r="S199" t="str">
        <f t="shared" si="3"/>
        <v/>
      </c>
    </row>
    <row r="200" spans="1:19" x14ac:dyDescent="0.4">
      <c r="A200" s="1">
        <v>42552</v>
      </c>
      <c r="B200" s="10">
        <v>194076</v>
      </c>
      <c r="C200" s="2">
        <v>1.2270000000000001</v>
      </c>
      <c r="D200">
        <v>0.6</v>
      </c>
      <c r="E200">
        <v>129.80000000000001</v>
      </c>
      <c r="F200">
        <v>11.6</v>
      </c>
      <c r="G200" s="6">
        <v>2395</v>
      </c>
      <c r="H200">
        <v>59</v>
      </c>
      <c r="I200" s="3">
        <v>0.19643470644950867</v>
      </c>
      <c r="L200">
        <v>96.7</v>
      </c>
      <c r="M200">
        <v>99</v>
      </c>
      <c r="N200">
        <v>101.7</v>
      </c>
      <c r="O200">
        <v>155692.79999999999</v>
      </c>
      <c r="P200">
        <v>94</v>
      </c>
      <c r="Q200" s="1" t="s">
        <v>43</v>
      </c>
      <c r="S200" t="str">
        <f t="shared" si="3"/>
        <v>2016-Q3</v>
      </c>
    </row>
    <row r="201" spans="1:19" x14ac:dyDescent="0.4">
      <c r="A201" s="1">
        <v>42583</v>
      </c>
      <c r="B201" s="10" t="e">
        <v>#N/A</v>
      </c>
      <c r="C201" s="2">
        <v>1.1759999999999999</v>
      </c>
      <c r="D201">
        <v>0.6</v>
      </c>
      <c r="E201" t="e">
        <v>#N/A</v>
      </c>
      <c r="F201">
        <v>11.6</v>
      </c>
      <c r="G201" s="6">
        <v>2395</v>
      </c>
      <c r="H201" t="e">
        <v>#N/A</v>
      </c>
      <c r="I201" s="3">
        <v>0.14471779763698578</v>
      </c>
      <c r="L201">
        <v>97.3</v>
      </c>
      <c r="M201">
        <v>99.1</v>
      </c>
      <c r="N201" t="e">
        <v>#N/A</v>
      </c>
      <c r="O201" t="e">
        <v>#N/A</v>
      </c>
      <c r="P201">
        <v>93.3</v>
      </c>
      <c r="Q201" s="1" t="e">
        <v>#N/A</v>
      </c>
      <c r="S201" t="str">
        <f t="shared" si="3"/>
        <v/>
      </c>
    </row>
    <row r="202" spans="1:19" x14ac:dyDescent="0.4">
      <c r="A202" s="1">
        <v>42614</v>
      </c>
      <c r="B202" s="10" t="e">
        <v>#N/A</v>
      </c>
      <c r="C202" s="2">
        <v>1.266</v>
      </c>
      <c r="D202">
        <v>0.4</v>
      </c>
      <c r="E202" t="e">
        <v>#N/A</v>
      </c>
      <c r="F202">
        <v>11.9</v>
      </c>
      <c r="G202" s="6">
        <v>2395</v>
      </c>
      <c r="H202" t="e">
        <v>#N/A</v>
      </c>
      <c r="I202" s="3">
        <v>7.0578746497631073E-2</v>
      </c>
      <c r="L202">
        <v>97.1</v>
      </c>
      <c r="M202">
        <v>98.3</v>
      </c>
      <c r="N202" t="e">
        <v>#N/A</v>
      </c>
      <c r="O202" t="e">
        <v>#N/A</v>
      </c>
      <c r="P202">
        <v>94.8</v>
      </c>
      <c r="Q202" s="1" t="e">
        <v>#N/A</v>
      </c>
      <c r="S202" t="str">
        <f t="shared" si="3"/>
        <v/>
      </c>
    </row>
    <row r="203" spans="1:19" x14ac:dyDescent="0.4">
      <c r="A203" s="1">
        <v>42644</v>
      </c>
      <c r="B203" s="10">
        <v>248068</v>
      </c>
      <c r="C203" s="2">
        <v>1.45</v>
      </c>
      <c r="D203">
        <v>0.2</v>
      </c>
      <c r="E203">
        <v>129.4</v>
      </c>
      <c r="F203">
        <v>11.7</v>
      </c>
      <c r="G203" s="6">
        <v>2430</v>
      </c>
      <c r="H203">
        <v>60</v>
      </c>
      <c r="I203" s="3">
        <v>0.11779719591140747</v>
      </c>
      <c r="L203">
        <v>97.6</v>
      </c>
      <c r="M203">
        <v>99.5</v>
      </c>
      <c r="N203">
        <v>102.3</v>
      </c>
      <c r="O203">
        <v>190758</v>
      </c>
      <c r="P203">
        <v>95.3</v>
      </c>
      <c r="Q203" s="1" t="s">
        <v>37</v>
      </c>
      <c r="S203" t="str">
        <f t="shared" si="3"/>
        <v>2016-Q4</v>
      </c>
    </row>
    <row r="204" spans="1:19" x14ac:dyDescent="0.4">
      <c r="A204" s="1">
        <v>42675</v>
      </c>
      <c r="B204" s="10" t="e">
        <v>#N/A</v>
      </c>
      <c r="C204" s="2">
        <v>1.9430000000000001</v>
      </c>
      <c r="D204">
        <v>0.5</v>
      </c>
      <c r="E204" t="e">
        <v>#N/A</v>
      </c>
      <c r="F204">
        <v>12</v>
      </c>
      <c r="G204" s="6">
        <v>2430</v>
      </c>
      <c r="H204" t="e">
        <v>#N/A</v>
      </c>
      <c r="I204" s="3">
        <v>0.1230706125497818</v>
      </c>
      <c r="L204">
        <v>98.6</v>
      </c>
      <c r="M204">
        <v>98.5</v>
      </c>
      <c r="N204" t="e">
        <v>#N/A</v>
      </c>
      <c r="O204" t="e">
        <v>#N/A</v>
      </c>
      <c r="P204">
        <v>95.6</v>
      </c>
      <c r="Q204" s="1" t="e">
        <v>#N/A</v>
      </c>
      <c r="S204" t="str">
        <f t="shared" si="3"/>
        <v/>
      </c>
    </row>
    <row r="205" spans="1:19" x14ac:dyDescent="0.4">
      <c r="A205" s="1">
        <v>42705</v>
      </c>
      <c r="B205" s="10" t="e">
        <v>#N/A</v>
      </c>
      <c r="C205" s="2">
        <v>1.8859999999999999</v>
      </c>
      <c r="D205">
        <v>0.9</v>
      </c>
      <c r="E205" t="e">
        <v>#N/A</v>
      </c>
      <c r="F205">
        <v>11.8</v>
      </c>
      <c r="G205" s="6">
        <v>2430</v>
      </c>
      <c r="H205" t="e">
        <v>#N/A</v>
      </c>
      <c r="I205" s="3">
        <v>0.20932853221893311</v>
      </c>
      <c r="L205">
        <v>100.2</v>
      </c>
      <c r="M205">
        <v>98.4</v>
      </c>
      <c r="N205" t="e">
        <v>#N/A</v>
      </c>
      <c r="O205" t="e">
        <v>#N/A</v>
      </c>
      <c r="P205">
        <v>96.1</v>
      </c>
      <c r="Q205" s="1" t="s">
        <v>40</v>
      </c>
      <c r="S205" t="str">
        <f t="shared" si="3"/>
        <v/>
      </c>
    </row>
    <row r="206" spans="1:19" x14ac:dyDescent="0.4">
      <c r="A206" s="1">
        <v>42736</v>
      </c>
      <c r="B206" s="10">
        <v>193568</v>
      </c>
      <c r="C206" s="2">
        <v>1.9910000000000001</v>
      </c>
      <c r="D206">
        <v>0.9</v>
      </c>
      <c r="E206">
        <v>131</v>
      </c>
      <c r="F206">
        <v>11.7</v>
      </c>
      <c r="G206" s="6">
        <v>2411</v>
      </c>
      <c r="H206">
        <v>60.8</v>
      </c>
      <c r="I206" s="3">
        <v>0.11142625659704208</v>
      </c>
      <c r="L206">
        <v>97.2</v>
      </c>
      <c r="M206">
        <v>99.6</v>
      </c>
      <c r="N206">
        <v>102.5</v>
      </c>
      <c r="O206">
        <v>156286.79999999999</v>
      </c>
      <c r="P206">
        <v>98.3</v>
      </c>
      <c r="Q206" s="1" t="e">
        <v>#N/A</v>
      </c>
      <c r="S206" t="str">
        <f t="shared" si="3"/>
        <v>2017-Q1</v>
      </c>
    </row>
    <row r="207" spans="1:19" x14ac:dyDescent="0.4">
      <c r="A207" s="1">
        <v>42767</v>
      </c>
      <c r="B207" s="10" t="e">
        <v>#N/A</v>
      </c>
      <c r="C207" s="2">
        <v>2.3519999999999999</v>
      </c>
      <c r="D207">
        <v>1.3</v>
      </c>
      <c r="E207" t="e">
        <v>#N/A</v>
      </c>
      <c r="F207">
        <v>11.5</v>
      </c>
      <c r="G207" s="6">
        <v>2411</v>
      </c>
      <c r="H207" t="e">
        <v>#N/A</v>
      </c>
      <c r="I207" s="3">
        <v>0.13217315077781677</v>
      </c>
      <c r="L207">
        <v>98.1</v>
      </c>
      <c r="M207">
        <v>98.5</v>
      </c>
      <c r="N207" t="e">
        <v>#N/A</v>
      </c>
      <c r="O207" t="e">
        <v>#N/A</v>
      </c>
      <c r="P207">
        <v>99.2</v>
      </c>
      <c r="Q207" s="1" t="e">
        <v>#N/A</v>
      </c>
      <c r="S207" t="str">
        <f t="shared" si="3"/>
        <v/>
      </c>
    </row>
    <row r="208" spans="1:19" x14ac:dyDescent="0.4">
      <c r="A208" s="1">
        <v>42795</v>
      </c>
      <c r="B208" s="10" t="e">
        <v>#N/A</v>
      </c>
      <c r="C208" s="2">
        <v>2.4009999999999998</v>
      </c>
      <c r="D208">
        <v>1.1000000000000001</v>
      </c>
      <c r="E208" t="e">
        <v>#N/A</v>
      </c>
      <c r="F208">
        <v>11.6</v>
      </c>
      <c r="G208" s="6">
        <v>2411</v>
      </c>
      <c r="H208" t="e">
        <v>#N/A</v>
      </c>
      <c r="I208" s="3">
        <v>7.6908290386199951E-2</v>
      </c>
      <c r="L208">
        <v>99</v>
      </c>
      <c r="M208">
        <v>98.9</v>
      </c>
      <c r="N208" t="e">
        <v>#N/A</v>
      </c>
      <c r="O208" t="e">
        <v>#N/A</v>
      </c>
      <c r="P208">
        <v>99.4</v>
      </c>
      <c r="Q208" s="1" t="e">
        <v>#N/A</v>
      </c>
      <c r="S208" t="str">
        <f t="shared" si="3"/>
        <v/>
      </c>
    </row>
    <row r="209" spans="1:19" x14ac:dyDescent="0.4">
      <c r="A209" s="1">
        <v>42826</v>
      </c>
      <c r="B209" s="10">
        <v>208292</v>
      </c>
      <c r="C209" s="2">
        <v>2.2570000000000001</v>
      </c>
      <c r="D209">
        <v>1.4</v>
      </c>
      <c r="E209">
        <v>132.1</v>
      </c>
      <c r="F209">
        <v>11.2</v>
      </c>
      <c r="G209" s="6">
        <v>2339</v>
      </c>
      <c r="H209">
        <v>62</v>
      </c>
      <c r="I209" s="3">
        <v>0.1943889856338501</v>
      </c>
      <c r="L209">
        <v>98.6</v>
      </c>
      <c r="M209">
        <v>99.2</v>
      </c>
      <c r="N209">
        <v>103.4</v>
      </c>
      <c r="O209">
        <v>170633.2</v>
      </c>
      <c r="P209">
        <v>99.4</v>
      </c>
      <c r="Q209" s="1" t="s">
        <v>45</v>
      </c>
      <c r="S209" t="str">
        <f t="shared" si="3"/>
        <v>2017-Q2</v>
      </c>
    </row>
    <row r="210" spans="1:19" x14ac:dyDescent="0.4">
      <c r="A210" s="1">
        <v>42856</v>
      </c>
      <c r="B210" s="10" t="e">
        <v>#N/A</v>
      </c>
      <c r="C210" s="2">
        <v>2.194</v>
      </c>
      <c r="D210">
        <v>1.1000000000000001</v>
      </c>
      <c r="E210" t="e">
        <v>#N/A</v>
      </c>
      <c r="F210">
        <v>11.5</v>
      </c>
      <c r="G210" s="6">
        <v>2339</v>
      </c>
      <c r="H210" t="e">
        <v>#N/A</v>
      </c>
      <c r="I210" s="3">
        <v>0.17770105600357056</v>
      </c>
      <c r="L210">
        <v>99.4</v>
      </c>
      <c r="M210">
        <v>98.9</v>
      </c>
      <c r="N210" t="e">
        <v>#N/A</v>
      </c>
      <c r="O210" t="e">
        <v>#N/A</v>
      </c>
      <c r="P210">
        <v>99.1</v>
      </c>
      <c r="Q210" s="1" t="s">
        <v>46</v>
      </c>
      <c r="S210" t="str">
        <f t="shared" si="3"/>
        <v/>
      </c>
    </row>
    <row r="211" spans="1:19" x14ac:dyDescent="0.4">
      <c r="A211" s="1">
        <v>42887</v>
      </c>
      <c r="B211" s="10" t="e">
        <v>#N/A</v>
      </c>
      <c r="C211" s="2">
        <v>2.0529999999999999</v>
      </c>
      <c r="D211">
        <v>1</v>
      </c>
      <c r="E211" t="e">
        <v>#N/A</v>
      </c>
      <c r="F211">
        <v>11.1</v>
      </c>
      <c r="G211" s="6">
        <v>2339</v>
      </c>
      <c r="H211" t="e">
        <v>#N/A</v>
      </c>
      <c r="I211" s="3">
        <v>0.18059855699539185</v>
      </c>
      <c r="L211">
        <v>100.7</v>
      </c>
      <c r="M211">
        <v>99.2</v>
      </c>
      <c r="N211" t="e">
        <v>#N/A</v>
      </c>
      <c r="O211" t="e">
        <v>#N/A</v>
      </c>
      <c r="P211">
        <v>98.3</v>
      </c>
      <c r="Q211" s="1" t="s">
        <v>47</v>
      </c>
      <c r="S211" t="str">
        <f t="shared" si="3"/>
        <v/>
      </c>
    </row>
    <row r="212" spans="1:19" x14ac:dyDescent="0.4">
      <c r="A212" s="1">
        <v>42917</v>
      </c>
      <c r="B212" s="10">
        <v>198671</v>
      </c>
      <c r="C212" s="2">
        <v>2.2309999999999999</v>
      </c>
      <c r="D212">
        <v>0.9</v>
      </c>
      <c r="E212">
        <v>131.69999999999999</v>
      </c>
      <c r="F212">
        <v>11.4</v>
      </c>
      <c r="G212" s="6">
        <v>2360</v>
      </c>
      <c r="H212">
        <v>60.4</v>
      </c>
      <c r="I212" s="3">
        <v>0.10067291557788849</v>
      </c>
      <c r="L212">
        <v>101.5</v>
      </c>
      <c r="M212">
        <v>99.2</v>
      </c>
      <c r="N212">
        <v>103.3</v>
      </c>
      <c r="O212">
        <v>160364.70000000001</v>
      </c>
      <c r="P212">
        <v>97.2</v>
      </c>
      <c r="Q212" s="1" t="e">
        <v>#N/A</v>
      </c>
      <c r="S212" t="str">
        <f t="shared" si="3"/>
        <v>2017-Q3</v>
      </c>
    </row>
    <row r="213" spans="1:19" x14ac:dyDescent="0.4">
      <c r="A213" s="1">
        <v>42948</v>
      </c>
      <c r="B213" s="10" t="e">
        <v>#N/A</v>
      </c>
      <c r="C213" s="2">
        <v>2.11</v>
      </c>
      <c r="D213">
        <v>1.1000000000000001</v>
      </c>
      <c r="E213" t="e">
        <v>#N/A</v>
      </c>
      <c r="F213">
        <v>11.3</v>
      </c>
      <c r="G213" s="6">
        <v>2360</v>
      </c>
      <c r="H213" t="e">
        <v>#N/A</v>
      </c>
      <c r="I213" s="3">
        <v>0.13885921239852905</v>
      </c>
      <c r="L213">
        <v>103.3</v>
      </c>
      <c r="M213">
        <v>98.9</v>
      </c>
      <c r="N213" t="e">
        <v>#N/A</v>
      </c>
      <c r="O213" t="e">
        <v>#N/A</v>
      </c>
      <c r="P213">
        <v>97.5</v>
      </c>
      <c r="Q213" s="1" t="e">
        <v>#N/A</v>
      </c>
      <c r="S213" t="str">
        <f t="shared" si="3"/>
        <v/>
      </c>
    </row>
    <row r="214" spans="1:19" x14ac:dyDescent="0.4">
      <c r="A214" s="1">
        <v>42979</v>
      </c>
      <c r="B214" s="10" t="e">
        <v>#N/A</v>
      </c>
      <c r="C214" s="2">
        <v>2.109</v>
      </c>
      <c r="D214">
        <v>1.1000000000000001</v>
      </c>
      <c r="E214" t="e">
        <v>#N/A</v>
      </c>
      <c r="F214">
        <v>11.2</v>
      </c>
      <c r="G214" s="6">
        <v>2360</v>
      </c>
      <c r="H214" t="e">
        <v>#N/A</v>
      </c>
      <c r="I214" s="3">
        <v>0.11983821541070938</v>
      </c>
      <c r="L214">
        <v>100.2</v>
      </c>
      <c r="M214">
        <v>99.5</v>
      </c>
      <c r="N214" t="e">
        <v>#N/A</v>
      </c>
      <c r="O214" t="e">
        <v>#N/A</v>
      </c>
      <c r="P214">
        <v>98</v>
      </c>
      <c r="Q214" s="1" t="e">
        <v>#N/A</v>
      </c>
      <c r="S214" t="str">
        <f t="shared" si="3"/>
        <v/>
      </c>
    </row>
    <row r="215" spans="1:19" x14ac:dyDescent="0.4">
      <c r="A215" s="1">
        <v>43009</v>
      </c>
      <c r="B215" s="10">
        <v>250484</v>
      </c>
      <c r="C215" s="2">
        <v>2.0739999999999998</v>
      </c>
      <c r="D215">
        <v>0.8</v>
      </c>
      <c r="E215">
        <v>129.1</v>
      </c>
      <c r="F215">
        <v>11.1</v>
      </c>
      <c r="G215" s="6">
        <v>2308</v>
      </c>
      <c r="H215">
        <v>61</v>
      </c>
      <c r="I215" s="3">
        <v>8.1162244081497192E-2</v>
      </c>
      <c r="L215">
        <v>100.7</v>
      </c>
      <c r="M215">
        <v>98.3</v>
      </c>
      <c r="N215">
        <v>104.3</v>
      </c>
      <c r="O215">
        <v>195470</v>
      </c>
      <c r="P215">
        <v>99.2</v>
      </c>
      <c r="Q215" s="1" t="s">
        <v>45</v>
      </c>
      <c r="S215" t="str">
        <f t="shared" si="3"/>
        <v>2017-Q4</v>
      </c>
    </row>
    <row r="216" spans="1:19" x14ac:dyDescent="0.4">
      <c r="A216" s="1">
        <v>43040</v>
      </c>
      <c r="B216" s="10" t="e">
        <v>#N/A</v>
      </c>
      <c r="C216" s="2">
        <v>1.7889999999999999</v>
      </c>
      <c r="D216">
        <v>0.7</v>
      </c>
      <c r="E216" t="e">
        <v>#N/A</v>
      </c>
      <c r="F216">
        <v>11</v>
      </c>
      <c r="G216" s="6">
        <v>2308</v>
      </c>
      <c r="H216" t="e">
        <v>#N/A</v>
      </c>
      <c r="I216" s="3">
        <v>0.10940919071435928</v>
      </c>
      <c r="L216">
        <v>102.4</v>
      </c>
      <c r="M216">
        <v>98.8</v>
      </c>
      <c r="N216" t="e">
        <v>#N/A</v>
      </c>
      <c r="O216" t="e">
        <v>#N/A</v>
      </c>
      <c r="P216">
        <v>99.9</v>
      </c>
      <c r="Q216" s="1" t="e">
        <v>#N/A</v>
      </c>
      <c r="S216" t="str">
        <f t="shared" si="3"/>
        <v/>
      </c>
    </row>
    <row r="217" spans="1:19" x14ac:dyDescent="0.4">
      <c r="A217" s="1">
        <v>43070</v>
      </c>
      <c r="B217" s="10" t="e">
        <v>#N/A</v>
      </c>
      <c r="C217" s="2">
        <v>1.7949999999999999</v>
      </c>
      <c r="D217">
        <v>0.7</v>
      </c>
      <c r="E217" t="e">
        <v>#N/A</v>
      </c>
      <c r="F217">
        <v>10.9</v>
      </c>
      <c r="G217" s="6">
        <v>2308</v>
      </c>
      <c r="H217" t="e">
        <v>#N/A</v>
      </c>
      <c r="I217" s="3">
        <v>5.0260439515113831E-2</v>
      </c>
      <c r="L217">
        <v>105.7</v>
      </c>
      <c r="M217">
        <v>98.6</v>
      </c>
      <c r="N217" t="e">
        <v>#N/A</v>
      </c>
      <c r="O217" t="e">
        <v>#N/A</v>
      </c>
      <c r="P217">
        <v>100.1</v>
      </c>
      <c r="Q217" s="1" t="e">
        <v>#N/A</v>
      </c>
      <c r="S217" t="str">
        <f t="shared" si="3"/>
        <v/>
      </c>
    </row>
    <row r="218" spans="1:19" x14ac:dyDescent="0.4">
      <c r="A218" s="1">
        <v>43101</v>
      </c>
      <c r="B218" s="10">
        <v>197496</v>
      </c>
      <c r="C218" s="2">
        <v>1.984</v>
      </c>
      <c r="D218">
        <v>0.8</v>
      </c>
      <c r="E218">
        <v>130.69999999999999</v>
      </c>
      <c r="F218">
        <v>11</v>
      </c>
      <c r="G218" s="6">
        <v>2296</v>
      </c>
      <c r="H218">
        <v>62.7</v>
      </c>
      <c r="I218" s="3">
        <v>0.10412147641181946</v>
      </c>
      <c r="L218">
        <v>101.4</v>
      </c>
      <c r="M218">
        <v>97.8</v>
      </c>
      <c r="N218">
        <v>103.2</v>
      </c>
      <c r="O218">
        <v>160275</v>
      </c>
      <c r="P218">
        <v>102.8</v>
      </c>
      <c r="Q218" s="1" t="e">
        <v>#N/A</v>
      </c>
      <c r="S218" t="str">
        <f t="shared" si="3"/>
        <v>2018-Q1</v>
      </c>
    </row>
    <row r="219" spans="1:19" x14ac:dyDescent="0.4">
      <c r="A219" s="1">
        <v>43132</v>
      </c>
      <c r="B219" s="10" t="e">
        <v>#N/A</v>
      </c>
      <c r="C219" s="2">
        <v>2.081</v>
      </c>
      <c r="D219">
        <v>0.3</v>
      </c>
      <c r="E219" t="e">
        <v>#N/A</v>
      </c>
      <c r="F219">
        <v>10.8</v>
      </c>
      <c r="G219" s="6">
        <v>2296</v>
      </c>
      <c r="H219" t="e">
        <v>#N/A</v>
      </c>
      <c r="I219" s="3">
        <v>0.10229703038930893</v>
      </c>
      <c r="L219">
        <v>100.9</v>
      </c>
      <c r="M219">
        <v>98.9</v>
      </c>
      <c r="N219" t="e">
        <v>#N/A</v>
      </c>
      <c r="O219" t="e">
        <v>#N/A</v>
      </c>
      <c r="P219">
        <v>102.8</v>
      </c>
      <c r="Q219" s="1" t="e">
        <v>#N/A</v>
      </c>
      <c r="S219" t="str">
        <f t="shared" si="3"/>
        <v/>
      </c>
    </row>
    <row r="220" spans="1:19" x14ac:dyDescent="0.4">
      <c r="A220" s="1">
        <v>43160</v>
      </c>
      <c r="B220" s="10" t="e">
        <v>#N/A</v>
      </c>
      <c r="C220" s="2">
        <v>1.9650000000000001</v>
      </c>
      <c r="D220">
        <v>0.7</v>
      </c>
      <c r="E220" t="e">
        <v>#N/A</v>
      </c>
      <c r="F220">
        <v>10.9</v>
      </c>
      <c r="G220" s="6">
        <v>2296</v>
      </c>
      <c r="H220" t="e">
        <v>#N/A</v>
      </c>
      <c r="I220" s="3">
        <v>0.17231705784797668</v>
      </c>
      <c r="L220">
        <v>102.4</v>
      </c>
      <c r="M220">
        <v>98.8</v>
      </c>
      <c r="N220" t="e">
        <v>#N/A</v>
      </c>
      <c r="O220" t="e">
        <v>#N/A</v>
      </c>
      <c r="P220">
        <v>102.4</v>
      </c>
      <c r="Q220" s="1" t="s">
        <v>45</v>
      </c>
      <c r="S220" t="str">
        <f t="shared" si="3"/>
        <v/>
      </c>
    </row>
    <row r="221" spans="1:19" x14ac:dyDescent="0.4">
      <c r="A221" s="1">
        <v>43191</v>
      </c>
      <c r="B221" s="10">
        <v>205820</v>
      </c>
      <c r="C221" s="2">
        <v>1.7729999999999999</v>
      </c>
      <c r="D221">
        <v>0.6</v>
      </c>
      <c r="E221">
        <v>131.19999999999999</v>
      </c>
      <c r="F221">
        <v>11</v>
      </c>
      <c r="G221" s="6">
        <v>2278</v>
      </c>
      <c r="H221">
        <v>61.6</v>
      </c>
      <c r="I221" s="3">
        <v>6.0467325150966644E-2</v>
      </c>
      <c r="L221">
        <v>100.9</v>
      </c>
      <c r="M221">
        <v>97.6</v>
      </c>
      <c r="N221">
        <v>104.3</v>
      </c>
      <c r="O221">
        <v>177000.1</v>
      </c>
      <c r="P221">
        <v>100.2</v>
      </c>
      <c r="Q221" s="1" t="e">
        <v>#N/A</v>
      </c>
      <c r="S221" t="str">
        <f t="shared" si="3"/>
        <v>2018-Q2</v>
      </c>
    </row>
    <row r="222" spans="1:19" x14ac:dyDescent="0.4">
      <c r="A222" s="1">
        <v>43221</v>
      </c>
      <c r="B222" s="10" t="e">
        <v>#N/A</v>
      </c>
      <c r="C222" s="2">
        <v>2.1800000000000002</v>
      </c>
      <c r="D222">
        <v>0.9</v>
      </c>
      <c r="E222" t="e">
        <v>#N/A</v>
      </c>
      <c r="F222">
        <v>10.6</v>
      </c>
      <c r="G222" s="6">
        <v>2278</v>
      </c>
      <c r="H222" t="e">
        <v>#N/A</v>
      </c>
      <c r="I222" s="3">
        <v>0.17228338122367859</v>
      </c>
      <c r="L222">
        <v>101.8</v>
      </c>
      <c r="M222">
        <v>99.1</v>
      </c>
      <c r="N222" t="e">
        <v>#N/A</v>
      </c>
      <c r="O222" t="e">
        <v>#N/A</v>
      </c>
      <c r="P222">
        <v>101.2</v>
      </c>
      <c r="Q222" s="1" t="e">
        <v>#N/A</v>
      </c>
      <c r="S222" t="str">
        <f t="shared" si="3"/>
        <v/>
      </c>
    </row>
    <row r="223" spans="1:19" x14ac:dyDescent="0.4">
      <c r="A223" s="1">
        <v>43252</v>
      </c>
      <c r="B223" s="10" t="e">
        <v>#N/A</v>
      </c>
      <c r="C223" s="2">
        <v>2.7440000000000002</v>
      </c>
      <c r="D223">
        <v>1.1000000000000001</v>
      </c>
      <c r="E223" t="e">
        <v>#N/A</v>
      </c>
      <c r="F223">
        <v>10.7</v>
      </c>
      <c r="G223" s="6">
        <v>2278</v>
      </c>
      <c r="H223" t="e">
        <v>#N/A</v>
      </c>
      <c r="I223" s="3">
        <v>0.25195160508155823</v>
      </c>
      <c r="L223">
        <v>102.2</v>
      </c>
      <c r="M223">
        <v>98.1</v>
      </c>
      <c r="N223" t="e">
        <v>#N/A</v>
      </c>
      <c r="O223" t="e">
        <v>#N/A</v>
      </c>
      <c r="P223">
        <v>102.5</v>
      </c>
      <c r="Q223" s="1" t="s">
        <v>39</v>
      </c>
      <c r="S223" t="str">
        <f t="shared" si="3"/>
        <v/>
      </c>
    </row>
    <row r="224" spans="1:19" x14ac:dyDescent="0.4">
      <c r="A224" s="1">
        <v>43282</v>
      </c>
      <c r="B224" s="10">
        <v>201191</v>
      </c>
      <c r="C224" s="2">
        <v>2.6429999999999998</v>
      </c>
      <c r="D224">
        <v>1.3</v>
      </c>
      <c r="E224">
        <v>131.19999999999999</v>
      </c>
      <c r="F224">
        <v>10.3</v>
      </c>
      <c r="G224" s="6">
        <v>2142</v>
      </c>
      <c r="H224">
        <v>62.1</v>
      </c>
      <c r="I224" s="3">
        <v>0.14515647292137146</v>
      </c>
      <c r="L224">
        <v>101.1</v>
      </c>
      <c r="M224">
        <v>98.3</v>
      </c>
      <c r="N224">
        <v>104.3</v>
      </c>
      <c r="O224">
        <v>165254.20000000001</v>
      </c>
      <c r="P224">
        <v>105.2</v>
      </c>
      <c r="Q224" s="1" t="e">
        <v>#N/A</v>
      </c>
      <c r="S224" t="str">
        <f t="shared" si="3"/>
        <v>2018-Q3</v>
      </c>
    </row>
    <row r="225" spans="1:19" x14ac:dyDescent="0.4">
      <c r="A225" s="1">
        <v>43313</v>
      </c>
      <c r="B225" s="10" t="e">
        <v>#N/A</v>
      </c>
      <c r="C225" s="2">
        <v>3.161</v>
      </c>
      <c r="D225">
        <v>1</v>
      </c>
      <c r="E225" t="e">
        <v>#N/A</v>
      </c>
      <c r="F225">
        <v>10.1</v>
      </c>
      <c r="G225" s="6">
        <v>2142</v>
      </c>
      <c r="H225" t="e">
        <v>#N/A</v>
      </c>
      <c r="I225" s="3">
        <v>0.17467640340328217</v>
      </c>
      <c r="L225">
        <v>102</v>
      </c>
      <c r="M225">
        <v>99</v>
      </c>
      <c r="N225" t="e">
        <v>#N/A</v>
      </c>
      <c r="O225" t="e">
        <v>#N/A</v>
      </c>
      <c r="P225">
        <v>105.1</v>
      </c>
      <c r="Q225" s="1" t="s">
        <v>41</v>
      </c>
      <c r="S225" t="str">
        <f t="shared" si="3"/>
        <v/>
      </c>
    </row>
    <row r="226" spans="1:19" x14ac:dyDescent="0.4">
      <c r="A226" s="1">
        <v>43344</v>
      </c>
      <c r="B226" s="10" t="e">
        <v>#N/A</v>
      </c>
      <c r="C226" s="2">
        <v>2.9590000000000001</v>
      </c>
      <c r="D226">
        <v>0.9</v>
      </c>
      <c r="E226" t="e">
        <v>#N/A</v>
      </c>
      <c r="F226">
        <v>10.3</v>
      </c>
      <c r="G226" s="6">
        <v>2142</v>
      </c>
      <c r="H226" t="e">
        <v>#N/A</v>
      </c>
      <c r="I226" s="3">
        <v>0.15119697153568268</v>
      </c>
      <c r="L226">
        <v>102.1</v>
      </c>
      <c r="M226">
        <v>98.3</v>
      </c>
      <c r="N226" t="e">
        <v>#N/A</v>
      </c>
      <c r="O226" t="e">
        <v>#N/A</v>
      </c>
      <c r="P226">
        <v>105.6</v>
      </c>
      <c r="Q226" s="1" t="e">
        <v>#N/A</v>
      </c>
      <c r="S226" t="str">
        <f t="shared" si="3"/>
        <v/>
      </c>
    </row>
    <row r="227" spans="1:19" x14ac:dyDescent="0.4">
      <c r="A227" s="1">
        <v>43374</v>
      </c>
      <c r="B227" s="10">
        <v>254510</v>
      </c>
      <c r="C227" s="2">
        <v>3.4689999999999999</v>
      </c>
      <c r="D227">
        <v>0.8</v>
      </c>
      <c r="E227">
        <v>129.80000000000001</v>
      </c>
      <c r="F227">
        <v>10.7</v>
      </c>
      <c r="G227" s="6">
        <v>2198</v>
      </c>
      <c r="H227">
        <v>58.4</v>
      </c>
      <c r="I227" s="3">
        <v>0.21832261979579926</v>
      </c>
      <c r="L227">
        <v>101.9</v>
      </c>
      <c r="M227">
        <v>98.7</v>
      </c>
      <c r="N227">
        <v>103.9</v>
      </c>
      <c r="O227">
        <v>201121.1</v>
      </c>
      <c r="P227">
        <v>109.4</v>
      </c>
      <c r="Q227" s="1" t="s">
        <v>41</v>
      </c>
      <c r="S227" t="str">
        <f t="shared" si="3"/>
        <v>2018-Q4</v>
      </c>
    </row>
    <row r="228" spans="1:19" x14ac:dyDescent="0.4">
      <c r="A228" s="1">
        <v>43405</v>
      </c>
      <c r="B228" s="10" t="e">
        <v>#N/A</v>
      </c>
      <c r="C228" s="2">
        <v>3.39</v>
      </c>
      <c r="D228">
        <v>0.8</v>
      </c>
      <c r="E228" t="e">
        <v>#N/A</v>
      </c>
      <c r="F228">
        <v>10.5</v>
      </c>
      <c r="G228" s="6">
        <v>2198</v>
      </c>
      <c r="H228" t="e">
        <v>#N/A</v>
      </c>
      <c r="I228" s="3">
        <v>0.22040435671806335</v>
      </c>
      <c r="L228">
        <v>100</v>
      </c>
      <c r="M228">
        <v>99</v>
      </c>
      <c r="N228" t="e">
        <v>#N/A</v>
      </c>
      <c r="O228" t="e">
        <v>#N/A</v>
      </c>
      <c r="P228">
        <v>109.2</v>
      </c>
      <c r="Q228" s="1" t="e">
        <v>#N/A</v>
      </c>
      <c r="S228" t="str">
        <f t="shared" si="3"/>
        <v/>
      </c>
    </row>
    <row r="229" spans="1:19" x14ac:dyDescent="0.4">
      <c r="A229" s="1">
        <v>43435</v>
      </c>
      <c r="B229" s="10" t="e">
        <v>#N/A</v>
      </c>
      <c r="C229" s="2">
        <v>2.9750000000000001</v>
      </c>
      <c r="D229">
        <v>0.6</v>
      </c>
      <c r="E229" t="e">
        <v>#N/A</v>
      </c>
      <c r="F229">
        <v>10.3</v>
      </c>
      <c r="G229" s="6">
        <v>2198</v>
      </c>
      <c r="H229" t="e">
        <v>#N/A</v>
      </c>
      <c r="I229" s="3">
        <v>6.5712273120880127E-2</v>
      </c>
      <c r="L229">
        <v>100.6</v>
      </c>
      <c r="M229">
        <v>98.6</v>
      </c>
      <c r="N229" t="e">
        <v>#N/A</v>
      </c>
      <c r="O229" t="e">
        <v>#N/A</v>
      </c>
      <c r="P229">
        <v>106.8</v>
      </c>
      <c r="Q229" s="1" t="s">
        <v>43</v>
      </c>
      <c r="S229" t="str">
        <f t="shared" si="3"/>
        <v/>
      </c>
    </row>
    <row r="230" spans="1:19" x14ac:dyDescent="0.4">
      <c r="A230" s="1">
        <v>43466</v>
      </c>
      <c r="B230" s="10">
        <v>201396</v>
      </c>
      <c r="C230" s="2">
        <v>2.77</v>
      </c>
      <c r="D230">
        <v>0.6</v>
      </c>
      <c r="E230">
        <v>131.5</v>
      </c>
      <c r="F230">
        <v>10.4</v>
      </c>
      <c r="G230" s="6">
        <v>2183</v>
      </c>
      <c r="H230">
        <v>58.6</v>
      </c>
      <c r="I230" s="3">
        <v>9.7747556865215302E-2</v>
      </c>
      <c r="L230">
        <v>100.9</v>
      </c>
      <c r="M230">
        <v>99</v>
      </c>
      <c r="N230">
        <v>104.7</v>
      </c>
      <c r="O230">
        <v>165249.29999999999</v>
      </c>
      <c r="P230">
        <v>106.7</v>
      </c>
      <c r="Q230" s="1" t="e">
        <v>#N/A</v>
      </c>
      <c r="S230" t="str">
        <f t="shared" si="3"/>
        <v>2019-Q1</v>
      </c>
    </row>
    <row r="231" spans="1:19" x14ac:dyDescent="0.4">
      <c r="A231" s="1">
        <v>43497</v>
      </c>
      <c r="B231" s="10" t="e">
        <v>#N/A</v>
      </c>
      <c r="C231" s="2">
        <v>2.8119999999999998</v>
      </c>
      <c r="D231">
        <v>0.8</v>
      </c>
      <c r="E231" t="e">
        <v>#N/A</v>
      </c>
      <c r="F231">
        <v>10.5</v>
      </c>
      <c r="G231" s="6">
        <v>2183</v>
      </c>
      <c r="H231" t="e">
        <v>#N/A</v>
      </c>
      <c r="I231" s="3">
        <v>0.17939759790897369</v>
      </c>
      <c r="L231">
        <v>101.5</v>
      </c>
      <c r="M231">
        <v>98.5</v>
      </c>
      <c r="N231" t="e">
        <v>#N/A</v>
      </c>
      <c r="O231" t="e">
        <v>#N/A</v>
      </c>
      <c r="P231">
        <v>107.1</v>
      </c>
      <c r="Q231" s="1" t="s">
        <v>41</v>
      </c>
      <c r="S231" t="str">
        <f t="shared" si="3"/>
        <v/>
      </c>
    </row>
    <row r="232" spans="1:19" x14ac:dyDescent="0.4">
      <c r="A232" s="1">
        <v>43525</v>
      </c>
      <c r="B232" s="10" t="e">
        <v>#N/A</v>
      </c>
      <c r="C232" s="2">
        <v>2.69</v>
      </c>
      <c r="D232">
        <v>0.6</v>
      </c>
      <c r="E232" t="e">
        <v>#N/A</v>
      </c>
      <c r="F232">
        <v>10.3</v>
      </c>
      <c r="G232" s="6">
        <v>2183</v>
      </c>
      <c r="H232" t="e">
        <v>#N/A</v>
      </c>
      <c r="I232" s="3">
        <v>0.12513557076454163</v>
      </c>
      <c r="L232">
        <v>100.7</v>
      </c>
      <c r="M232">
        <v>98.2</v>
      </c>
      <c r="N232" t="e">
        <v>#N/A</v>
      </c>
      <c r="O232" t="e">
        <v>#N/A</v>
      </c>
      <c r="P232">
        <v>108.1</v>
      </c>
      <c r="Q232" s="1" t="e">
        <v>#N/A</v>
      </c>
      <c r="S232" t="str">
        <f t="shared" si="3"/>
        <v/>
      </c>
    </row>
    <row r="233" spans="1:19" x14ac:dyDescent="0.4">
      <c r="A233" s="1">
        <v>43556</v>
      </c>
      <c r="B233" s="10">
        <v>210713</v>
      </c>
      <c r="C233" s="2">
        <v>2.6179999999999999</v>
      </c>
      <c r="D233">
        <v>0.7</v>
      </c>
      <c r="E233">
        <v>132.6</v>
      </c>
      <c r="F233">
        <v>10.3</v>
      </c>
      <c r="G233" s="6">
        <v>2110</v>
      </c>
      <c r="H233">
        <v>58.3</v>
      </c>
      <c r="I233" s="3">
        <v>0.21488046646118164</v>
      </c>
      <c r="L233">
        <v>99.3</v>
      </c>
      <c r="M233">
        <v>99.3</v>
      </c>
      <c r="N233">
        <v>103.8</v>
      </c>
      <c r="O233">
        <v>181026.6</v>
      </c>
      <c r="P233">
        <v>105.2</v>
      </c>
      <c r="Q233" s="1" t="e">
        <v>#N/A</v>
      </c>
      <c r="S233" t="str">
        <f t="shared" si="3"/>
        <v>2019-Q2</v>
      </c>
    </row>
    <row r="234" spans="1:19" x14ac:dyDescent="0.4">
      <c r="A234" s="1">
        <v>43586</v>
      </c>
      <c r="B234" s="10" t="e">
        <v>#N/A</v>
      </c>
      <c r="C234" s="2">
        <v>2.6440000000000001</v>
      </c>
      <c r="D234">
        <v>0.5</v>
      </c>
      <c r="E234" t="e">
        <v>#N/A</v>
      </c>
      <c r="F234">
        <v>10</v>
      </c>
      <c r="G234" s="6">
        <v>2110</v>
      </c>
      <c r="H234" t="e">
        <v>#N/A</v>
      </c>
      <c r="I234" s="3">
        <v>8.5962347686290741E-2</v>
      </c>
      <c r="L234">
        <v>101.4</v>
      </c>
      <c r="M234">
        <v>98.7</v>
      </c>
      <c r="N234" t="e">
        <v>#N/A</v>
      </c>
      <c r="O234" t="e">
        <v>#N/A</v>
      </c>
      <c r="P234">
        <v>105.8</v>
      </c>
      <c r="Q234" s="1" t="e">
        <v>#N/A</v>
      </c>
      <c r="S234" t="str">
        <f t="shared" si="3"/>
        <v/>
      </c>
    </row>
    <row r="235" spans="1:19" x14ac:dyDescent="0.4">
      <c r="A235" s="1">
        <v>43617</v>
      </c>
      <c r="B235" s="10" t="e">
        <v>#N/A</v>
      </c>
      <c r="C235" s="2">
        <v>2.2839999999999998</v>
      </c>
      <c r="D235">
        <v>0.5</v>
      </c>
      <c r="E235" t="e">
        <v>#N/A</v>
      </c>
      <c r="F235">
        <v>9.6</v>
      </c>
      <c r="G235" s="6">
        <v>2110</v>
      </c>
      <c r="H235" t="e">
        <v>#N/A</v>
      </c>
      <c r="I235" s="3">
        <v>0.15963414311408997</v>
      </c>
      <c r="L235">
        <v>101.1</v>
      </c>
      <c r="M235">
        <v>99.8</v>
      </c>
      <c r="N235" t="e">
        <v>#N/A</v>
      </c>
      <c r="O235" t="e">
        <v>#N/A</v>
      </c>
      <c r="P235">
        <v>105.2</v>
      </c>
      <c r="Q235" s="1" t="e">
        <v>#N/A</v>
      </c>
      <c r="S235" t="str">
        <f t="shared" si="3"/>
        <v/>
      </c>
    </row>
    <row r="236" spans="1:19" x14ac:dyDescent="0.4">
      <c r="A236" s="1">
        <v>43647</v>
      </c>
      <c r="B236" s="10">
        <v>204251</v>
      </c>
      <c r="C236" s="2">
        <v>1.6539999999999999</v>
      </c>
      <c r="D236">
        <v>0.5</v>
      </c>
      <c r="E236">
        <v>131.80000000000001</v>
      </c>
      <c r="F236">
        <v>9.6</v>
      </c>
      <c r="G236" s="6">
        <v>2035</v>
      </c>
      <c r="H236">
        <v>60.3</v>
      </c>
      <c r="I236" s="3">
        <v>0.10176090896129608</v>
      </c>
      <c r="L236">
        <v>101.3</v>
      </c>
      <c r="M236">
        <v>100.3</v>
      </c>
      <c r="N236">
        <v>104</v>
      </c>
      <c r="O236">
        <v>168322.3</v>
      </c>
      <c r="P236">
        <v>103.2</v>
      </c>
      <c r="Q236" s="1" t="e">
        <v>#N/A</v>
      </c>
      <c r="S236" t="str">
        <f t="shared" si="3"/>
        <v>2019-Q3</v>
      </c>
    </row>
    <row r="237" spans="1:19" x14ac:dyDescent="0.4">
      <c r="A237" s="1">
        <v>43678</v>
      </c>
      <c r="B237" s="10" t="e">
        <v>#N/A</v>
      </c>
      <c r="C237" s="2">
        <v>1.4039999999999999</v>
      </c>
      <c r="D237">
        <v>0.7</v>
      </c>
      <c r="E237" t="e">
        <v>#N/A</v>
      </c>
      <c r="F237">
        <v>9.4</v>
      </c>
      <c r="G237" s="6">
        <v>2035</v>
      </c>
      <c r="H237" t="e">
        <v>#N/A</v>
      </c>
      <c r="I237" s="3">
        <v>0.16370232403278351</v>
      </c>
      <c r="L237">
        <v>100.4</v>
      </c>
      <c r="M237">
        <v>99.3</v>
      </c>
      <c r="N237" t="e">
        <v>#N/A</v>
      </c>
      <c r="O237" t="e">
        <v>#N/A</v>
      </c>
      <c r="P237">
        <v>103</v>
      </c>
      <c r="Q237" s="1" t="s">
        <v>41</v>
      </c>
      <c r="S237" t="str">
        <f t="shared" si="3"/>
        <v/>
      </c>
    </row>
    <row r="238" spans="1:19" x14ac:dyDescent="0.4">
      <c r="A238" s="1">
        <v>43709</v>
      </c>
      <c r="B238" s="10" t="e">
        <v>#N/A</v>
      </c>
      <c r="C238" s="2">
        <v>0.90200000000000002</v>
      </c>
      <c r="D238">
        <v>0.5</v>
      </c>
      <c r="E238" t="e">
        <v>#N/A</v>
      </c>
      <c r="F238">
        <v>9.6999999999999993</v>
      </c>
      <c r="G238" s="6">
        <v>2035</v>
      </c>
      <c r="H238" t="e">
        <v>#N/A</v>
      </c>
      <c r="I238" s="3">
        <v>0.12843793630599976</v>
      </c>
      <c r="L238">
        <v>100</v>
      </c>
      <c r="M238">
        <v>99.7</v>
      </c>
      <c r="N238" t="e">
        <v>#N/A</v>
      </c>
      <c r="O238" t="e">
        <v>#N/A</v>
      </c>
      <c r="P238">
        <v>102.5</v>
      </c>
      <c r="Q238" s="1" t="e">
        <v>#N/A</v>
      </c>
      <c r="S238" t="str">
        <f t="shared" si="3"/>
        <v/>
      </c>
    </row>
    <row r="239" spans="1:19" x14ac:dyDescent="0.4">
      <c r="A239" s="1">
        <v>43739</v>
      </c>
      <c r="B239" s="10">
        <v>257238</v>
      </c>
      <c r="C239" s="2">
        <v>1.004</v>
      </c>
      <c r="D239">
        <v>0.7</v>
      </c>
      <c r="E239">
        <v>129.69999999999999</v>
      </c>
      <c r="F239">
        <v>9.5</v>
      </c>
      <c r="G239" s="6">
        <v>2041</v>
      </c>
      <c r="H239">
        <v>58.8</v>
      </c>
      <c r="I239" s="3">
        <v>8.408307284116745E-2</v>
      </c>
      <c r="L239">
        <v>99.4</v>
      </c>
      <c r="M239">
        <v>99.5</v>
      </c>
      <c r="N239">
        <v>103.3</v>
      </c>
      <c r="O239">
        <v>204358.6</v>
      </c>
      <c r="P239">
        <v>104.2</v>
      </c>
      <c r="Q239" s="1" t="e">
        <v>#N/A</v>
      </c>
      <c r="S239" t="str">
        <f t="shared" si="3"/>
        <v>2019-Q4</v>
      </c>
    </row>
    <row r="240" spans="1:19" x14ac:dyDescent="0.4">
      <c r="A240" s="1">
        <v>43770</v>
      </c>
      <c r="B240" s="10" t="e">
        <v>#N/A</v>
      </c>
      <c r="C240" s="2">
        <v>1.266</v>
      </c>
      <c r="D240">
        <v>0.8</v>
      </c>
      <c r="E240" t="e">
        <v>#N/A</v>
      </c>
      <c r="F240">
        <v>9.8000000000000007</v>
      </c>
      <c r="G240" s="6">
        <v>2041</v>
      </c>
      <c r="H240" t="e">
        <v>#N/A</v>
      </c>
      <c r="I240" s="3">
        <v>7.0422537624835968E-2</v>
      </c>
      <c r="L240">
        <v>99.7</v>
      </c>
      <c r="M240">
        <v>99.3</v>
      </c>
      <c r="N240" t="e">
        <v>#N/A</v>
      </c>
      <c r="O240" t="e">
        <v>#N/A</v>
      </c>
      <c r="P240">
        <v>104.1</v>
      </c>
      <c r="Q240" s="1" t="e">
        <v>#N/A</v>
      </c>
      <c r="S240" t="str">
        <f t="shared" si="3"/>
        <v/>
      </c>
    </row>
    <row r="241" spans="1:19" x14ac:dyDescent="0.4">
      <c r="A241" s="1">
        <v>43800</v>
      </c>
      <c r="B241" s="10" t="e">
        <v>#N/A</v>
      </c>
      <c r="C241" s="2">
        <v>1.37</v>
      </c>
      <c r="D241">
        <v>0.7</v>
      </c>
      <c r="E241" t="e">
        <v>#N/A</v>
      </c>
      <c r="F241">
        <v>9.8000000000000007</v>
      </c>
      <c r="G241" s="6">
        <v>2041</v>
      </c>
      <c r="H241" t="e">
        <v>#N/A</v>
      </c>
      <c r="I241" s="3">
        <v>9.7077950835227966E-2</v>
      </c>
      <c r="L241">
        <v>97</v>
      </c>
      <c r="M241">
        <v>99.4</v>
      </c>
      <c r="N241" t="e">
        <v>#N/A</v>
      </c>
      <c r="O241" t="e">
        <v>#N/A</v>
      </c>
      <c r="P241">
        <v>104.4</v>
      </c>
      <c r="Q241" s="1" t="e">
        <v>#N/A</v>
      </c>
      <c r="S241" t="str">
        <f t="shared" si="3"/>
        <v/>
      </c>
    </row>
    <row r="242" spans="1:19" x14ac:dyDescent="0.4">
      <c r="A242" s="1">
        <v>43831</v>
      </c>
      <c r="B242" s="10">
        <v>209767</v>
      </c>
      <c r="C242" s="2">
        <v>1.2749999999999999</v>
      </c>
      <c r="D242">
        <v>0.6</v>
      </c>
      <c r="E242">
        <v>132.6</v>
      </c>
      <c r="F242">
        <v>9.6</v>
      </c>
      <c r="G242" s="6">
        <v>1850</v>
      </c>
      <c r="H242">
        <v>57.6</v>
      </c>
      <c r="I242" s="3">
        <v>0.23384071886539459</v>
      </c>
      <c r="L242">
        <v>100.1</v>
      </c>
      <c r="M242">
        <v>99.9</v>
      </c>
      <c r="N242">
        <v>94.9</v>
      </c>
      <c r="O242">
        <v>160867.70000000001</v>
      </c>
      <c r="P242">
        <v>104.5</v>
      </c>
      <c r="Q242" s="1" t="e">
        <v>#N/A</v>
      </c>
      <c r="S242" t="str">
        <f t="shared" si="3"/>
        <v>2020-Q1</v>
      </c>
    </row>
    <row r="243" spans="1:19" x14ac:dyDescent="0.4">
      <c r="A243" s="1">
        <v>43862</v>
      </c>
      <c r="B243" s="10" t="e">
        <v>#N/A</v>
      </c>
      <c r="C243" s="2">
        <v>0.95499999999999996</v>
      </c>
      <c r="D243">
        <v>0.5</v>
      </c>
      <c r="E243" t="e">
        <v>#N/A</v>
      </c>
      <c r="F243">
        <v>9.5</v>
      </c>
      <c r="G243" s="6">
        <v>1850</v>
      </c>
      <c r="H243" t="e">
        <v>#N/A</v>
      </c>
      <c r="I243" s="3">
        <v>0.2184574156999588</v>
      </c>
      <c r="L243">
        <v>98.3</v>
      </c>
      <c r="M243">
        <v>101.1</v>
      </c>
      <c r="N243" t="e">
        <v>#N/A</v>
      </c>
      <c r="O243" t="e">
        <v>#N/A</v>
      </c>
      <c r="P243">
        <v>103.5</v>
      </c>
      <c r="Q243" s="1" t="s">
        <v>41</v>
      </c>
      <c r="S243" t="str">
        <f t="shared" si="3"/>
        <v/>
      </c>
    </row>
    <row r="244" spans="1:19" x14ac:dyDescent="0.4">
      <c r="A244" s="1">
        <v>43891</v>
      </c>
      <c r="B244" s="10" t="e">
        <v>#N/A</v>
      </c>
      <c r="C244" s="2">
        <v>1.5509999999999999</v>
      </c>
      <c r="D244">
        <v>0.8</v>
      </c>
      <c r="E244" t="e">
        <v>#N/A</v>
      </c>
      <c r="F244">
        <v>7.7</v>
      </c>
      <c r="G244" s="6">
        <v>1850</v>
      </c>
      <c r="H244" t="e">
        <v>#N/A</v>
      </c>
      <c r="I244" s="3">
        <v>0.47460237145423889</v>
      </c>
      <c r="L244">
        <v>70.7</v>
      </c>
      <c r="M244">
        <v>80.099999999999994</v>
      </c>
      <c r="N244" t="e">
        <v>#N/A</v>
      </c>
      <c r="O244" t="e">
        <v>#N/A</v>
      </c>
      <c r="P244">
        <v>101.9</v>
      </c>
      <c r="Q244" s="1" t="e">
        <v>#N/A</v>
      </c>
      <c r="S244" t="str">
        <f t="shared" si="3"/>
        <v/>
      </c>
    </row>
    <row r="245" spans="1:19" x14ac:dyDescent="0.4">
      <c r="A245" s="1">
        <v>43922</v>
      </c>
      <c r="B245" s="10">
        <v>232065</v>
      </c>
      <c r="C245" s="2">
        <v>1.7989999999999999</v>
      </c>
      <c r="D245">
        <v>1.1000000000000001</v>
      </c>
      <c r="E245">
        <v>143.9</v>
      </c>
      <c r="F245">
        <v>7.4</v>
      </c>
      <c r="G245" s="6">
        <v>1680</v>
      </c>
      <c r="H245">
        <v>48.2</v>
      </c>
      <c r="I245" s="3">
        <v>0.18105009198188782</v>
      </c>
      <c r="L245">
        <v>55.6</v>
      </c>
      <c r="M245">
        <v>73.7</v>
      </c>
      <c r="N245">
        <v>79.8</v>
      </c>
      <c r="O245">
        <v>156877.6</v>
      </c>
      <c r="P245">
        <v>94.8</v>
      </c>
      <c r="Q245" s="1" t="s">
        <v>44</v>
      </c>
      <c r="S245" t="str">
        <f t="shared" si="3"/>
        <v>2020-Q2</v>
      </c>
    </row>
    <row r="246" spans="1:19" x14ac:dyDescent="0.4">
      <c r="A246" s="1">
        <v>43952</v>
      </c>
      <c r="B246" s="10" t="e">
        <v>#N/A</v>
      </c>
      <c r="C246" s="2">
        <v>1.762</v>
      </c>
      <c r="D246">
        <v>1.1000000000000001</v>
      </c>
      <c r="E246" t="e">
        <v>#N/A</v>
      </c>
      <c r="F246">
        <v>8.6999999999999993</v>
      </c>
      <c r="G246" s="6">
        <v>1680</v>
      </c>
      <c r="H246" t="e">
        <v>#N/A</v>
      </c>
      <c r="I246" s="3">
        <v>0.11715933680534363</v>
      </c>
      <c r="L246">
        <v>80.599999999999994</v>
      </c>
      <c r="M246">
        <v>88.1</v>
      </c>
      <c r="N246" t="e">
        <v>#N/A</v>
      </c>
      <c r="O246" t="e">
        <v>#N/A</v>
      </c>
      <c r="P246">
        <v>91.9</v>
      </c>
      <c r="Q246" s="1" t="s">
        <v>37</v>
      </c>
      <c r="S246" t="str">
        <f t="shared" si="3"/>
        <v/>
      </c>
    </row>
    <row r="247" spans="1:19" x14ac:dyDescent="0.4">
      <c r="A247" s="1">
        <v>43983</v>
      </c>
      <c r="B247" s="10" t="e">
        <v>#N/A</v>
      </c>
      <c r="C247" s="2">
        <v>1.4550000000000001</v>
      </c>
      <c r="D247">
        <v>0.9</v>
      </c>
      <c r="E247" t="e">
        <v>#N/A</v>
      </c>
      <c r="F247">
        <v>9.6</v>
      </c>
      <c r="G247" s="6">
        <v>1680</v>
      </c>
      <c r="H247" t="e">
        <v>#N/A</v>
      </c>
      <c r="I247" s="3">
        <v>7.3827981948852539E-2</v>
      </c>
      <c r="L247">
        <v>87.2</v>
      </c>
      <c r="M247">
        <v>95</v>
      </c>
      <c r="N247" t="e">
        <v>#N/A</v>
      </c>
      <c r="O247" t="e">
        <v>#N/A</v>
      </c>
      <c r="P247">
        <v>92.1</v>
      </c>
      <c r="Q247" s="1" t="e">
        <v>#N/A</v>
      </c>
      <c r="S247" t="str">
        <f t="shared" si="3"/>
        <v/>
      </c>
    </row>
    <row r="248" spans="1:19" x14ac:dyDescent="0.4">
      <c r="A248" s="1">
        <v>44013</v>
      </c>
      <c r="B248" s="10">
        <v>225646</v>
      </c>
      <c r="C248" s="2">
        <v>1.196</v>
      </c>
      <c r="D248">
        <v>1.9</v>
      </c>
      <c r="E248">
        <v>148.80000000000001</v>
      </c>
      <c r="F248">
        <v>10.3</v>
      </c>
      <c r="G248" s="6">
        <v>2058</v>
      </c>
      <c r="H248">
        <v>53.6</v>
      </c>
      <c r="I248" s="3">
        <v>0.10801566392183304</v>
      </c>
      <c r="L248">
        <v>93.3</v>
      </c>
      <c r="M248">
        <v>92.7</v>
      </c>
      <c r="N248">
        <v>96.3</v>
      </c>
      <c r="O248">
        <v>162942.20000000001</v>
      </c>
      <c r="P248">
        <v>92.3</v>
      </c>
      <c r="Q248" s="1" t="s">
        <v>44</v>
      </c>
      <c r="S248" t="str">
        <f t="shared" si="3"/>
        <v>2020-Q3</v>
      </c>
    </row>
    <row r="249" spans="1:19" x14ac:dyDescent="0.4">
      <c r="A249" s="1">
        <v>44044</v>
      </c>
      <c r="B249" s="10" t="e">
        <v>#N/A</v>
      </c>
      <c r="C249" s="2">
        <v>1.032</v>
      </c>
      <c r="D249">
        <v>0.5</v>
      </c>
      <c r="E249" t="e">
        <v>#N/A</v>
      </c>
      <c r="F249">
        <v>10.1</v>
      </c>
      <c r="G249" s="6">
        <v>2058</v>
      </c>
      <c r="H249" t="e">
        <v>#N/A</v>
      </c>
      <c r="I249" s="3">
        <v>0.10240883380174637</v>
      </c>
      <c r="L249">
        <v>99.7</v>
      </c>
      <c r="M249">
        <v>100.5</v>
      </c>
      <c r="N249" t="e">
        <v>#N/A</v>
      </c>
      <c r="O249" t="e">
        <v>#N/A</v>
      </c>
      <c r="P249">
        <v>92.4</v>
      </c>
      <c r="Q249" s="1" t="e">
        <v>#N/A</v>
      </c>
      <c r="S249" t="str">
        <f t="shared" si="3"/>
        <v/>
      </c>
    </row>
    <row r="250" spans="1:19" x14ac:dyDescent="0.4">
      <c r="A250" s="1">
        <v>44075</v>
      </c>
      <c r="B250" s="10" t="e">
        <v>#N/A</v>
      </c>
      <c r="C250" s="2">
        <v>0.98099999999999998</v>
      </c>
      <c r="D250">
        <v>-0.1</v>
      </c>
      <c r="E250" t="e">
        <v>#N/A</v>
      </c>
      <c r="F250">
        <v>10</v>
      </c>
      <c r="G250" s="6">
        <v>2058</v>
      </c>
      <c r="H250" t="e">
        <v>#N/A</v>
      </c>
      <c r="I250" s="3">
        <v>0.12098942697048187</v>
      </c>
      <c r="L250">
        <v>95.5</v>
      </c>
      <c r="M250">
        <v>100.2</v>
      </c>
      <c r="N250" t="e">
        <v>#N/A</v>
      </c>
      <c r="O250" t="e">
        <v>#N/A</v>
      </c>
      <c r="P250">
        <v>92.1</v>
      </c>
      <c r="Q250" s="1" t="e">
        <v>#N/A</v>
      </c>
      <c r="S250" t="str">
        <f t="shared" si="3"/>
        <v/>
      </c>
    </row>
    <row r="251" spans="1:19" x14ac:dyDescent="0.4">
      <c r="A251" s="1">
        <v>44105</v>
      </c>
      <c r="B251" s="10">
        <v>280818</v>
      </c>
      <c r="C251" s="2">
        <v>0.77</v>
      </c>
      <c r="D251">
        <v>0.3</v>
      </c>
      <c r="E251">
        <v>149.9</v>
      </c>
      <c r="F251">
        <v>10</v>
      </c>
      <c r="G251" s="6">
        <v>1984</v>
      </c>
      <c r="H251">
        <v>56.6</v>
      </c>
      <c r="I251" s="3">
        <v>0.11810857802629471</v>
      </c>
      <c r="L251">
        <v>97.6</v>
      </c>
      <c r="M251">
        <v>100.9</v>
      </c>
      <c r="N251">
        <v>95.4</v>
      </c>
      <c r="O251">
        <v>197273.7</v>
      </c>
      <c r="P251">
        <v>94.9</v>
      </c>
      <c r="Q251" s="1" t="s">
        <v>45</v>
      </c>
      <c r="S251" t="str">
        <f t="shared" si="3"/>
        <v>2020-Q4</v>
      </c>
    </row>
    <row r="252" spans="1:19" x14ac:dyDescent="0.4">
      <c r="A252" s="1">
        <v>44136</v>
      </c>
      <c r="B252" s="10" t="e">
        <v>#N/A</v>
      </c>
      <c r="C252" s="2">
        <v>0.66400000000000003</v>
      </c>
      <c r="D252">
        <v>0.5</v>
      </c>
      <c r="E252" t="e">
        <v>#N/A</v>
      </c>
      <c r="F252">
        <v>9.5</v>
      </c>
      <c r="G252" s="6">
        <v>1984</v>
      </c>
      <c r="H252" t="e">
        <v>#N/A</v>
      </c>
      <c r="I252" s="3">
        <v>0.12389299273490906</v>
      </c>
      <c r="L252">
        <v>95.7</v>
      </c>
      <c r="M252">
        <v>91.7</v>
      </c>
      <c r="N252" t="e">
        <v>#N/A</v>
      </c>
      <c r="O252" t="e">
        <v>#N/A</v>
      </c>
      <c r="P252">
        <v>94.9</v>
      </c>
      <c r="Q252" s="1" t="s">
        <v>48</v>
      </c>
      <c r="S252" t="str">
        <f t="shared" si="3"/>
        <v/>
      </c>
    </row>
    <row r="253" spans="1:19" x14ac:dyDescent="0.4">
      <c r="A253" s="1">
        <v>44166</v>
      </c>
      <c r="B253" s="10" t="e">
        <v>#N/A</v>
      </c>
      <c r="C253" s="2">
        <v>0.57799999999999996</v>
      </c>
      <c r="D253">
        <v>0.5</v>
      </c>
      <c r="E253" t="e">
        <v>#N/A</v>
      </c>
      <c r="F253">
        <v>9.6999999999999993</v>
      </c>
      <c r="G253" s="6">
        <v>1984</v>
      </c>
      <c r="H253" t="e">
        <v>#N/A</v>
      </c>
      <c r="I253" s="3">
        <v>8.0264396965503693E-2</v>
      </c>
      <c r="L253">
        <v>95.8</v>
      </c>
      <c r="M253">
        <v>92.9</v>
      </c>
      <c r="N253" t="e">
        <v>#N/A</v>
      </c>
      <c r="O253" t="e">
        <v>#N/A</v>
      </c>
      <c r="P253">
        <v>96.1</v>
      </c>
      <c r="Q253" s="1" t="s">
        <v>44</v>
      </c>
      <c r="S253" t="str">
        <f t="shared" si="3"/>
        <v/>
      </c>
    </row>
    <row r="254" spans="1:19" x14ac:dyDescent="0.4">
      <c r="A254" s="1">
        <v>44197</v>
      </c>
      <c r="B254" s="10">
        <v>235714</v>
      </c>
      <c r="C254" s="2">
        <v>0.61599999999999999</v>
      </c>
      <c r="D254">
        <v>1.3</v>
      </c>
      <c r="E254">
        <v>153.30000000000001</v>
      </c>
      <c r="F254">
        <v>10.199999999999999</v>
      </c>
      <c r="G254" s="6">
        <v>2044</v>
      </c>
      <c r="H254">
        <v>52.9</v>
      </c>
      <c r="I254" s="3">
        <v>4.8653192818164825E-2</v>
      </c>
      <c r="L254">
        <v>98.3</v>
      </c>
      <c r="M254">
        <v>91.9</v>
      </c>
      <c r="N254">
        <v>96.8</v>
      </c>
      <c r="O254">
        <v>163821.29999999999</v>
      </c>
      <c r="P254">
        <v>99.2</v>
      </c>
      <c r="Q254" s="1" t="e">
        <v>#N/A</v>
      </c>
      <c r="S254" t="str">
        <f t="shared" si="3"/>
        <v>2021-Q1</v>
      </c>
    </row>
    <row r="255" spans="1:19" x14ac:dyDescent="0.4">
      <c r="A255" s="1">
        <v>44228</v>
      </c>
      <c r="B255" s="10" t="e">
        <v>#N/A</v>
      </c>
      <c r="C255" s="2">
        <v>0.59</v>
      </c>
      <c r="D255">
        <v>1.4</v>
      </c>
      <c r="E255" t="e">
        <v>#N/A</v>
      </c>
      <c r="F255">
        <v>10.1</v>
      </c>
      <c r="G255" s="6">
        <v>2044</v>
      </c>
      <c r="H255" t="e">
        <v>#N/A</v>
      </c>
      <c r="I255" s="3">
        <v>0.12565243244171143</v>
      </c>
      <c r="L255">
        <v>97.8</v>
      </c>
      <c r="M255">
        <v>97.6</v>
      </c>
      <c r="N255" t="e">
        <v>#N/A</v>
      </c>
      <c r="O255" t="e">
        <v>#N/A</v>
      </c>
      <c r="P255">
        <v>100.2</v>
      </c>
      <c r="Q255" s="1" t="e">
        <v>#N/A</v>
      </c>
      <c r="S255" t="str">
        <f t="shared" si="3"/>
        <v/>
      </c>
    </row>
    <row r="256" spans="1:19" x14ac:dyDescent="0.4">
      <c r="A256" s="1">
        <v>44256</v>
      </c>
      <c r="B256" s="10" t="e">
        <v>#N/A</v>
      </c>
      <c r="C256" s="2">
        <v>0.70399999999999996</v>
      </c>
      <c r="D256">
        <v>0.5</v>
      </c>
      <c r="E256" t="e">
        <v>#N/A</v>
      </c>
      <c r="F256">
        <v>10.199999999999999</v>
      </c>
      <c r="G256" s="6">
        <v>2044</v>
      </c>
      <c r="H256" t="e">
        <v>#N/A</v>
      </c>
      <c r="I256" s="3">
        <v>0.15283842384815216</v>
      </c>
      <c r="L256">
        <v>98.2</v>
      </c>
      <c r="M256">
        <v>96.6</v>
      </c>
      <c r="N256" t="e">
        <v>#N/A</v>
      </c>
      <c r="O256" t="e">
        <v>#N/A</v>
      </c>
      <c r="P256">
        <v>102.2</v>
      </c>
      <c r="Q256" s="1" t="e">
        <v>#N/A</v>
      </c>
      <c r="S256" t="str">
        <f t="shared" si="3"/>
        <v/>
      </c>
    </row>
    <row r="257" spans="1:19" x14ac:dyDescent="0.4">
      <c r="A257" s="1">
        <v>44287</v>
      </c>
      <c r="B257" s="10">
        <v>252432</v>
      </c>
      <c r="C257" s="2">
        <v>0.79700000000000004</v>
      </c>
      <c r="D257">
        <v>0.1</v>
      </c>
      <c r="E257">
        <v>149.1</v>
      </c>
      <c r="F257">
        <v>10.3</v>
      </c>
      <c r="G257" s="6">
        <v>2000</v>
      </c>
      <c r="H257">
        <v>56.9</v>
      </c>
      <c r="I257" s="3">
        <v>0.10242562741041183</v>
      </c>
      <c r="L257">
        <v>99.7</v>
      </c>
      <c r="M257">
        <v>96.9</v>
      </c>
      <c r="N257">
        <v>99.6</v>
      </c>
      <c r="O257">
        <v>183520.4</v>
      </c>
      <c r="P257">
        <v>104.1</v>
      </c>
      <c r="Q257" s="1" t="e">
        <v>#N/A</v>
      </c>
      <c r="S257" t="str">
        <f t="shared" si="3"/>
        <v>2021-Q2</v>
      </c>
    </row>
    <row r="258" spans="1:19" x14ac:dyDescent="0.4">
      <c r="A258" s="1">
        <v>44317</v>
      </c>
      <c r="B258" s="10" t="e">
        <v>#N/A</v>
      </c>
      <c r="C258" s="2">
        <v>0.98399999999999999</v>
      </c>
      <c r="D258">
        <v>0</v>
      </c>
      <c r="E258" t="e">
        <v>#N/A</v>
      </c>
      <c r="F258">
        <v>9.9</v>
      </c>
      <c r="G258" s="6">
        <v>2000</v>
      </c>
      <c r="H258" t="e">
        <v>#N/A</v>
      </c>
      <c r="I258" s="3">
        <v>8.6324401199817657E-2</v>
      </c>
      <c r="L258">
        <v>98.2</v>
      </c>
      <c r="M258">
        <v>101.1</v>
      </c>
      <c r="N258" t="e">
        <v>#N/A</v>
      </c>
      <c r="O258" t="e">
        <v>#N/A</v>
      </c>
      <c r="P258">
        <v>104.9</v>
      </c>
      <c r="Q258" s="1" t="e">
        <v>#N/A</v>
      </c>
      <c r="S258" t="str">
        <f t="shared" si="3"/>
        <v/>
      </c>
    </row>
    <row r="259" spans="1:19" x14ac:dyDescent="0.4">
      <c r="A259" s="1">
        <v>44348</v>
      </c>
      <c r="B259" s="10" t="e">
        <v>#N/A</v>
      </c>
      <c r="C259" s="2">
        <v>0.875</v>
      </c>
      <c r="D259">
        <v>0.1</v>
      </c>
      <c r="E259" t="e">
        <v>#N/A</v>
      </c>
      <c r="F259">
        <v>9.4</v>
      </c>
      <c r="G259" s="6">
        <v>2000</v>
      </c>
      <c r="H259" t="e">
        <v>#N/A</v>
      </c>
      <c r="I259" s="3">
        <v>0.11604158580303192</v>
      </c>
      <c r="L259">
        <v>99.9</v>
      </c>
      <c r="M259">
        <v>102.1</v>
      </c>
      <c r="N259" t="e">
        <v>#N/A</v>
      </c>
      <c r="O259" t="e">
        <v>#N/A</v>
      </c>
      <c r="P259">
        <v>105.4</v>
      </c>
      <c r="Q259" s="1" t="s">
        <v>44</v>
      </c>
      <c r="S259" t="str">
        <f t="shared" ref="S259:S313" si="4">IF(MONTH($A259) = 1, YEAR($A259)&amp;"-Q"&amp;MONTH($A259), IF(MONTH($A259) = 4, YEAR($A259)&amp;"-Q2", IF(MONTH($A259) = 7, YEAR($A259)&amp;"-Q3", IF(MONTH($A259) = 10, YEAR($A259)&amp;"-Q4",""))))</f>
        <v/>
      </c>
    </row>
    <row r="260" spans="1:19" x14ac:dyDescent="0.4">
      <c r="A260" s="1">
        <v>44378</v>
      </c>
      <c r="B260" s="10">
        <v>240207</v>
      </c>
      <c r="C260" s="2">
        <v>0.748</v>
      </c>
      <c r="D260">
        <v>-0.6</v>
      </c>
      <c r="E260">
        <v>146.6</v>
      </c>
      <c r="F260">
        <v>9.1</v>
      </c>
      <c r="G260" s="6">
        <v>1868</v>
      </c>
      <c r="H260">
        <v>58.1</v>
      </c>
      <c r="I260" s="3">
        <v>0.10755579173564911</v>
      </c>
      <c r="L260">
        <v>100.9</v>
      </c>
      <c r="M260">
        <v>101</v>
      </c>
      <c r="N260">
        <v>103.3</v>
      </c>
      <c r="O260">
        <v>176904.7</v>
      </c>
      <c r="P260">
        <v>109.7</v>
      </c>
      <c r="Q260" s="1" t="e">
        <v>#N/A</v>
      </c>
      <c r="S260" t="str">
        <f t="shared" si="4"/>
        <v>2021-Q3</v>
      </c>
    </row>
    <row r="261" spans="1:19" x14ac:dyDescent="0.4">
      <c r="A261" s="1">
        <v>44409</v>
      </c>
      <c r="B261" s="10" t="e">
        <v>#N/A</v>
      </c>
      <c r="C261" s="2">
        <v>0.628</v>
      </c>
      <c r="D261">
        <v>0.9</v>
      </c>
      <c r="E261" t="e">
        <v>#N/A</v>
      </c>
      <c r="F261">
        <v>9.1</v>
      </c>
      <c r="G261" s="6">
        <v>1868</v>
      </c>
      <c r="H261" t="e">
        <v>#N/A</v>
      </c>
      <c r="I261" s="3">
        <v>9.1720975935459137E-2</v>
      </c>
      <c r="L261">
        <v>99.6</v>
      </c>
      <c r="M261">
        <v>101.5</v>
      </c>
      <c r="N261" t="e">
        <v>#N/A</v>
      </c>
      <c r="O261" t="e">
        <v>#N/A</v>
      </c>
      <c r="P261">
        <v>110.9</v>
      </c>
      <c r="Q261" s="1" t="s">
        <v>43</v>
      </c>
      <c r="S261" t="str">
        <f t="shared" si="4"/>
        <v/>
      </c>
    </row>
    <row r="262" spans="1:19" x14ac:dyDescent="0.4">
      <c r="A262" s="1">
        <v>44440</v>
      </c>
      <c r="B262" s="10" t="e">
        <v>#N/A</v>
      </c>
      <c r="C262" s="2">
        <v>0.77700000000000002</v>
      </c>
      <c r="D262">
        <v>1.4</v>
      </c>
      <c r="E262" t="e">
        <v>#N/A</v>
      </c>
      <c r="F262">
        <v>9.1</v>
      </c>
      <c r="G262" s="6">
        <v>1868</v>
      </c>
      <c r="H262" t="e">
        <v>#N/A</v>
      </c>
      <c r="I262" s="3">
        <v>6.086142361164093E-2</v>
      </c>
      <c r="L262">
        <v>100.3</v>
      </c>
      <c r="M262">
        <v>101.9</v>
      </c>
      <c r="N262" t="e">
        <v>#N/A</v>
      </c>
      <c r="O262" t="e">
        <v>#N/A</v>
      </c>
      <c r="P262">
        <v>111</v>
      </c>
      <c r="Q262" s="1" t="e">
        <v>#N/A</v>
      </c>
      <c r="S262" t="str">
        <f t="shared" si="4"/>
        <v/>
      </c>
    </row>
    <row r="263" spans="1:19" x14ac:dyDescent="0.4">
      <c r="A263" s="1">
        <v>44470</v>
      </c>
      <c r="B263" s="10">
        <v>304175</v>
      </c>
      <c r="C263" s="2">
        <v>0.95499999999999996</v>
      </c>
      <c r="D263">
        <v>1.2</v>
      </c>
      <c r="E263">
        <v>141.6</v>
      </c>
      <c r="F263">
        <v>9.1</v>
      </c>
      <c r="G263" s="6">
        <v>1848</v>
      </c>
      <c r="H263">
        <v>59.6</v>
      </c>
      <c r="I263" s="3">
        <v>6.273244321346283E-2</v>
      </c>
      <c r="L263">
        <v>100.2</v>
      </c>
      <c r="M263">
        <v>104.2</v>
      </c>
      <c r="N263">
        <v>103.6</v>
      </c>
      <c r="O263">
        <v>213974.2</v>
      </c>
      <c r="P263">
        <v>118.9</v>
      </c>
      <c r="Q263" s="1" t="e">
        <v>#N/A</v>
      </c>
      <c r="S263" t="str">
        <f t="shared" si="4"/>
        <v>2021-Q4</v>
      </c>
    </row>
    <row r="264" spans="1:19" x14ac:dyDescent="0.4">
      <c r="A264" s="1">
        <v>44501</v>
      </c>
      <c r="B264" s="10" t="e">
        <v>#N/A</v>
      </c>
      <c r="C264" s="2">
        <v>1.01</v>
      </c>
      <c r="D264">
        <v>1.3</v>
      </c>
      <c r="E264" t="e">
        <v>#N/A</v>
      </c>
      <c r="F264">
        <v>9</v>
      </c>
      <c r="G264" s="6">
        <v>1848</v>
      </c>
      <c r="H264" t="e">
        <v>#N/A</v>
      </c>
      <c r="I264" s="3">
        <v>0.21321961283683777</v>
      </c>
      <c r="L264">
        <v>102.3</v>
      </c>
      <c r="M264">
        <v>101.5</v>
      </c>
      <c r="N264" t="e">
        <v>#N/A</v>
      </c>
      <c r="O264" t="e">
        <v>#N/A</v>
      </c>
      <c r="P264">
        <v>124.5</v>
      </c>
      <c r="Q264" s="1" t="e">
        <v>#N/A</v>
      </c>
      <c r="S264" t="str">
        <f t="shared" si="4"/>
        <v/>
      </c>
    </row>
    <row r="265" spans="1:19" x14ac:dyDescent="0.4">
      <c r="A265" s="1">
        <v>44531</v>
      </c>
      <c r="B265" s="10" t="e">
        <v>#N/A</v>
      </c>
      <c r="C265" s="2">
        <v>1.0469999999999999</v>
      </c>
      <c r="D265">
        <v>1.8</v>
      </c>
      <c r="E265" t="e">
        <v>#N/A</v>
      </c>
      <c r="F265">
        <v>8.8000000000000007</v>
      </c>
      <c r="G265" s="6">
        <v>1848</v>
      </c>
      <c r="H265" t="e">
        <v>#N/A</v>
      </c>
      <c r="I265" s="3">
        <v>0.31597137451171875</v>
      </c>
      <c r="L265">
        <v>100.7</v>
      </c>
      <c r="M265">
        <v>101.9</v>
      </c>
      <c r="N265" t="e">
        <v>#N/A</v>
      </c>
      <c r="O265" t="e">
        <v>#N/A</v>
      </c>
      <c r="P265">
        <v>124.5</v>
      </c>
      <c r="Q265" s="1" t="s">
        <v>45</v>
      </c>
      <c r="S265" t="str">
        <f t="shared" si="4"/>
        <v/>
      </c>
    </row>
    <row r="266" spans="1:19" x14ac:dyDescent="0.4">
      <c r="A266" s="1">
        <v>44562</v>
      </c>
      <c r="B266" s="10">
        <v>245236</v>
      </c>
      <c r="C266" s="2">
        <v>1.3460000000000001</v>
      </c>
      <c r="D266">
        <v>1.7</v>
      </c>
      <c r="E266">
        <v>142.5</v>
      </c>
      <c r="F266">
        <v>8.6</v>
      </c>
      <c r="G266" s="6">
        <v>1731</v>
      </c>
      <c r="H266">
        <v>60.4</v>
      </c>
      <c r="I266" s="3">
        <v>0.32964903116226196</v>
      </c>
      <c r="L266">
        <v>95.7</v>
      </c>
      <c r="M266">
        <v>100.6</v>
      </c>
      <c r="N266">
        <v>104.3</v>
      </c>
      <c r="O266">
        <v>177841.6</v>
      </c>
      <c r="P266">
        <v>138</v>
      </c>
      <c r="Q266" s="1" t="e">
        <v>#N/A</v>
      </c>
      <c r="S266" t="str">
        <f t="shared" si="4"/>
        <v>2022-Q1</v>
      </c>
    </row>
    <row r="267" spans="1:19" x14ac:dyDescent="0.4">
      <c r="A267" s="1">
        <v>44593</v>
      </c>
      <c r="B267" s="10" t="e">
        <v>#N/A</v>
      </c>
      <c r="C267" s="2">
        <v>1.794</v>
      </c>
      <c r="D267">
        <v>2.2999999999999998</v>
      </c>
      <c r="E267" t="e">
        <v>#N/A</v>
      </c>
      <c r="F267">
        <v>8.4</v>
      </c>
      <c r="G267" s="6">
        <v>1731</v>
      </c>
      <c r="H267" t="e">
        <v>#N/A</v>
      </c>
      <c r="I267" s="3">
        <v>0.49330514669418335</v>
      </c>
      <c r="L267">
        <v>101.1</v>
      </c>
      <c r="M267">
        <v>100.7</v>
      </c>
      <c r="N267" t="e">
        <v>#N/A</v>
      </c>
      <c r="O267" t="e">
        <v>#N/A</v>
      </c>
      <c r="P267">
        <v>146.80000000000001</v>
      </c>
      <c r="Q267" s="1" t="e">
        <v>#N/A</v>
      </c>
      <c r="S267" t="str">
        <f t="shared" si="4"/>
        <v/>
      </c>
    </row>
    <row r="268" spans="1:19" x14ac:dyDescent="0.4">
      <c r="A268" s="1">
        <v>44621</v>
      </c>
      <c r="B268" s="10" t="e">
        <v>#N/A</v>
      </c>
      <c r="C268" s="2">
        <v>1.8540000000000001</v>
      </c>
      <c r="D268">
        <v>2.7</v>
      </c>
      <c r="E268" t="e">
        <v>#N/A</v>
      </c>
      <c r="F268">
        <v>8.3000000000000007</v>
      </c>
      <c r="G268" s="6">
        <v>1731</v>
      </c>
      <c r="H268" t="e">
        <v>#N/A</v>
      </c>
      <c r="I268" s="3">
        <v>0.64516127109527588</v>
      </c>
      <c r="L268">
        <v>101.5</v>
      </c>
      <c r="M268">
        <v>100.4</v>
      </c>
      <c r="N268" t="e">
        <v>#N/A</v>
      </c>
      <c r="O268" t="e">
        <v>#N/A</v>
      </c>
      <c r="P268">
        <v>154.80000000000001</v>
      </c>
      <c r="Q268" s="1" t="e">
        <v>#N/A</v>
      </c>
      <c r="S268" t="str">
        <f t="shared" si="4"/>
        <v/>
      </c>
    </row>
    <row r="269" spans="1:19" x14ac:dyDescent="0.4">
      <c r="A269" s="1">
        <v>44652</v>
      </c>
      <c r="B269" s="10">
        <v>260259</v>
      </c>
      <c r="C269" s="2">
        <v>2.4359999999999999</v>
      </c>
      <c r="D269">
        <v>3.1</v>
      </c>
      <c r="E269">
        <v>140</v>
      </c>
      <c r="F269">
        <v>8.1</v>
      </c>
      <c r="G269" s="6">
        <v>1691</v>
      </c>
      <c r="H269">
        <v>58.3</v>
      </c>
      <c r="I269" s="3">
        <v>0.37909716367721558</v>
      </c>
      <c r="L269">
        <v>103.6</v>
      </c>
      <c r="M269">
        <v>100.1</v>
      </c>
      <c r="N269">
        <v>105.7</v>
      </c>
      <c r="O269">
        <v>198440.6</v>
      </c>
      <c r="P269">
        <v>145.69999999999999</v>
      </c>
      <c r="Q269" s="1" t="e">
        <v>#N/A</v>
      </c>
      <c r="S269" t="str">
        <f t="shared" si="4"/>
        <v>2022-Q2</v>
      </c>
    </row>
    <row r="270" spans="1:19" x14ac:dyDescent="0.4">
      <c r="A270" s="1">
        <v>44682</v>
      </c>
      <c r="B270" s="10" t="e">
        <v>#N/A</v>
      </c>
      <c r="C270" s="2">
        <v>2.99</v>
      </c>
      <c r="D270">
        <v>3.9</v>
      </c>
      <c r="E270" t="e">
        <v>#N/A</v>
      </c>
      <c r="F270">
        <v>8.1</v>
      </c>
      <c r="G270" s="6">
        <v>1691</v>
      </c>
      <c r="H270" t="e">
        <v>#N/A</v>
      </c>
      <c r="I270" s="3">
        <v>0.34519833326339722</v>
      </c>
      <c r="L270">
        <v>101.4</v>
      </c>
      <c r="M270">
        <v>103.4</v>
      </c>
      <c r="N270" t="e">
        <v>#N/A</v>
      </c>
      <c r="O270" t="e">
        <v>#N/A</v>
      </c>
      <c r="P270">
        <v>149.9</v>
      </c>
      <c r="Q270" s="1" t="e">
        <v>#N/A</v>
      </c>
      <c r="S270" t="str">
        <f t="shared" si="4"/>
        <v/>
      </c>
    </row>
    <row r="271" spans="1:19" x14ac:dyDescent="0.4">
      <c r="A271" s="1">
        <v>44713</v>
      </c>
      <c r="B271" s="10" t="e">
        <v>#N/A</v>
      </c>
      <c r="C271" s="2">
        <v>3.6349999999999998</v>
      </c>
      <c r="D271">
        <v>4.5999999999999996</v>
      </c>
      <c r="E271" t="e">
        <v>#N/A</v>
      </c>
      <c r="F271">
        <v>8.1999999999999993</v>
      </c>
      <c r="G271" s="6">
        <v>1691</v>
      </c>
      <c r="H271" t="e">
        <v>#N/A</v>
      </c>
      <c r="I271" s="3">
        <v>0.56510478258132935</v>
      </c>
      <c r="L271">
        <v>99</v>
      </c>
      <c r="M271">
        <v>99.8</v>
      </c>
      <c r="N271" t="e">
        <v>#N/A</v>
      </c>
      <c r="O271" t="e">
        <v>#N/A</v>
      </c>
      <c r="P271">
        <v>157.19999999999999</v>
      </c>
      <c r="Q271" s="1" t="s">
        <v>45</v>
      </c>
      <c r="S271" t="str">
        <f t="shared" si="4"/>
        <v/>
      </c>
    </row>
    <row r="272" spans="1:19" x14ac:dyDescent="0.4">
      <c r="A272" s="1">
        <v>44743</v>
      </c>
      <c r="B272" s="10">
        <v>267469</v>
      </c>
      <c r="C272" s="2">
        <v>3.359</v>
      </c>
      <c r="D272">
        <v>4.7</v>
      </c>
      <c r="E272">
        <v>136</v>
      </c>
      <c r="F272">
        <v>7.9</v>
      </c>
      <c r="G272" s="6">
        <v>1659</v>
      </c>
      <c r="H272">
        <v>56.4</v>
      </c>
      <c r="I272" s="3">
        <v>0.29627048969268799</v>
      </c>
      <c r="L272">
        <v>99.7</v>
      </c>
      <c r="M272">
        <v>100.2</v>
      </c>
      <c r="N272">
        <v>105.5</v>
      </c>
      <c r="O272">
        <v>184578.8</v>
      </c>
      <c r="P272">
        <v>157.30000000000001</v>
      </c>
      <c r="Q272" s="1" t="s">
        <v>43</v>
      </c>
      <c r="S272" t="str">
        <f t="shared" si="4"/>
        <v>2022-Q3</v>
      </c>
    </row>
    <row r="273" spans="1:19" x14ac:dyDescent="0.4">
      <c r="A273" s="1">
        <v>44774</v>
      </c>
      <c r="B273" s="10" t="e">
        <v>#N/A</v>
      </c>
      <c r="C273" s="2">
        <v>3.2970000000000002</v>
      </c>
      <c r="D273">
        <v>5.4</v>
      </c>
      <c r="E273" t="e">
        <v>#N/A</v>
      </c>
      <c r="F273">
        <v>8.1999999999999993</v>
      </c>
      <c r="G273" s="6">
        <v>1659</v>
      </c>
      <c r="H273" t="e">
        <v>#N/A</v>
      </c>
      <c r="I273" s="3">
        <v>0.11842728406190872</v>
      </c>
      <c r="L273">
        <v>102.5</v>
      </c>
      <c r="M273">
        <v>99.7</v>
      </c>
      <c r="N273" t="e">
        <v>#N/A</v>
      </c>
      <c r="O273" t="e">
        <v>#N/A</v>
      </c>
      <c r="P273">
        <v>161.19999999999999</v>
      </c>
      <c r="Q273" s="1" t="s">
        <v>49</v>
      </c>
      <c r="S273" t="str">
        <f t="shared" si="4"/>
        <v/>
      </c>
    </row>
    <row r="274" spans="1:19" x14ac:dyDescent="0.4">
      <c r="A274" s="1">
        <v>44805</v>
      </c>
      <c r="B274" s="10" t="e">
        <v>#N/A</v>
      </c>
      <c r="C274" s="2">
        <v>4.1379999999999999</v>
      </c>
      <c r="D274">
        <v>5.8</v>
      </c>
      <c r="E274" t="e">
        <v>#N/A</v>
      </c>
      <c r="F274">
        <v>8</v>
      </c>
      <c r="G274" s="6">
        <v>1659</v>
      </c>
      <c r="H274" t="e">
        <v>#N/A</v>
      </c>
      <c r="I274" s="3">
        <v>0.33578792214393616</v>
      </c>
      <c r="L274">
        <v>99.6</v>
      </c>
      <c r="M274">
        <v>99.5</v>
      </c>
      <c r="N274" t="e">
        <v>#N/A</v>
      </c>
      <c r="O274" t="e">
        <v>#N/A</v>
      </c>
      <c r="P274">
        <v>160.9</v>
      </c>
      <c r="Q274" s="1" t="e">
        <v>#N/A</v>
      </c>
      <c r="S274" t="str">
        <f t="shared" si="4"/>
        <v/>
      </c>
    </row>
    <row r="275" spans="1:19" x14ac:dyDescent="0.4">
      <c r="A275" s="1">
        <v>44835</v>
      </c>
      <c r="B275" s="10">
        <v>324663</v>
      </c>
      <c r="C275" s="2">
        <v>4.532</v>
      </c>
      <c r="D275">
        <v>6.4</v>
      </c>
      <c r="E275">
        <v>134.69999999999999</v>
      </c>
      <c r="F275">
        <v>7.8</v>
      </c>
      <c r="G275" s="6">
        <v>1634</v>
      </c>
      <c r="H275">
        <v>54</v>
      </c>
      <c r="I275" s="3">
        <v>0.31807339191436768</v>
      </c>
      <c r="L275">
        <v>98.4</v>
      </c>
      <c r="M275">
        <v>98.9</v>
      </c>
      <c r="N275">
        <v>107</v>
      </c>
      <c r="O275">
        <v>222736.5</v>
      </c>
      <c r="P275">
        <v>204.2</v>
      </c>
      <c r="Q275" s="1" t="e">
        <v>#N/A</v>
      </c>
      <c r="S275" t="str">
        <f t="shared" si="4"/>
        <v>2022-Q4</v>
      </c>
    </row>
    <row r="276" spans="1:19" x14ac:dyDescent="0.4">
      <c r="A276" s="1">
        <v>44866</v>
      </c>
      <c r="B276" s="10" t="e">
        <v>#N/A</v>
      </c>
      <c r="C276" s="2">
        <v>4.2430000000000003</v>
      </c>
      <c r="D276">
        <v>6.5</v>
      </c>
      <c r="E276" t="e">
        <v>#N/A</v>
      </c>
      <c r="F276">
        <v>7.8</v>
      </c>
      <c r="G276" s="6">
        <v>1634</v>
      </c>
      <c r="H276" t="e">
        <v>#N/A</v>
      </c>
      <c r="I276" s="3">
        <v>0.21666000783443451</v>
      </c>
      <c r="L276">
        <v>98.5</v>
      </c>
      <c r="M276">
        <v>98.6</v>
      </c>
      <c r="N276" t="e">
        <v>#N/A</v>
      </c>
      <c r="O276" t="e">
        <v>#N/A</v>
      </c>
      <c r="P276">
        <v>209.3</v>
      </c>
      <c r="Q276" s="1" t="e">
        <v>#N/A</v>
      </c>
      <c r="S276" t="str">
        <f t="shared" si="4"/>
        <v/>
      </c>
    </row>
    <row r="277" spans="1:19" x14ac:dyDescent="0.4">
      <c r="A277" s="1">
        <v>44896</v>
      </c>
      <c r="B277" s="10" t="e">
        <v>#N/A</v>
      </c>
      <c r="C277" s="2">
        <v>4.2569999999999997</v>
      </c>
      <c r="D277">
        <v>6.6</v>
      </c>
      <c r="E277" t="e">
        <v>#N/A</v>
      </c>
      <c r="F277">
        <v>7.9</v>
      </c>
      <c r="G277" s="6">
        <v>1634</v>
      </c>
      <c r="H277" t="e">
        <v>#N/A</v>
      </c>
      <c r="I277" s="3">
        <v>0.16118033230304718</v>
      </c>
      <c r="L277">
        <v>99.6</v>
      </c>
      <c r="M277">
        <v>98.2</v>
      </c>
      <c r="N277" t="e">
        <v>#N/A</v>
      </c>
      <c r="O277" t="e">
        <v>#N/A</v>
      </c>
      <c r="P277">
        <v>205.6</v>
      </c>
      <c r="Q277" s="1" t="e">
        <v>#N/A</v>
      </c>
      <c r="S277" t="str">
        <f t="shared" si="4"/>
        <v/>
      </c>
    </row>
    <row r="278" spans="1:19" x14ac:dyDescent="0.4">
      <c r="A278" s="1">
        <v>44927</v>
      </c>
      <c r="B278" s="10">
        <v>260248</v>
      </c>
      <c r="C278" s="2">
        <v>4.2430000000000003</v>
      </c>
      <c r="D278">
        <v>6.7</v>
      </c>
      <c r="E278">
        <v>133.5</v>
      </c>
      <c r="F278">
        <v>7.9</v>
      </c>
      <c r="G278" s="6">
        <v>1648</v>
      </c>
      <c r="H278">
        <v>55.4</v>
      </c>
      <c r="I278" s="3">
        <v>0.14531210064888</v>
      </c>
      <c r="L278">
        <v>98.4</v>
      </c>
      <c r="M278">
        <v>99</v>
      </c>
      <c r="N278">
        <v>108.3</v>
      </c>
      <c r="O278">
        <v>188674.6</v>
      </c>
      <c r="P278">
        <v>197</v>
      </c>
      <c r="Q278" s="1" t="e">
        <v>#N/A</v>
      </c>
      <c r="S278" t="str">
        <f t="shared" si="4"/>
        <v>2023-Q1</v>
      </c>
    </row>
    <row r="279" spans="1:19" x14ac:dyDescent="0.4">
      <c r="A279" s="1">
        <v>44958</v>
      </c>
      <c r="B279" s="10" t="e">
        <v>#N/A</v>
      </c>
      <c r="C279" s="2">
        <v>4.2699999999999996</v>
      </c>
      <c r="D279">
        <v>7</v>
      </c>
      <c r="E279" t="e">
        <v>#N/A</v>
      </c>
      <c r="F279">
        <v>7.8</v>
      </c>
      <c r="G279" s="6">
        <v>1648</v>
      </c>
      <c r="H279" t="e">
        <v>#N/A</v>
      </c>
      <c r="I279" s="3">
        <v>0.17344896495342255</v>
      </c>
      <c r="L279">
        <v>99.3</v>
      </c>
      <c r="M279">
        <v>97.8</v>
      </c>
      <c r="N279" t="e">
        <v>#N/A</v>
      </c>
      <c r="O279" t="e">
        <v>#N/A</v>
      </c>
      <c r="P279">
        <v>188.2</v>
      </c>
      <c r="Q279" s="1" t="e">
        <v>#N/A</v>
      </c>
      <c r="S279" t="str">
        <f t="shared" si="4"/>
        <v/>
      </c>
    </row>
    <row r="280" spans="1:19" x14ac:dyDescent="0.4">
      <c r="A280" s="1">
        <v>44986</v>
      </c>
      <c r="B280" s="10" t="e">
        <v>#N/A</v>
      </c>
      <c r="C280" s="2">
        <v>4.24</v>
      </c>
      <c r="D280">
        <v>6.9</v>
      </c>
      <c r="E280" t="e">
        <v>#N/A</v>
      </c>
      <c r="F280">
        <v>7.9</v>
      </c>
      <c r="G280" s="6">
        <v>1648</v>
      </c>
      <c r="H280" t="e">
        <v>#N/A</v>
      </c>
      <c r="I280" s="3">
        <v>0.17690765857696533</v>
      </c>
      <c r="L280">
        <v>98.7</v>
      </c>
      <c r="M280">
        <v>97.7</v>
      </c>
      <c r="N280" t="e">
        <v>#N/A</v>
      </c>
      <c r="O280" t="e">
        <v>#N/A</v>
      </c>
      <c r="P280">
        <v>171.4</v>
      </c>
      <c r="Q280" s="1" t="e">
        <v>#N/A</v>
      </c>
      <c r="S280" t="str">
        <f t="shared" si="4"/>
        <v/>
      </c>
    </row>
    <row r="281" spans="1:19" x14ac:dyDescent="0.4">
      <c r="A281" s="1">
        <v>45017</v>
      </c>
      <c r="B281" s="10">
        <v>268843</v>
      </c>
      <c r="C281" s="2">
        <v>4.234</v>
      </c>
      <c r="D281">
        <v>6.7</v>
      </c>
      <c r="E281">
        <v>134</v>
      </c>
      <c r="F281">
        <v>7.9</v>
      </c>
      <c r="G281" s="6">
        <v>1601</v>
      </c>
      <c r="H281">
        <v>54.5</v>
      </c>
      <c r="I281" s="3">
        <v>0.1426718533039093</v>
      </c>
      <c r="L281">
        <v>96.8</v>
      </c>
      <c r="M281">
        <v>97.6</v>
      </c>
      <c r="N281">
        <v>108.6</v>
      </c>
      <c r="O281">
        <v>207231.1</v>
      </c>
      <c r="P281">
        <v>169.6</v>
      </c>
      <c r="Q281" s="1" t="e">
        <v>#N/A</v>
      </c>
      <c r="S281" t="str">
        <f t="shared" si="4"/>
        <v>2023-Q2</v>
      </c>
    </row>
    <row r="282" spans="1:19" x14ac:dyDescent="0.4">
      <c r="A282" s="1">
        <v>45047</v>
      </c>
      <c r="B282" s="10" t="e">
        <v>#N/A</v>
      </c>
      <c r="C282" s="2">
        <v>4.3129999999999997</v>
      </c>
      <c r="D282">
        <v>6.6</v>
      </c>
      <c r="E282" t="e">
        <v>#N/A</v>
      </c>
      <c r="F282">
        <v>7.8</v>
      </c>
      <c r="G282" s="6">
        <v>1601</v>
      </c>
      <c r="H282" t="e">
        <v>#N/A</v>
      </c>
      <c r="I282" s="3">
        <v>0.22416090965270996</v>
      </c>
      <c r="L282">
        <v>98.2</v>
      </c>
      <c r="M282">
        <v>97.6</v>
      </c>
      <c r="N282" t="e">
        <v>#N/A</v>
      </c>
      <c r="O282" t="e">
        <v>#N/A</v>
      </c>
      <c r="P282">
        <v>167.2</v>
      </c>
      <c r="Q282" s="1" t="s">
        <v>45</v>
      </c>
      <c r="S282" t="str">
        <f t="shared" si="4"/>
        <v/>
      </c>
    </row>
    <row r="283" spans="1:19" x14ac:dyDescent="0.4">
      <c r="A283" s="1">
        <v>45078</v>
      </c>
      <c r="B283" s="10" t="e">
        <v>#N/A</v>
      </c>
      <c r="C283" s="2">
        <v>4.0739999999999998</v>
      </c>
      <c r="D283">
        <v>6.2</v>
      </c>
      <c r="E283" t="e">
        <v>#N/A</v>
      </c>
      <c r="F283">
        <v>7.4</v>
      </c>
      <c r="G283" s="6">
        <v>1601</v>
      </c>
      <c r="H283" t="e">
        <v>#N/A</v>
      </c>
      <c r="I283" s="3">
        <v>0.16514772176742554</v>
      </c>
      <c r="L283">
        <v>98.3</v>
      </c>
      <c r="M283">
        <v>97.1</v>
      </c>
      <c r="N283" t="e">
        <v>#N/A</v>
      </c>
      <c r="O283" t="e">
        <v>#N/A</v>
      </c>
      <c r="P283">
        <v>160.4</v>
      </c>
      <c r="Q283" s="1" t="e">
        <v>#N/A</v>
      </c>
      <c r="S283" t="str">
        <f t="shared" si="4"/>
        <v/>
      </c>
    </row>
    <row r="284" spans="1:19" x14ac:dyDescent="0.4">
      <c r="A284" s="1">
        <v>45108</v>
      </c>
      <c r="B284" s="10">
        <v>270027</v>
      </c>
      <c r="C284" s="2">
        <v>4.157</v>
      </c>
      <c r="D284">
        <v>6</v>
      </c>
      <c r="E284">
        <v>131.6</v>
      </c>
      <c r="F284">
        <v>7.8</v>
      </c>
      <c r="G284" s="6">
        <v>1613</v>
      </c>
      <c r="H284">
        <v>55.3</v>
      </c>
      <c r="I284" s="3">
        <v>0.1241927444934845</v>
      </c>
      <c r="L284">
        <v>97.6</v>
      </c>
      <c r="M284">
        <v>96.9</v>
      </c>
      <c r="N284">
        <v>109.3</v>
      </c>
      <c r="O284">
        <v>193497.9</v>
      </c>
      <c r="P284">
        <v>158.19999999999999</v>
      </c>
      <c r="Q284" s="1" t="s">
        <v>43</v>
      </c>
      <c r="S284" t="str">
        <f t="shared" si="4"/>
        <v>2023-Q3</v>
      </c>
    </row>
    <row r="285" spans="1:19" x14ac:dyDescent="0.4">
      <c r="A285" s="1">
        <v>45139</v>
      </c>
      <c r="B285" s="10" t="e">
        <v>#N/A</v>
      </c>
      <c r="C285" s="2">
        <v>4.2210000000000001</v>
      </c>
      <c r="D285">
        <v>5.2</v>
      </c>
      <c r="E285" t="e">
        <v>#N/A</v>
      </c>
      <c r="F285">
        <v>7.6</v>
      </c>
      <c r="G285" s="6">
        <v>1613</v>
      </c>
      <c r="H285" t="e">
        <v>#N/A</v>
      </c>
      <c r="I285" s="3">
        <v>0.21842008829116821</v>
      </c>
      <c r="L285">
        <v>98.3</v>
      </c>
      <c r="M285">
        <v>96.6</v>
      </c>
      <c r="N285" t="e">
        <v>#N/A</v>
      </c>
      <c r="O285" t="e">
        <v>#N/A</v>
      </c>
      <c r="P285">
        <v>160.80000000000001</v>
      </c>
      <c r="Q285" s="1" t="e">
        <v>#N/A</v>
      </c>
      <c r="S285" t="str">
        <f t="shared" si="4"/>
        <v/>
      </c>
    </row>
    <row r="286" spans="1:19" x14ac:dyDescent="0.4">
      <c r="A286" s="1">
        <v>45170</v>
      </c>
      <c r="B286" s="10" t="e">
        <v>#N/A</v>
      </c>
      <c r="C286" s="2">
        <v>4.5129999999999999</v>
      </c>
      <c r="D286">
        <v>5.0999999999999996</v>
      </c>
      <c r="E286" t="e">
        <v>#N/A</v>
      </c>
      <c r="F286">
        <v>7.7</v>
      </c>
      <c r="G286" s="6">
        <v>1613</v>
      </c>
      <c r="H286" t="e">
        <v>#N/A</v>
      </c>
      <c r="I286" s="3">
        <v>0.13914936780929565</v>
      </c>
      <c r="L286">
        <v>97.8</v>
      </c>
      <c r="M286">
        <v>95.8</v>
      </c>
      <c r="N286" t="e">
        <v>#N/A</v>
      </c>
      <c r="O286" t="e">
        <v>#N/A</v>
      </c>
      <c r="P286">
        <v>163.5</v>
      </c>
      <c r="Q286" s="1" t="e">
        <v>#N/A</v>
      </c>
      <c r="S286" t="str">
        <f t="shared" si="4"/>
        <v/>
      </c>
    </row>
    <row r="287" spans="1:19" x14ac:dyDescent="0.4">
      <c r="A287" s="1">
        <v>45200</v>
      </c>
      <c r="B287" s="10">
        <v>350087</v>
      </c>
      <c r="C287" s="2">
        <v>4.8849999999999998</v>
      </c>
      <c r="D287">
        <v>4.5</v>
      </c>
      <c r="E287">
        <v>130.9</v>
      </c>
      <c r="F287">
        <v>7.8</v>
      </c>
      <c r="G287" s="6">
        <v>1561</v>
      </c>
      <c r="H287">
        <v>54.2</v>
      </c>
      <c r="I287" s="3">
        <v>0.23884874582290649</v>
      </c>
      <c r="L287">
        <v>97.7</v>
      </c>
      <c r="M287">
        <v>96.3</v>
      </c>
      <c r="N287">
        <v>110.7</v>
      </c>
      <c r="O287">
        <v>234116.3</v>
      </c>
      <c r="P287">
        <v>163.5</v>
      </c>
      <c r="Q287" s="1" t="e">
        <v>#N/A</v>
      </c>
      <c r="S287" t="str">
        <f t="shared" si="4"/>
        <v>2023-Q4</v>
      </c>
    </row>
    <row r="288" spans="1:19" x14ac:dyDescent="0.4">
      <c r="A288" s="1">
        <v>45231</v>
      </c>
      <c r="B288" s="10" t="e">
        <v>#N/A</v>
      </c>
      <c r="C288" s="2">
        <v>4.4279999999999999</v>
      </c>
      <c r="D288">
        <v>3.8</v>
      </c>
      <c r="E288" t="e">
        <v>#N/A</v>
      </c>
      <c r="F288">
        <v>7.5</v>
      </c>
      <c r="G288" s="6">
        <v>1561</v>
      </c>
      <c r="H288" t="e">
        <v>#N/A</v>
      </c>
      <c r="I288" s="3">
        <v>9.3873210251331329E-2</v>
      </c>
      <c r="L288">
        <v>96.1</v>
      </c>
      <c r="M288">
        <v>96.7</v>
      </c>
      <c r="N288" t="e">
        <v>#N/A</v>
      </c>
      <c r="O288" t="e">
        <v>#N/A</v>
      </c>
      <c r="P288">
        <v>157.9</v>
      </c>
      <c r="Q288" s="1" t="s">
        <v>48</v>
      </c>
      <c r="S288" t="str">
        <f t="shared" si="4"/>
        <v/>
      </c>
    </row>
    <row r="289" spans="1:19" x14ac:dyDescent="0.4">
      <c r="A289" s="1">
        <v>45261</v>
      </c>
      <c r="B289" s="10" t="e">
        <v>#N/A</v>
      </c>
      <c r="C289" s="2">
        <v>3.8210000000000002</v>
      </c>
      <c r="D289">
        <v>3.5</v>
      </c>
      <c r="E289" t="e">
        <v>#N/A</v>
      </c>
      <c r="F289">
        <v>7.1</v>
      </c>
      <c r="G289" s="6">
        <v>1561</v>
      </c>
      <c r="H289" t="e">
        <v>#N/A</v>
      </c>
      <c r="I289" s="3">
        <v>0.25746652483940125</v>
      </c>
      <c r="L289">
        <v>98.2</v>
      </c>
      <c r="M289">
        <v>96</v>
      </c>
      <c r="N289" t="e">
        <v>#N/A</v>
      </c>
      <c r="O289" t="e">
        <v>#N/A</v>
      </c>
      <c r="P289">
        <v>154.30000000000001</v>
      </c>
      <c r="Q289" s="1" t="e">
        <v>#N/A</v>
      </c>
      <c r="S289" t="str">
        <f t="shared" si="4"/>
        <v/>
      </c>
    </row>
    <row r="290" spans="1:19" x14ac:dyDescent="0.4">
      <c r="A290" s="1">
        <v>45292</v>
      </c>
      <c r="B290" s="10">
        <v>256745</v>
      </c>
      <c r="C290" s="2">
        <v>3.8109999999999999</v>
      </c>
      <c r="D290">
        <v>3.4</v>
      </c>
      <c r="E290">
        <v>131.19999999999999</v>
      </c>
      <c r="F290">
        <v>7.1</v>
      </c>
      <c r="G290" s="6">
        <v>1497</v>
      </c>
      <c r="H290">
        <v>55.1</v>
      </c>
      <c r="I290" s="3">
        <v>0.11900287866592407</v>
      </c>
      <c r="L290">
        <v>94.9</v>
      </c>
      <c r="M290">
        <v>96.2</v>
      </c>
      <c r="N290">
        <v>111</v>
      </c>
      <c r="O290">
        <v>197319.7</v>
      </c>
      <c r="P290">
        <v>156.30000000000001</v>
      </c>
      <c r="Q290" s="1" t="e">
        <v>#N/A</v>
      </c>
      <c r="S290" t="str">
        <f t="shared" si="4"/>
        <v>2024-Q1</v>
      </c>
    </row>
    <row r="291" spans="1:19" x14ac:dyDescent="0.4">
      <c r="A291" s="1">
        <v>45323</v>
      </c>
      <c r="B291" s="10" t="e">
        <v>#N/A</v>
      </c>
      <c r="C291" s="2">
        <v>3.8719999999999999</v>
      </c>
      <c r="D291">
        <v>2.8</v>
      </c>
      <c r="E291" t="e">
        <v>#N/A</v>
      </c>
      <c r="F291">
        <v>7.3</v>
      </c>
      <c r="G291" s="6">
        <v>1497</v>
      </c>
      <c r="H291" t="e">
        <v>#N/A</v>
      </c>
      <c r="I291" s="3">
        <v>0.22246940433979034</v>
      </c>
      <c r="L291">
        <v>95.9</v>
      </c>
      <c r="M291">
        <v>96.5</v>
      </c>
      <c r="N291" t="e">
        <v>#N/A</v>
      </c>
      <c r="O291" t="e">
        <v>#N/A</v>
      </c>
      <c r="P291">
        <v>155.4</v>
      </c>
      <c r="Q291" s="1" t="e">
        <v>#N/A</v>
      </c>
      <c r="S291" t="str">
        <f t="shared" si="4"/>
        <v/>
      </c>
    </row>
    <row r="292" spans="1:19" x14ac:dyDescent="0.4">
      <c r="A292" s="1">
        <v>45352</v>
      </c>
      <c r="B292" s="10" t="e">
        <v>#N/A</v>
      </c>
      <c r="C292" s="2">
        <v>3.6960000000000002</v>
      </c>
      <c r="D292">
        <v>2.4</v>
      </c>
      <c r="E292" t="e">
        <v>#N/A</v>
      </c>
      <c r="F292">
        <v>6.9</v>
      </c>
      <c r="G292" s="6">
        <v>1497</v>
      </c>
      <c r="H292" t="e">
        <v>#N/A</v>
      </c>
      <c r="I292" s="3">
        <v>0.25202852487564087</v>
      </c>
      <c r="L292">
        <v>95.2</v>
      </c>
      <c r="M292">
        <v>96.5</v>
      </c>
      <c r="N292" t="e">
        <v>#N/A</v>
      </c>
      <c r="O292" t="e">
        <v>#N/A</v>
      </c>
      <c r="P292">
        <v>152.80000000000001</v>
      </c>
      <c r="Q292" s="1" t="e">
        <v>#N/A</v>
      </c>
      <c r="S292" t="str">
        <f t="shared" si="4"/>
        <v/>
      </c>
    </row>
    <row r="293" spans="1:19" x14ac:dyDescent="0.4">
      <c r="A293" s="1">
        <v>45383</v>
      </c>
      <c r="B293" s="10">
        <v>268813</v>
      </c>
      <c r="C293" s="2">
        <v>3.8559999999999999</v>
      </c>
      <c r="D293">
        <v>2.2999999999999998</v>
      </c>
      <c r="E293">
        <v>133</v>
      </c>
      <c r="F293">
        <v>6.8</v>
      </c>
      <c r="G293" s="6">
        <v>1407</v>
      </c>
      <c r="H293">
        <v>51.8</v>
      </c>
      <c r="I293" s="3">
        <v>0.18986140191555023</v>
      </c>
      <c r="L293">
        <v>94.3</v>
      </c>
      <c r="M293">
        <v>96.1</v>
      </c>
      <c r="N293">
        <v>110.7</v>
      </c>
      <c r="O293">
        <v>218739.5</v>
      </c>
      <c r="P293">
        <v>148.9</v>
      </c>
      <c r="Q293" s="1" t="e">
        <v>#N/A</v>
      </c>
      <c r="S293" t="str">
        <f t="shared" si="4"/>
        <v>2024-Q2</v>
      </c>
    </row>
    <row r="294" spans="1:19" x14ac:dyDescent="0.4">
      <c r="A294" s="1">
        <v>45413</v>
      </c>
      <c r="B294" s="10" t="e">
        <v>#N/A</v>
      </c>
      <c r="C294" s="2">
        <v>3.8439999999999999</v>
      </c>
      <c r="D294">
        <v>2.1</v>
      </c>
      <c r="E294" t="e">
        <v>#N/A</v>
      </c>
      <c r="F294">
        <v>6.5</v>
      </c>
      <c r="G294" s="6">
        <v>1407</v>
      </c>
      <c r="H294" t="e">
        <v>#N/A</v>
      </c>
      <c r="I294" s="3">
        <v>0.14680695533752441</v>
      </c>
      <c r="L294">
        <v>94.4</v>
      </c>
      <c r="M294">
        <v>96.4</v>
      </c>
      <c r="N294" t="e">
        <v>#N/A</v>
      </c>
      <c r="O294" t="e">
        <v>#N/A</v>
      </c>
      <c r="P294">
        <v>147.6</v>
      </c>
      <c r="Q294" s="1" t="s">
        <v>45</v>
      </c>
      <c r="S294" t="str">
        <f t="shared" si="4"/>
        <v/>
      </c>
    </row>
    <row r="295" spans="1:19" x14ac:dyDescent="0.4">
      <c r="A295" s="1">
        <v>45444</v>
      </c>
      <c r="B295" s="10" t="e">
        <v>#N/A</v>
      </c>
      <c r="C295" s="2">
        <v>3.9420000000000002</v>
      </c>
      <c r="D295">
        <v>2.1</v>
      </c>
      <c r="E295" t="e">
        <v>#N/A</v>
      </c>
      <c r="F295">
        <v>6.7</v>
      </c>
      <c r="G295" s="6">
        <v>1407</v>
      </c>
      <c r="H295" t="e">
        <v>#N/A</v>
      </c>
      <c r="I295" s="3">
        <v>0.33603855967521667</v>
      </c>
      <c r="L295">
        <v>94.5</v>
      </c>
      <c r="M295">
        <v>96</v>
      </c>
      <c r="N295" t="e">
        <v>#N/A</v>
      </c>
      <c r="O295" t="e">
        <v>#N/A</v>
      </c>
      <c r="P295">
        <v>146.6</v>
      </c>
      <c r="Q295" s="1" t="e">
        <v>#N/A</v>
      </c>
      <c r="S295" t="str">
        <f t="shared" si="4"/>
        <v/>
      </c>
    </row>
    <row r="296" spans="1:19" x14ac:dyDescent="0.4">
      <c r="A296" s="1">
        <v>45474</v>
      </c>
      <c r="B296" s="10">
        <v>260913</v>
      </c>
      <c r="C296" s="2">
        <v>3.83</v>
      </c>
      <c r="D296">
        <v>2.2000000000000002</v>
      </c>
      <c r="E296">
        <v>132.69999999999999</v>
      </c>
      <c r="F296">
        <v>6.4</v>
      </c>
      <c r="G296" s="6">
        <v>1318</v>
      </c>
      <c r="H296">
        <v>45.6</v>
      </c>
      <c r="I296" s="3">
        <v>0.14164306223392487</v>
      </c>
      <c r="L296">
        <v>93.4</v>
      </c>
      <c r="M296">
        <v>96.4</v>
      </c>
      <c r="N296">
        <v>110.8</v>
      </c>
      <c r="O296">
        <v>204137.5</v>
      </c>
      <c r="P296">
        <v>151.9</v>
      </c>
      <c r="Q296" s="1" t="s">
        <v>43</v>
      </c>
      <c r="S296" t="str">
        <f t="shared" si="4"/>
        <v>2024-Q3</v>
      </c>
    </row>
    <row r="297" spans="1:19" x14ac:dyDescent="0.4">
      <c r="A297" s="1">
        <v>45505</v>
      </c>
      <c r="B297" s="10" t="e">
        <v>#N/A</v>
      </c>
      <c r="C297" s="2">
        <v>3.6819999999999999</v>
      </c>
      <c r="D297">
        <v>2.1</v>
      </c>
      <c r="E297" t="e">
        <v>#N/A</v>
      </c>
      <c r="F297">
        <v>6.3</v>
      </c>
      <c r="G297" s="6">
        <v>1318</v>
      </c>
      <c r="H297" t="e">
        <v>#N/A</v>
      </c>
      <c r="I297" s="3">
        <v>0.13292822241783142</v>
      </c>
      <c r="L297">
        <v>94.2</v>
      </c>
      <c r="M297">
        <v>96.2</v>
      </c>
      <c r="N297" t="e">
        <v>#N/A</v>
      </c>
      <c r="O297" t="e">
        <v>#N/A</v>
      </c>
      <c r="P297">
        <v>150.9</v>
      </c>
      <c r="Q297" s="1" t="e">
        <v>#N/A</v>
      </c>
      <c r="S297" t="str">
        <f t="shared" si="4"/>
        <v/>
      </c>
    </row>
    <row r="298" spans="1:19" x14ac:dyDescent="0.4">
      <c r="A298" s="1">
        <v>45536</v>
      </c>
      <c r="B298" s="10" t="e">
        <v>#N/A</v>
      </c>
      <c r="C298" s="2">
        <v>3.5649999999999999</v>
      </c>
      <c r="D298">
        <v>1.8</v>
      </c>
      <c r="E298" t="e">
        <v>#N/A</v>
      </c>
      <c r="F298">
        <v>6.1</v>
      </c>
      <c r="G298" s="6">
        <v>1318</v>
      </c>
      <c r="H298" t="e">
        <v>#N/A</v>
      </c>
      <c r="I298" s="3">
        <v>0.12360939383506775</v>
      </c>
      <c r="L298">
        <v>93</v>
      </c>
      <c r="M298">
        <v>97.2</v>
      </c>
      <c r="N298" t="e">
        <v>#N/A</v>
      </c>
      <c r="O298" t="e">
        <v>#N/A</v>
      </c>
      <c r="P298">
        <v>149.30000000000001</v>
      </c>
      <c r="Q298" s="1" t="e">
        <v>#N/A</v>
      </c>
      <c r="S298" t="str">
        <f t="shared" si="4"/>
        <v/>
      </c>
    </row>
    <row r="299" spans="1:19" x14ac:dyDescent="0.4">
      <c r="A299" s="1">
        <v>45566</v>
      </c>
      <c r="B299" s="10">
        <v>322683</v>
      </c>
      <c r="C299" s="2">
        <v>3.5009999999999999</v>
      </c>
      <c r="D299">
        <v>2.1</v>
      </c>
      <c r="E299">
        <v>132.1</v>
      </c>
      <c r="F299">
        <v>6.1</v>
      </c>
      <c r="G299" s="6">
        <v>1316</v>
      </c>
      <c r="H299">
        <v>47.9</v>
      </c>
      <c r="I299" s="3">
        <v>0.26585879921913147</v>
      </c>
      <c r="L299">
        <v>93.5</v>
      </c>
      <c r="M299">
        <v>96.5</v>
      </c>
      <c r="N299">
        <v>111.2</v>
      </c>
      <c r="O299">
        <v>245859.6</v>
      </c>
      <c r="P299">
        <v>148.80000000000001</v>
      </c>
      <c r="Q299" s="1" t="s">
        <v>50</v>
      </c>
      <c r="S299" t="str">
        <f t="shared" si="4"/>
        <v>2024-Q4</v>
      </c>
    </row>
    <row r="300" spans="1:19" x14ac:dyDescent="0.4">
      <c r="A300" s="1">
        <v>45597</v>
      </c>
      <c r="B300" s="10" t="e">
        <v>#N/A</v>
      </c>
      <c r="C300" s="2">
        <v>3.569</v>
      </c>
      <c r="D300">
        <v>2.1</v>
      </c>
      <c r="E300" t="e">
        <v>#N/A</v>
      </c>
      <c r="F300">
        <v>6.2</v>
      </c>
      <c r="G300" s="6">
        <v>1316</v>
      </c>
      <c r="H300" t="e">
        <v>#N/A</v>
      </c>
      <c r="I300" s="3">
        <v>0.25187331438064575</v>
      </c>
      <c r="L300">
        <v>94.2</v>
      </c>
      <c r="M300">
        <v>96</v>
      </c>
      <c r="N300" t="e">
        <v>#N/A</v>
      </c>
      <c r="O300" t="e">
        <v>#N/A</v>
      </c>
      <c r="P300">
        <v>149.30000000000001</v>
      </c>
      <c r="Q300" s="1" t="e">
        <v>#N/A</v>
      </c>
      <c r="S300" t="str">
        <f t="shared" si="4"/>
        <v/>
      </c>
    </row>
    <row r="301" spans="1:19" x14ac:dyDescent="0.4">
      <c r="A301" s="1">
        <v>45627</v>
      </c>
      <c r="B301" s="10" t="e">
        <v>#N/A</v>
      </c>
      <c r="C301" s="2">
        <v>3.3210000000000002</v>
      </c>
      <c r="D301">
        <v>1.9</v>
      </c>
      <c r="E301" t="e">
        <v>#N/A</v>
      </c>
      <c r="F301">
        <v>6.4</v>
      </c>
      <c r="G301" s="6">
        <v>1316</v>
      </c>
      <c r="H301" t="e">
        <v>#N/A</v>
      </c>
      <c r="I301" s="3">
        <v>0.15300090610980988</v>
      </c>
      <c r="L301">
        <v>91.7</v>
      </c>
      <c r="M301">
        <v>96.5</v>
      </c>
      <c r="N301" t="e">
        <v>#N/A</v>
      </c>
      <c r="O301" t="e">
        <v>#N/A</v>
      </c>
      <c r="P301">
        <v>150.1</v>
      </c>
      <c r="Q301" s="1" t="e">
        <v>#N/A</v>
      </c>
      <c r="S301" t="str">
        <f t="shared" si="4"/>
        <v/>
      </c>
    </row>
    <row r="302" spans="1:19" x14ac:dyDescent="0.4">
      <c r="A302" s="1">
        <v>45658</v>
      </c>
      <c r="B302" s="10">
        <v>266657</v>
      </c>
      <c r="C302" s="2">
        <v>3.6760000000000002</v>
      </c>
      <c r="D302">
        <v>1.9</v>
      </c>
      <c r="E302">
        <v>134.6</v>
      </c>
      <c r="F302">
        <v>6.4</v>
      </c>
      <c r="G302" s="6">
        <v>1339</v>
      </c>
      <c r="H302">
        <v>48.3</v>
      </c>
      <c r="I302" s="3">
        <v>0.1380348801612854</v>
      </c>
      <c r="L302">
        <v>94.1</v>
      </c>
      <c r="M302">
        <v>96</v>
      </c>
      <c r="N302">
        <v>112.2</v>
      </c>
      <c r="O302" t="e">
        <v>#N/A</v>
      </c>
      <c r="P302">
        <v>155.19999999999999</v>
      </c>
      <c r="Q302" s="1" t="e">
        <v>#N/A</v>
      </c>
      <c r="S302" t="str">
        <f t="shared" si="4"/>
        <v>2025-Q1</v>
      </c>
    </row>
    <row r="303" spans="1:19" x14ac:dyDescent="0.4">
      <c r="A303" s="1">
        <v>45689</v>
      </c>
      <c r="B303" s="10" t="e">
        <v>#N/A</v>
      </c>
      <c r="C303" s="2">
        <v>3.5750000000000002</v>
      </c>
      <c r="D303">
        <v>1.7</v>
      </c>
      <c r="E303" t="e">
        <v>#N/A</v>
      </c>
      <c r="F303">
        <v>6.1</v>
      </c>
      <c r="G303" s="6">
        <v>1339</v>
      </c>
      <c r="H303" t="e">
        <v>#N/A</v>
      </c>
      <c r="I303" s="3">
        <v>0.1954968273639679</v>
      </c>
      <c r="L303">
        <v>93.4</v>
      </c>
      <c r="M303">
        <v>96</v>
      </c>
      <c r="N303" t="e">
        <v>#N/A</v>
      </c>
      <c r="O303" t="e">
        <v>#N/A</v>
      </c>
      <c r="P303">
        <v>156.4</v>
      </c>
      <c r="Q303" s="1" t="e">
        <v>#N/A</v>
      </c>
      <c r="S303" t="str">
        <f t="shared" si="4"/>
        <v/>
      </c>
    </row>
    <row r="304" spans="1:19" x14ac:dyDescent="0.4">
      <c r="A304" s="1">
        <v>45717</v>
      </c>
      <c r="B304" s="10" t="e">
        <v>#N/A</v>
      </c>
      <c r="C304" s="2">
        <v>3.887</v>
      </c>
      <c r="D304">
        <v>2</v>
      </c>
      <c r="E304" t="e">
        <v>#N/A</v>
      </c>
      <c r="F304">
        <v>6.3</v>
      </c>
      <c r="G304" s="6">
        <v>1339</v>
      </c>
      <c r="H304" t="e">
        <v>#N/A</v>
      </c>
      <c r="I304" s="3">
        <v>0.40341717004776001</v>
      </c>
      <c r="L304">
        <v>93.4</v>
      </c>
      <c r="M304">
        <v>95.7</v>
      </c>
      <c r="N304" t="e">
        <v>#N/A</v>
      </c>
      <c r="O304" t="e">
        <v>#N/A</v>
      </c>
      <c r="P304">
        <v>156.9</v>
      </c>
      <c r="Q304" s="1" t="e">
        <v>#N/A</v>
      </c>
      <c r="S304" t="str">
        <f t="shared" si="4"/>
        <v/>
      </c>
    </row>
    <row r="305" spans="1:19" x14ac:dyDescent="0.4">
      <c r="A305" s="1">
        <v>45748</v>
      </c>
      <c r="B305" s="10">
        <v>275765</v>
      </c>
      <c r="C305" s="2">
        <v>3.7120000000000002</v>
      </c>
      <c r="D305">
        <v>2.4</v>
      </c>
      <c r="E305">
        <v>135.6</v>
      </c>
      <c r="F305">
        <v>6.1</v>
      </c>
      <c r="G305" s="6">
        <v>1339</v>
      </c>
      <c r="H305">
        <v>49.6</v>
      </c>
      <c r="I305" s="3">
        <v>0.40085029602050781</v>
      </c>
      <c r="L305">
        <v>94.2</v>
      </c>
      <c r="M305">
        <v>96.1</v>
      </c>
      <c r="N305">
        <v>112.3</v>
      </c>
      <c r="O305" t="e">
        <v>#N/A</v>
      </c>
      <c r="P305">
        <v>147.80000000000001</v>
      </c>
      <c r="Q305" s="1" t="s">
        <v>43</v>
      </c>
      <c r="S305" t="str">
        <f t="shared" si="4"/>
        <v>2025-Q2</v>
      </c>
    </row>
    <row r="306" spans="1:19" x14ac:dyDescent="0.4">
      <c r="A306" s="1">
        <v>45778</v>
      </c>
      <c r="B306" s="10" t="e">
        <v>#N/A</v>
      </c>
      <c r="C306" s="2">
        <v>3.629</v>
      </c>
      <c r="D306">
        <v>2.2000000000000002</v>
      </c>
      <c r="E306" t="e">
        <v>#N/A</v>
      </c>
      <c r="F306">
        <v>6.5</v>
      </c>
      <c r="G306" s="6">
        <v>1339</v>
      </c>
      <c r="H306" t="e">
        <v>#N/A</v>
      </c>
      <c r="I306" s="3">
        <v>0.36947980523109436</v>
      </c>
      <c r="L306">
        <v>93.5</v>
      </c>
      <c r="M306">
        <v>95.8</v>
      </c>
      <c r="N306" t="e">
        <v>#N/A</v>
      </c>
      <c r="O306" t="e">
        <v>#N/A</v>
      </c>
      <c r="P306">
        <v>144.80000000000001</v>
      </c>
      <c r="Q306" s="1" t="s">
        <v>51</v>
      </c>
      <c r="S306" t="str">
        <f t="shared" si="4"/>
        <v/>
      </c>
    </row>
    <row r="307" spans="1:19" x14ac:dyDescent="0.4">
      <c r="A307" s="1">
        <v>45809</v>
      </c>
      <c r="B307" s="10" t="e">
        <v>#N/A</v>
      </c>
      <c r="C307" s="2">
        <v>3.5009999999999999</v>
      </c>
      <c r="D307">
        <v>2.2999999999999998</v>
      </c>
      <c r="E307" t="e">
        <v>#N/A</v>
      </c>
      <c r="F307">
        <v>6.2</v>
      </c>
      <c r="G307" s="6">
        <v>1339</v>
      </c>
      <c r="H307" t="e">
        <v>#N/A</v>
      </c>
      <c r="I307" s="3">
        <v>0.24314214289188385</v>
      </c>
      <c r="L307">
        <v>93.7</v>
      </c>
      <c r="M307">
        <v>96.1</v>
      </c>
      <c r="N307" t="e">
        <v>#N/A</v>
      </c>
      <c r="O307" t="e">
        <v>#N/A</v>
      </c>
      <c r="P307">
        <v>143.5</v>
      </c>
      <c r="Q307" s="1" t="e">
        <v>#N/A</v>
      </c>
      <c r="S307" t="str">
        <f t="shared" si="4"/>
        <v/>
      </c>
    </row>
    <row r="308" spans="1:19" x14ac:dyDescent="0.4">
      <c r="A308" s="1">
        <v>45839</v>
      </c>
      <c r="B308" s="10">
        <v>270011</v>
      </c>
      <c r="C308" s="2">
        <v>3.5369999999999999</v>
      </c>
      <c r="D308">
        <v>2.4</v>
      </c>
      <c r="E308">
        <v>135.1</v>
      </c>
      <c r="F308">
        <v>6</v>
      </c>
      <c r="G308" s="6">
        <v>1264</v>
      </c>
      <c r="H308">
        <v>51.8</v>
      </c>
      <c r="I308" s="3">
        <v>0.2452213317155838</v>
      </c>
      <c r="L308">
        <v>94.1</v>
      </c>
      <c r="M308">
        <v>95.8</v>
      </c>
      <c r="N308">
        <v>113.1</v>
      </c>
      <c r="O308" t="e">
        <v>#N/A</v>
      </c>
      <c r="P308">
        <v>146.6</v>
      </c>
      <c r="Q308" s="1" t="e">
        <v>#N/A</v>
      </c>
      <c r="S308" t="str">
        <f t="shared" si="4"/>
        <v>2025-Q3</v>
      </c>
    </row>
    <row r="309" spans="1:19" x14ac:dyDescent="0.4">
      <c r="A309" s="1">
        <v>45870</v>
      </c>
      <c r="B309" s="10" t="e">
        <v>#N/A</v>
      </c>
      <c r="C309" s="2">
        <v>3.5379999999999998</v>
      </c>
      <c r="D309">
        <v>2.5</v>
      </c>
      <c r="E309" t="e">
        <v>#N/A</v>
      </c>
      <c r="F309">
        <v>5.9</v>
      </c>
      <c r="G309" s="6">
        <v>1264</v>
      </c>
      <c r="H309" t="e">
        <v>#N/A</v>
      </c>
      <c r="I309" s="3">
        <v>0.3436180055141449</v>
      </c>
      <c r="L309">
        <v>91.6</v>
      </c>
      <c r="M309">
        <v>95.7</v>
      </c>
      <c r="N309" t="e">
        <v>#N/A</v>
      </c>
      <c r="O309" t="e">
        <v>#N/A</v>
      </c>
      <c r="P309">
        <v>143.69999999999999</v>
      </c>
      <c r="Q309" s="1" t="e">
        <v>#N/A</v>
      </c>
      <c r="S309" t="str">
        <f t="shared" si="4"/>
        <v/>
      </c>
    </row>
    <row r="310" spans="1:19" x14ac:dyDescent="0.4">
      <c r="A310" s="1">
        <v>45901</v>
      </c>
      <c r="B310" s="10" t="e">
        <v>#N/A</v>
      </c>
      <c r="C310" s="2">
        <v>3.5590000000000002</v>
      </c>
      <c r="D310">
        <v>2.4</v>
      </c>
      <c r="E310" t="e">
        <v>#N/A</v>
      </c>
      <c r="F310">
        <v>6</v>
      </c>
      <c r="G310" s="6">
        <v>1264</v>
      </c>
      <c r="H310" t="e">
        <v>#N/A</v>
      </c>
      <c r="I310" s="3">
        <v>0.28471776843070984</v>
      </c>
      <c r="L310">
        <v>94.2</v>
      </c>
      <c r="M310">
        <v>95.2</v>
      </c>
      <c r="N310" t="e">
        <v>#N/A</v>
      </c>
      <c r="O310" t="e">
        <v>#N/A</v>
      </c>
      <c r="P310">
        <v>143.69999999999999</v>
      </c>
      <c r="Q310" s="1" t="s">
        <v>43</v>
      </c>
      <c r="S310" t="str">
        <f t="shared" si="4"/>
        <v/>
      </c>
    </row>
    <row r="311" spans="1:19" x14ac:dyDescent="0.4">
      <c r="A311" s="1">
        <v>45931</v>
      </c>
      <c r="B311" s="10" t="e">
        <v>#N/A</v>
      </c>
      <c r="C311" s="2">
        <v>3.4420000000000002</v>
      </c>
      <c r="D311">
        <v>2.1</v>
      </c>
      <c r="E311" t="e">
        <v>#N/A</v>
      </c>
      <c r="F311">
        <v>5.8</v>
      </c>
      <c r="G311" s="6" t="e">
        <v>#N/A</v>
      </c>
      <c r="H311" t="e">
        <v>#N/A</v>
      </c>
      <c r="I311" s="3">
        <v>0.17453178763389587</v>
      </c>
      <c r="L311" t="e">
        <v>#N/A</v>
      </c>
      <c r="M311" t="e">
        <v>#N/A</v>
      </c>
      <c r="N311" t="e">
        <v>#N/A</v>
      </c>
      <c r="O311" t="e">
        <v>#N/A</v>
      </c>
      <c r="P311">
        <v>142.19999999999999</v>
      </c>
      <c r="Q311" s="1" t="s">
        <v>52</v>
      </c>
      <c r="S311" t="str">
        <f t="shared" si="4"/>
        <v>2025-Q4</v>
      </c>
    </row>
    <row r="312" spans="1:19" x14ac:dyDescent="0.4">
      <c r="A312" s="1">
        <v>45962</v>
      </c>
      <c r="B312" s="10" t="e">
        <v>#N/A</v>
      </c>
      <c r="C312" s="2">
        <v>3.4590000000000001</v>
      </c>
      <c r="D312">
        <v>1.8</v>
      </c>
      <c r="E312" t="e">
        <v>#N/A</v>
      </c>
      <c r="F312">
        <v>5.6</v>
      </c>
      <c r="G312" s="6" t="e">
        <v>#N/A</v>
      </c>
      <c r="H312" t="e">
        <v>#N/A</v>
      </c>
      <c r="I312" s="3">
        <v>0.10712035000324249</v>
      </c>
      <c r="L312" t="e">
        <v>#N/A</v>
      </c>
      <c r="M312" t="e">
        <v>#N/A</v>
      </c>
      <c r="N312" t="e">
        <v>#N/A</v>
      </c>
      <c r="O312" t="e">
        <v>#N/A</v>
      </c>
      <c r="P312">
        <v>143.1</v>
      </c>
      <c r="Q312" s="1" t="s">
        <v>42</v>
      </c>
      <c r="S312" t="str">
        <f t="shared" si="4"/>
        <v/>
      </c>
    </row>
    <row r="313" spans="1:19" x14ac:dyDescent="0.4">
      <c r="A313" s="1">
        <v>45992</v>
      </c>
      <c r="B313" s="10" t="e">
        <v>#N/A</v>
      </c>
      <c r="C313" s="2">
        <v>3.552</v>
      </c>
      <c r="D313">
        <v>1.9</v>
      </c>
      <c r="E313" t="e">
        <v>#N/A</v>
      </c>
      <c r="F313">
        <v>5.6</v>
      </c>
      <c r="G313" s="6" t="e">
        <v>#N/A</v>
      </c>
      <c r="H313" t="e">
        <v>#N/A</v>
      </c>
      <c r="I313" s="3">
        <v>0.15972121059894562</v>
      </c>
      <c r="L313" t="e">
        <v>#N/A</v>
      </c>
      <c r="M313" t="e">
        <v>#N/A</v>
      </c>
      <c r="N313" t="e">
        <v>#N/A</v>
      </c>
      <c r="O313" t="e">
        <v>#N/A</v>
      </c>
      <c r="P313">
        <v>143.30000000000001</v>
      </c>
      <c r="Q313" s="1" t="e">
        <v>#N/A</v>
      </c>
      <c r="S313" t="str">
        <f t="shared" si="4"/>
        <v/>
      </c>
    </row>
    <row r="314" spans="1:19" x14ac:dyDescent="0.4">
      <c r="G314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2026-02-09T21:41:51Z</dcterms:created>
  <dcterms:modified xsi:type="dcterms:W3CDTF">2026-02-23T22:16:49Z</dcterms:modified>
</cp:coreProperties>
</file>