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"/>
    </mc:Choice>
  </mc:AlternateContent>
  <xr:revisionPtr revIDLastSave="80" documentId="13_ncr:1_{0AB8B5DF-4B70-FF44-87AC-3A0CC2161F4F}" xr6:coauthVersionLast="47" xr6:coauthVersionMax="47" xr10:uidLastSave="{3C52CEDF-CB12-4010-860D-911E81365CFE}"/>
  <bookViews>
    <workbookView xWindow="22965" yWindow="-16320" windowWidth="29040" windowHeight="15720" activeTab="1" xr2:uid="{00000000-000D-0000-FFFF-FFFF00000000}"/>
  </bookViews>
  <sheets>
    <sheet name="Synthèse (2)" sheetId="4" r:id="rId1"/>
    <sheet name="Synthèse" sheetId="3" r:id="rId2"/>
    <sheet name="Feuil1" sheetId="1" r:id="rId3"/>
    <sheet name="Données" sheetId="2" r:id="rId4"/>
  </sheets>
  <definedNames>
    <definedName name="_xlnm._FilterDatabase" localSheetId="2" hidden="1">Feuil1!$A$1:$F$1</definedName>
    <definedName name="_xlnm._FilterDatabase" localSheetId="1" hidden="1">Synthèse!$A$1:$G$198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8" i="3" l="1"/>
  <c r="G197" i="3"/>
  <c r="G196" i="3"/>
  <c r="G195" i="3"/>
  <c r="G194" i="3"/>
  <c r="G193" i="3"/>
  <c r="G192" i="3"/>
  <c r="G191" i="3"/>
  <c r="G190" i="3"/>
  <c r="G189" i="3"/>
  <c r="G188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198" i="3"/>
  <c r="F197" i="3"/>
  <c r="F196" i="3"/>
  <c r="F195" i="3"/>
  <c r="F194" i="3"/>
  <c r="F193" i="3"/>
  <c r="F192" i="3"/>
  <c r="F191" i="3"/>
  <c r="F190" i="3"/>
  <c r="F189" i="3"/>
  <c r="F188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1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7" i="3"/>
  <c r="E18" i="3"/>
  <c r="E19" i="3"/>
  <c r="E20" i="3"/>
  <c r="E21" i="3"/>
  <c r="E22" i="3"/>
  <c r="E23" i="3"/>
  <c r="E24" i="3"/>
  <c r="E25" i="3"/>
  <c r="E28" i="3"/>
  <c r="E29" i="3"/>
  <c r="E27" i="3"/>
  <c r="E30" i="3"/>
  <c r="E31" i="3"/>
  <c r="E32" i="3"/>
  <c r="E26" i="3"/>
  <c r="E33" i="3"/>
  <c r="E34" i="3"/>
  <c r="E35" i="3"/>
  <c r="E36" i="3"/>
  <c r="E39" i="3"/>
  <c r="E38" i="3"/>
  <c r="E40" i="3"/>
  <c r="E41" i="3"/>
  <c r="E42" i="3"/>
  <c r="E43" i="3"/>
  <c r="E44" i="3"/>
  <c r="E45" i="3"/>
  <c r="E46" i="3"/>
  <c r="E37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6" i="3"/>
  <c r="E77" i="3"/>
  <c r="E78" i="3"/>
  <c r="E79" i="3"/>
  <c r="E75" i="3"/>
  <c r="E80" i="3"/>
  <c r="E81" i="3"/>
  <c r="E82" i="3"/>
  <c r="E83" i="3"/>
  <c r="E84" i="3"/>
  <c r="E86" i="3"/>
  <c r="E87" i="3"/>
  <c r="E88" i="3"/>
  <c r="E85" i="3"/>
  <c r="E89" i="3"/>
  <c r="E90" i="3"/>
  <c r="E91" i="3"/>
  <c r="E92" i="3"/>
  <c r="E93" i="3"/>
  <c r="E94" i="3"/>
  <c r="E95" i="3"/>
  <c r="E96" i="3"/>
  <c r="E97" i="3"/>
  <c r="E99" i="3"/>
  <c r="E100" i="3"/>
  <c r="E101" i="3"/>
  <c r="E98" i="3"/>
  <c r="F97" i="3" s="1"/>
  <c r="E102" i="3"/>
  <c r="E103" i="3"/>
  <c r="E104" i="3"/>
  <c r="E105" i="3"/>
  <c r="E106" i="3"/>
  <c r="E107" i="3"/>
  <c r="E108" i="3"/>
  <c r="E109" i="3"/>
  <c r="E110" i="3"/>
  <c r="E113" i="3"/>
  <c r="E111" i="3"/>
  <c r="F110" i="3" s="1"/>
  <c r="E114" i="3"/>
  <c r="E115" i="3"/>
  <c r="E116" i="3"/>
  <c r="E112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7" i="3"/>
  <c r="E138" i="3"/>
  <c r="E139" i="3"/>
  <c r="E140" i="3"/>
  <c r="E136" i="3"/>
  <c r="E141" i="3"/>
  <c r="E142" i="3"/>
  <c r="E143" i="3"/>
  <c r="E144" i="3"/>
  <c r="E145" i="3"/>
  <c r="E146" i="3"/>
  <c r="E147" i="3"/>
  <c r="E148" i="3"/>
  <c r="E150" i="3"/>
  <c r="E151" i="3"/>
  <c r="E149" i="3"/>
  <c r="E152" i="3"/>
  <c r="E153" i="3"/>
  <c r="E154" i="3"/>
  <c r="E155" i="3"/>
  <c r="E156" i="3"/>
  <c r="E157" i="3"/>
  <c r="E158" i="3"/>
  <c r="E159" i="3"/>
  <c r="E160" i="3"/>
  <c r="E161" i="3"/>
  <c r="E163" i="3"/>
  <c r="E164" i="3"/>
  <c r="E162" i="3"/>
  <c r="E165" i="3"/>
  <c r="E166" i="3"/>
  <c r="E167" i="3"/>
  <c r="E168" i="3"/>
  <c r="E169" i="3"/>
  <c r="E170" i="3"/>
  <c r="E171" i="3"/>
  <c r="E172" i="3"/>
  <c r="E173" i="3"/>
  <c r="E174" i="3"/>
  <c r="E183" i="3"/>
  <c r="E176" i="3"/>
  <c r="E177" i="3"/>
  <c r="E175" i="3"/>
  <c r="E178" i="3"/>
  <c r="E179" i="3"/>
  <c r="E180" i="3"/>
  <c r="E181" i="3"/>
  <c r="E182" i="3"/>
  <c r="E184" i="3"/>
  <c r="E185" i="3"/>
  <c r="E186" i="3"/>
  <c r="E187" i="3"/>
  <c r="E193" i="3"/>
  <c r="E195" i="3"/>
  <c r="E196" i="3"/>
  <c r="E198" i="3"/>
  <c r="E189" i="3"/>
  <c r="E192" i="3"/>
  <c r="E190" i="3"/>
  <c r="E197" i="3"/>
  <c r="E194" i="3"/>
  <c r="E191" i="3"/>
  <c r="E188" i="3"/>
  <c r="E2" i="3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11" i="2"/>
  <c r="H3" i="2"/>
  <c r="H4" i="2"/>
  <c r="H5" i="2"/>
  <c r="H6" i="2"/>
  <c r="H7" i="2"/>
  <c r="H8" i="2"/>
  <c r="H10" i="2"/>
  <c r="E10" i="2" s="1"/>
  <c r="H2" i="2"/>
  <c r="G10" i="2"/>
  <c r="G9" i="2"/>
  <c r="E9" i="2" s="1"/>
  <c r="F161" i="3" l="1"/>
  <c r="F135" i="3"/>
  <c r="F174" i="3"/>
  <c r="F187" i="3"/>
  <c r="F148" i="3"/>
  <c r="H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tc={15E19C96-3507-0542-9F28-83E7D67E02DB}</author>
  </authors>
  <commentList>
    <comment ref="E1" authorId="0" shapeId="0" xr:uid="{15E19C96-3507-0542-9F28-83E7D67E02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Valeurs cumulées
Réponse :
    Solde du budget general
(solde d'exécution budgétaire = solde du budget general + solde des comptes speciaux)</t>
      </text>
    </comment>
  </commentList>
</comments>
</file>

<file path=xl/sharedStrings.xml><?xml version="1.0" encoding="utf-8"?>
<sst xmlns="http://schemas.openxmlformats.org/spreadsheetml/2006/main" count="2650" uniqueCount="833">
  <si>
    <t>id</t>
  </si>
  <si>
    <t>type_document</t>
  </si>
  <si>
    <t>type_ressource</t>
  </si>
  <si>
    <t>date_publication</t>
  </si>
  <si>
    <t>titre_document</t>
  </si>
  <si>
    <t>url_fichier</t>
  </si>
  <si>
    <t>121673</t>
  </si>
  <si>
    <t>Bilans et rapports</t>
  </si>
  <si>
    <t>Document</t>
  </si>
  <si>
    <t>2025-02-12</t>
  </si>
  <si>
    <t>Situation mensuelle de l'Etat - Octobre 2025</t>
  </si>
  <si>
    <t>https://www.economie.gouv.fr/files/files/directions_services/dgfip/media-document/sme_2025-10.pdf</t>
  </si>
  <si>
    <t>117078</t>
  </si>
  <si>
    <t>2025-02-07</t>
  </si>
  <si>
    <t>Situation mensuelle de l'Etat - Mai 2025</t>
  </si>
  <si>
    <t>https://www.economie.gouv.fr/files/files/directions_services/dgfip/media-document/sme_2025-05.pdf</t>
  </si>
  <si>
    <t>116470</t>
  </si>
  <si>
    <t>2025-03-06</t>
  </si>
  <si>
    <t>Situation mensuelle de l'état - Avril 2025</t>
  </si>
  <si>
    <t>https://www.economie.gouv.fr/files/files/directions_services/dgfip/media-document/sme_2025-04.pdf</t>
  </si>
  <si>
    <t>34421</t>
  </si>
  <si>
    <t>2021-08-20</t>
  </si>
  <si>
    <t>Situation mensuelle de l'état - Juillet 2021</t>
  </si>
  <si>
    <t>https://www.economie.gouv.fr/files/files/directions_services/dgfip/media-document/SME_2021_07.pdf</t>
  </si>
  <si>
    <t>34637</t>
  </si>
  <si>
    <t>2015-04-28</t>
  </si>
  <si>
    <t>Situation mensuelle de l'état - Mars 2015</t>
  </si>
  <si>
    <t>https://www.economie.gouv.fr/files/files/directions_services/dgfip/media-document/SME_2015_03.pdf</t>
  </si>
  <si>
    <t>34670</t>
  </si>
  <si>
    <t>2014-02-21</t>
  </si>
  <si>
    <t>Situation mensuelle de l'état - Janvier 2014</t>
  </si>
  <si>
    <t>https://www.economie.gouv.fr/files/files/directions_services/dgfip/media-document/SME_2014_01.pdf</t>
  </si>
  <si>
    <t>34856</t>
  </si>
  <si>
    <t>2010-12-15</t>
  </si>
  <si>
    <t>Situation mensuelle de l'état - Novembre 2010</t>
  </si>
  <si>
    <t>https://www.economie.gouv.fr/files/files/directions_services/dgfip/media-document/SME_2010_11.pdf</t>
  </si>
  <si>
    <t>34388</t>
  </si>
  <si>
    <t>2022-06-21</t>
  </si>
  <si>
    <t>Situation mensuelle de l'état - Mai 2022</t>
  </si>
  <si>
    <t>https://www.economie.gouv.fr/files/files/directions_services/dgfip/media-document/SME_2022_05.pdf</t>
  </si>
  <si>
    <t>34448</t>
  </si>
  <si>
    <t>2020-12-21</t>
  </si>
  <si>
    <t>Situation mensuelle de l'état - Novembre 2020</t>
  </si>
  <si>
    <t>https://www.economie.gouv.fr/files/files/directions_services/dgfip/media-document/SME_2020_11.pdf</t>
  </si>
  <si>
    <t>34475</t>
  </si>
  <si>
    <t>2020-03-20</t>
  </si>
  <si>
    <t>Situation mensuelle de l'état - Février 2020</t>
  </si>
  <si>
    <t>https://www.economie.gouv.fr/files/files/directions_services/dgfip/media-document/SME_2020_02.pdf</t>
  </si>
  <si>
    <t>34547</t>
  </si>
  <si>
    <t>2018-04-24</t>
  </si>
  <si>
    <t>Situation mensuelle de l'état - Mars 2018</t>
  </si>
  <si>
    <t>https://www.economie.gouv.fr/files/files/directions_services/dgfip/media-document/SME_2018_03.pdf</t>
  </si>
  <si>
    <t>34583</t>
  </si>
  <si>
    <t>2017-05-19</t>
  </si>
  <si>
    <t>Situation mensuelle de l'état - Avril 2017</t>
  </si>
  <si>
    <t>https://www.economie.gouv.fr/files/files/directions_services/dgfip/media-document/SME_2017_04.pdf</t>
  </si>
  <si>
    <t>34781</t>
  </si>
  <si>
    <t>2013-11-02</t>
  </si>
  <si>
    <t>Situation mensuelle de l'état - Décembre (provisoire) 2012</t>
  </si>
  <si>
    <t>https://www.economie.gouv.fr/files/files/directions_services/dgfip/media-document/SME_2012_12.pdf</t>
  </si>
  <si>
    <t>34829</t>
  </si>
  <si>
    <t>2010-03-18</t>
  </si>
  <si>
    <t>Situation mensuelle de l'état - Février 2010</t>
  </si>
  <si>
    <t>https://www.economie.gouv.fr/files/files/directions_services/dgfip/media-document/SME_2010_02.pdf</t>
  </si>
  <si>
    <t>34364</t>
  </si>
  <si>
    <t>2023-03-30</t>
  </si>
  <si>
    <t>Situation mensuelle de l'état - Décembre 2022</t>
  </si>
  <si>
    <t>https://www.economie.gouv.fr/files/files/directions_services/dgfip/media-document/SME_2022_12_definitive.pdf</t>
  </si>
  <si>
    <t>34370</t>
  </si>
  <si>
    <t>2022-12-20</t>
  </si>
  <si>
    <t>Situation mensuelle de l'état - Novembre 2022</t>
  </si>
  <si>
    <t>https://www.economie.gouv.fr/files/files/directions_services/dgfip/media-document/SME_2022_11.pdf</t>
  </si>
  <si>
    <t>34406</t>
  </si>
  <si>
    <t>2022-01-28</t>
  </si>
  <si>
    <t>Situation mensuelle de l'état - Décembre (provisoire) 2021</t>
  </si>
  <si>
    <t>https://www.economie.gouv.fr/files/files/directions_services/dgfip/media-document/SME_2021_12_provisoire.pdf</t>
  </si>
  <si>
    <t>34439</t>
  </si>
  <si>
    <t>2021-02-19</t>
  </si>
  <si>
    <t>Situation mensuelle de l'état - Janvier 2021</t>
  </si>
  <si>
    <t>https://www.economie.gouv.fr/files/files/directions_services/dgfip/media-document/SME_2021_01.pdf</t>
  </si>
  <si>
    <t>34577</t>
  </si>
  <si>
    <t>2017-07-21</t>
  </si>
  <si>
    <t>Situation mensuelle de l'état - Juin 2017</t>
  </si>
  <si>
    <t>https://www.economie.gouv.fr/files/files/directions_services/dgfip/media-document/SME_2017_06.pdf</t>
  </si>
  <si>
    <t>34727</t>
  </si>
  <si>
    <t>2013-08-21</t>
  </si>
  <si>
    <t>Situation mensuelle de l'état - Juillet 2013</t>
  </si>
  <si>
    <t>https://www.economie.gouv.fr/files/files/directions_services/dgfip/media-document/SME_2013_07.pdf</t>
  </si>
  <si>
    <t>34712</t>
  </si>
  <si>
    <t>2013-02-04</t>
  </si>
  <si>
    <t>Situation mensuelle de l'état - Février 2013</t>
  </si>
  <si>
    <t>https://www.economie.gouv.fr/files/files/directions_services/dgfip/media-document/SME_2013_02.pdf</t>
  </si>
  <si>
    <t>34814</t>
  </si>
  <si>
    <t>2011-12-12</t>
  </si>
  <si>
    <t>Situation mensuelle de l'état - Octobre 2011</t>
  </si>
  <si>
    <t>https://www.economie.gouv.fr/files/files/directions_services/dgfip/media-document/SME_2011_10.pdf</t>
  </si>
  <si>
    <t>34352</t>
  </si>
  <si>
    <t>2023-05-22</t>
  </si>
  <si>
    <t>Situation mensuelle de l'état - Avril 2023</t>
  </si>
  <si>
    <t>https://www.economie.gouv.fr/files/files/directions_services/dgfip/media-document/SME_2023_04.pdf</t>
  </si>
  <si>
    <t>34409</t>
  </si>
  <si>
    <t>2021-12-20</t>
  </si>
  <si>
    <t>Situation mensuelle de l'état - Novembre 2021</t>
  </si>
  <si>
    <t>https://www.economie.gouv.fr/files/files/directions_services/dgfip/media-document/SME_2021_11.pdf</t>
  </si>
  <si>
    <t>34442</t>
  </si>
  <si>
    <t>2021-06-04</t>
  </si>
  <si>
    <t>Situation mensuelle de l'état - Décembre 2020</t>
  </si>
  <si>
    <t>https://www.economie.gouv.fr/files/files/directions_services/dgfip/media-document/SME_2020_12_definitive.pdf</t>
  </si>
  <si>
    <t>34493</t>
  </si>
  <si>
    <t>2019-09-17</t>
  </si>
  <si>
    <t>Situation mensuelle de l'état - Août 2019</t>
  </si>
  <si>
    <t>https://www.economie.gouv.fr/files/files/directions_services/dgfip/media-document/SME_2019_08.pdf</t>
  </si>
  <si>
    <t>34541</t>
  </si>
  <si>
    <t>2018-06-22</t>
  </si>
  <si>
    <t>Situation mensuelle de l'état - Mai 2018</t>
  </si>
  <si>
    <t>https://www.economie.gouv.fr/files/files/directions_services/dgfip/media-document/SME_2018_05.pdf</t>
  </si>
  <si>
    <t>34766</t>
  </si>
  <si>
    <t>2012-08-17</t>
  </si>
  <si>
    <t>Situation mensuelle de l'état - Juillet 2012</t>
  </si>
  <si>
    <t>https://www.economie.gouv.fr/files/files/directions_services/dgfip/media-document/SME_2012_07.pdf</t>
  </si>
  <si>
    <t>34805</t>
  </si>
  <si>
    <t>2011-08-17</t>
  </si>
  <si>
    <t>Situation mensuelle de l'état - Juillet 2011</t>
  </si>
  <si>
    <t>https://www.economie.gouv.fr/files/files/directions_services/dgfip/media-document/SME_2011_07.pdf</t>
  </si>
  <si>
    <t>34802</t>
  </si>
  <si>
    <t>2011-07-20</t>
  </si>
  <si>
    <t>Situation mensuelle de l'état - Juin 2011</t>
  </si>
  <si>
    <t>https://www.economie.gouv.fr/files/files/directions_services/dgfip/media-document/SME_2011_06.pdf</t>
  </si>
  <si>
    <t>34799</t>
  </si>
  <si>
    <t>2011-06-17</t>
  </si>
  <si>
    <t>Situation mensuelle de l'état - Mai 2011</t>
  </si>
  <si>
    <t>https://www.economie.gouv.fr/files/files/directions_services/dgfip/media-document/SME_2011_05.pdf</t>
  </si>
  <si>
    <t>34859</t>
  </si>
  <si>
    <t>2011-01-21</t>
  </si>
  <si>
    <t>Situation mensuelle de l'état - Décembre 2010</t>
  </si>
  <si>
    <t>https://www.economie.gouv.fr/files/files/directions_services/dgfip/media-document/SME_2010_12.pdf</t>
  </si>
  <si>
    <t>34355</t>
  </si>
  <si>
    <t>2023-04-21</t>
  </si>
  <si>
    <t>Situation mensuelle de l'état - Mars 2023</t>
  </si>
  <si>
    <t>https://www.economie.gouv.fr/files/files/directions_services/dgfip/media-document/SME_2023_03.pdf</t>
  </si>
  <si>
    <t>34367</t>
  </si>
  <si>
    <t>2023-01-31</t>
  </si>
  <si>
    <t>Situation mensuelle de l'état - Décembre (provisoire) 2022</t>
  </si>
  <si>
    <t>https://www.economie.gouv.fr/files/files/directions_services/dgfip/media-document/SME_2022_12_provisoire.pdf</t>
  </si>
  <si>
    <t>34484</t>
  </si>
  <si>
    <t>2019-12-23</t>
  </si>
  <si>
    <t>Situation mensuelle de l'état - Novembre 2019</t>
  </si>
  <si>
    <t>https://www.economie.gouv.fr/files/files/directions_services/dgfip/media-document/SME_2019_11.pdf</t>
  </si>
  <si>
    <t>34784</t>
  </si>
  <si>
    <t>2013-04-29</t>
  </si>
  <si>
    <t>Situation mensuelle de l'état - Décembre 2012</t>
  </si>
  <si>
    <t>https://www.economie.gouv.fr/files/files/directions_services/dgfip/media-document/SME_2012_12_definitive.pdf</t>
  </si>
  <si>
    <t>34760</t>
  </si>
  <si>
    <t>2012-06-21</t>
  </si>
  <si>
    <t>Situation mensuelle de l'état - Mai 2012</t>
  </si>
  <si>
    <t>https://www.economie.gouv.fr/files/files/directions_services/dgfip/media-document/SME_2012_05.pdf</t>
  </si>
  <si>
    <t>34751</t>
  </si>
  <si>
    <t>2012-06-04</t>
  </si>
  <si>
    <t>Situation mensuelle de l'état - Février 2012</t>
  </si>
  <si>
    <t>https://www.economie.gouv.fr/files/files/directions_services/dgfip/media-document/SME_2012_02.pdf</t>
  </si>
  <si>
    <t>34286</t>
  </si>
  <si>
    <t>2025-02-21</t>
  </si>
  <si>
    <t>Situation mensuelle de l'état - Janvier 2025</t>
  </si>
  <si>
    <t>https://www.economie.gouv.fr/files/files/directions_services/dgfip/media-document/SME_2025_01.pdf</t>
  </si>
  <si>
    <t>34382</t>
  </si>
  <si>
    <t>2022-08-22</t>
  </si>
  <si>
    <t>Situation mensuelle de l'état - Juillet 2022</t>
  </si>
  <si>
    <t>https://www.economie.gouv.fr/files/files/directions_services/dgfip/media-document/SME_2022_07.pdf</t>
  </si>
  <si>
    <t>34526</t>
  </si>
  <si>
    <t>2018-11-21</t>
  </si>
  <si>
    <t>Situation mensuelle de l'état - Octobre 2018</t>
  </si>
  <si>
    <t>https://www.economie.gouv.fr/files/files/directions_services/dgfip/media-document/SME_2018_10.pdf</t>
  </si>
  <si>
    <t>34652</t>
  </si>
  <si>
    <t>2015-09-18</t>
  </si>
  <si>
    <t>Situation mensuelle de l'état - Août 2015</t>
  </si>
  <si>
    <t>https://www.economie.gouv.fr/files/files/directions_services/dgfip/media-document/SME_2015_08.pdf</t>
  </si>
  <si>
    <t>34676</t>
  </si>
  <si>
    <t>2014-04-24</t>
  </si>
  <si>
    <t>Situation mensuelle de l'état - Mars 2014</t>
  </si>
  <si>
    <t>https://www.economie.gouv.fr/files/files/directions_services/dgfip/media-document/SME_2014_03.pdf</t>
  </si>
  <si>
    <t>34736</t>
  </si>
  <si>
    <t>2013-11-22</t>
  </si>
  <si>
    <t>Situation mensuelle de l'état - Octobre 2013</t>
  </si>
  <si>
    <t>https://www.economie.gouv.fr/files/files/directions_services/dgfip/media-document/SME_2013_10.pdf</t>
  </si>
  <si>
    <t>119714</t>
  </si>
  <si>
    <t>2025-02-09</t>
  </si>
  <si>
    <t>Situation mensuelle de l'Etat - Juillet 2025</t>
  </si>
  <si>
    <t>https://www.economie.gouv.fr/files/files/directions_services/dgfip/media-document/sme_%202025-07.pdf</t>
  </si>
  <si>
    <t>34301</t>
  </si>
  <si>
    <t>2024-02-10</t>
  </si>
  <si>
    <t>Situation mensuelle de l'état - Août 2024</t>
  </si>
  <si>
    <t>https://www.economie.gouv.fr/files/files/directions_services/dgfip/media-document/SME_2024_08.pdf</t>
  </si>
  <si>
    <t>34313</t>
  </si>
  <si>
    <t>2024-05-21</t>
  </si>
  <si>
    <t>Situation mensuelle de l'état - Avril 2024</t>
  </si>
  <si>
    <t>https://www.economie.gouv.fr/files/files/directions_services/dgfip/media-document/SME_2024_04.pdf</t>
  </si>
  <si>
    <t>34316</t>
  </si>
  <si>
    <t>2024-04-19</t>
  </si>
  <si>
    <t>Situation mensuelle de l'état - Mars 2024</t>
  </si>
  <si>
    <t>https://www.economie.gouv.fr/files/files/directions_services/dgfip/media-document/SME_2024_03.pdf</t>
  </si>
  <si>
    <t>34499</t>
  </si>
  <si>
    <t>2019-07-19</t>
  </si>
  <si>
    <t>Situation mensuelle de l'état - Juin 2019</t>
  </si>
  <si>
    <t>https://www.economie.gouv.fr/files/files/directions_services/dgfip/media-document/SME_2019_06.pdf</t>
  </si>
  <si>
    <t>34703</t>
  </si>
  <si>
    <t>2015-01-23</t>
  </si>
  <si>
    <t>Situation mensuelle de l'état - Décembre (provisoire) 2014</t>
  </si>
  <si>
    <t>https://www.economie.gouv.fr/files/files/directions_services/dgfip/media-document/SME_2014_12.pdf</t>
  </si>
  <si>
    <t>34292</t>
  </si>
  <si>
    <t>2024-12-19</t>
  </si>
  <si>
    <t>Situation mensuelle de l'état - Novembre 2024</t>
  </si>
  <si>
    <t>https://www.economie.gouv.fr/files/files/directions_services/dgfip/media-document/SME_2024_11.pdf</t>
  </si>
  <si>
    <t>34295</t>
  </si>
  <si>
    <t>2024-11-21</t>
  </si>
  <si>
    <t>Situation mensuelle de l'état - Octobre 2024</t>
  </si>
  <si>
    <t>https://www.economie.gouv.fr/files/files/directions_services/dgfip/media-document/SME_2024_10.pdf</t>
  </si>
  <si>
    <t>34349</t>
  </si>
  <si>
    <t>2023-06-21</t>
  </si>
  <si>
    <t>Situation mensuelle de l'état - Mai 2023</t>
  </si>
  <si>
    <t>https://www.economie.gouv.fr/files/files/directions_services/dgfip/media-document/SME_2023_05.pdf</t>
  </si>
  <si>
    <t>34535</t>
  </si>
  <si>
    <t>2018-08-17</t>
  </si>
  <si>
    <t>Situation mensuelle de l'état - Juillet 2018</t>
  </si>
  <si>
    <t>https://www.economie.gouv.fr/files/files/directions_services/dgfip/media-document/SME_2018_07.pdf</t>
  </si>
  <si>
    <t>34559</t>
  </si>
  <si>
    <t>2018-01-23</t>
  </si>
  <si>
    <t>Situation mensuelle de l'état - Décembre (provisoire) 2017</t>
  </si>
  <si>
    <t>https://www.economie.gouv.fr/files/files/directions_services/dgfip/media-document/SME_2017_12_provisoire.pdf</t>
  </si>
  <si>
    <t>34646</t>
  </si>
  <si>
    <t>2015-07-24</t>
  </si>
  <si>
    <t>Situation mensuelle de l'état - Juin 2015</t>
  </si>
  <si>
    <t>https://www.economie.gouv.fr/files/files/directions_services/dgfip/media-document/SME_2015_06.pdf</t>
  </si>
  <si>
    <t>34337</t>
  </si>
  <si>
    <t>2023-10-20</t>
  </si>
  <si>
    <t>Situation mensuelle de l'état - Septembre 2023</t>
  </si>
  <si>
    <t>https://www.economie.gouv.fr/files/files/directions_services/dgfip/media-document/SME_2023_09.pdf</t>
  </si>
  <si>
    <t>34418</t>
  </si>
  <si>
    <t>2021-09-21</t>
  </si>
  <si>
    <t>Situation mensuelle de l'état - Août 2021</t>
  </si>
  <si>
    <t>https://www.economie.gouv.fr/files/files/directions_services/dgfip/media-document/SME_2021_08.pdf</t>
  </si>
  <si>
    <t>34520</t>
  </si>
  <si>
    <t>2019-01-21</t>
  </si>
  <si>
    <t>Situation mensuelle de l'état - Décembre (provisoire) 2018</t>
  </si>
  <si>
    <t>https://www.economie.gouv.fr/files/files/directions_services/dgfip/media-document/SME_2018_12.pdf</t>
  </si>
  <si>
    <t>34556</t>
  </si>
  <si>
    <t>Situation mensuelle de l'état - Décembre 2017</t>
  </si>
  <si>
    <t>https://www.economie.gouv.fr/files/files/directions_services/dgfip/media-document/SME_2017_12_definitive.pdf</t>
  </si>
  <si>
    <t>34775</t>
  </si>
  <si>
    <t>2012-11-22</t>
  </si>
  <si>
    <t>Situation mensuelle de l'état - Octobre 2012</t>
  </si>
  <si>
    <t>https://www.economie.gouv.fr/files/files/directions_services/dgfip/media-document/SME_2012_10.pdf</t>
  </si>
  <si>
    <t>34841</t>
  </si>
  <si>
    <t>2010-08-13</t>
  </si>
  <si>
    <t>Situation mensuelle de l'état - Juin 2010</t>
  </si>
  <si>
    <t>https://www.economie.gouv.fr/files/files/directions_services/dgfip/media-document/SME_2010_06.pdf</t>
  </si>
  <si>
    <t>34838</t>
  </si>
  <si>
    <t>2010-06-21</t>
  </si>
  <si>
    <t>Situation mensuelle de l'état - Mai 2010</t>
  </si>
  <si>
    <t>https://www.economie.gouv.fr/files/files/directions_services/dgfip/media-document/SME_2010_05.pdf</t>
  </si>
  <si>
    <t>34304</t>
  </si>
  <si>
    <t>2024-08-21</t>
  </si>
  <si>
    <t>Situation mensuelle de l'état - Juillet 2024</t>
  </si>
  <si>
    <t>https://www.economie.gouv.fr/files/files/directions_services/dgfip/media-document/SME_2024_07.pdf</t>
  </si>
  <si>
    <t>34319</t>
  </si>
  <si>
    <t>2024-03-21</t>
  </si>
  <si>
    <t>Situation mensuelle de l'état - Février 2024</t>
  </si>
  <si>
    <t>https://www.economie.gouv.fr/files/files/directions_services/dgfip/media-document/SME_2024_02.pdf</t>
  </si>
  <si>
    <t>34376</t>
  </si>
  <si>
    <t>2022-10-21</t>
  </si>
  <si>
    <t>Situation mensuelle de l'état - Septembre 2022</t>
  </si>
  <si>
    <t>https://www.economie.gouv.fr/files/files/directions_services/dgfip/media-document/SME_2022_09.pdf</t>
  </si>
  <si>
    <t>34430</t>
  </si>
  <si>
    <t>2021-05-20</t>
  </si>
  <si>
    <t>Situation mensuelle de l'état - Avril 2021</t>
  </si>
  <si>
    <t>https://www.economie.gouv.fr/files/files/directions_services/dgfip/media-document/SME_2021_04.pdf</t>
  </si>
  <si>
    <t>34553</t>
  </si>
  <si>
    <t>2018-02-28</t>
  </si>
  <si>
    <t>Situation mensuelle de l'état - Janvier 2018</t>
  </si>
  <si>
    <t>https://www.economie.gouv.fr/files/files/directions_services/dgfip/media-document/SME_2018_01.pdf</t>
  </si>
  <si>
    <t>34589</t>
  </si>
  <si>
    <t>2017-03-21</t>
  </si>
  <si>
    <t>Situation mensuelle de l'état - Février 2017</t>
  </si>
  <si>
    <t>https://www.economie.gouv.fr/files/files/directions_services/dgfip/media-document/SME_2017_02.pdf</t>
  </si>
  <si>
    <t>34658</t>
  </si>
  <si>
    <t>2015-11-19</t>
  </si>
  <si>
    <t>Situation mensuelle de l'état - Octobre 2015</t>
  </si>
  <si>
    <t>https://www.economie.gouv.fr/files/files/directions_services/dgfip/media-document/SME_2015_10.pdf</t>
  </si>
  <si>
    <t>34631</t>
  </si>
  <si>
    <t>2015-02-20</t>
  </si>
  <si>
    <t>Situation mensuelle de l'état - Janvier 2015</t>
  </si>
  <si>
    <t>https://www.economie.gouv.fr/files/files/directions_services/dgfip/media-document/SME_2015_01.pdf</t>
  </si>
  <si>
    <t>34697</t>
  </si>
  <si>
    <t>2014-11-20</t>
  </si>
  <si>
    <t>Situation mensuelle de l'état - Octobre 2014</t>
  </si>
  <si>
    <t>https://www.economie.gouv.fr/files/files/directions_services/dgfip/media-document/SME_2014_10.pdf</t>
  </si>
  <si>
    <t>34739</t>
  </si>
  <si>
    <t>2013-12-18</t>
  </si>
  <si>
    <t>Situation mensuelle de l'état - Novembre 2013</t>
  </si>
  <si>
    <t>https://www.economie.gouv.fr/files/files/directions_services/dgfip/media-document/SME_2013_11.pdf</t>
  </si>
  <si>
    <t>34796</t>
  </si>
  <si>
    <t>2011-05-17</t>
  </si>
  <si>
    <t>Situation mensuelle de l'état - Avril 2011</t>
  </si>
  <si>
    <t>https://www.economie.gouv.fr/files/files/directions_services/dgfip/media-document/SME_2011_04.pdf</t>
  </si>
  <si>
    <t>34391</t>
  </si>
  <si>
    <t>2022-05-20</t>
  </si>
  <si>
    <t>Situation mensuelle de l'état - Avril 2022</t>
  </si>
  <si>
    <t>https://www.economie.gouv.fr/files/files/directions_services/dgfip/media-document/SME_2022_04.pdf</t>
  </si>
  <si>
    <t>34451</t>
  </si>
  <si>
    <t>2020-11-20</t>
  </si>
  <si>
    <t>Situation mensuelle de l'état - Octobre 2020</t>
  </si>
  <si>
    <t>https://www.economie.gouv.fr/files/files/directions_services/dgfip/media-document/SME_2020_10.pdf</t>
  </si>
  <si>
    <t>34460</t>
  </si>
  <si>
    <t>2020-08-21</t>
  </si>
  <si>
    <t>Situation mensuelle de l'état - Juillet 2020</t>
  </si>
  <si>
    <t>https://www.economie.gouv.fr/files/files/directions_services/dgfip/media-document/SME_2020_07.pdf</t>
  </si>
  <si>
    <t>34538</t>
  </si>
  <si>
    <t>2018-07-23</t>
  </si>
  <si>
    <t>Situation mensuelle de l'état - Juin 2018</t>
  </si>
  <si>
    <t>https://www.economie.gouv.fr/files/files/directions_services/dgfip/media-document/SME_2018_06.pdf</t>
  </si>
  <si>
    <t>34562</t>
  </si>
  <si>
    <t>2017-12-22</t>
  </si>
  <si>
    <t>Situation mensuelle de l'état - Novembre 2017</t>
  </si>
  <si>
    <t>https://www.economie.gouv.fr/files/files/directions_services/dgfip/media-document/SME_2017_11.pdf</t>
  </si>
  <si>
    <t>34604</t>
  </si>
  <si>
    <t>2016-10-21</t>
  </si>
  <si>
    <t>Situation mensuelle de l'état - Septembre 2016</t>
  </si>
  <si>
    <t>https://www.economie.gouv.fr/files/files/directions_services/dgfip/media-document/SME_2016_09.pdf</t>
  </si>
  <si>
    <t>34622</t>
  </si>
  <si>
    <t>2016-04-21</t>
  </si>
  <si>
    <t>Situation mensuelle de l'état - Mars 2016</t>
  </si>
  <si>
    <t>https://www.economie.gouv.fr/files/files/directions_services/dgfip/media-document/SME_2016_03.pdf</t>
  </si>
  <si>
    <t>34643</t>
  </si>
  <si>
    <t>2015-06-22</t>
  </si>
  <si>
    <t>Situation mensuelle de l'état - Mai 2015</t>
  </si>
  <si>
    <t>https://www.economie.gouv.fr/files/files/directions_services/dgfip/media-document/SME_2015_05.pdf</t>
  </si>
  <si>
    <t>34640</t>
  </si>
  <si>
    <t>2015-05-22</t>
  </si>
  <si>
    <t>Situation mensuelle de l'état - Avril 2015</t>
  </si>
  <si>
    <t>https://www.economie.gouv.fr/files/files/directions_services/dgfip/media-document/SME_2015_04.pdf</t>
  </si>
  <si>
    <t>34778</t>
  </si>
  <si>
    <t>2012-12-20</t>
  </si>
  <si>
    <t>Situation mensuelle de l'état - Novembre 2012</t>
  </si>
  <si>
    <t>https://www.economie.gouv.fr/files/files/directions_services/dgfip/media-document/SME_2012_11.pdf</t>
  </si>
  <si>
    <t>34331</t>
  </si>
  <si>
    <t>2023-12-21</t>
  </si>
  <si>
    <t>Situation mensuelle de l'état - Novembre 2023</t>
  </si>
  <si>
    <t>https://www.economie.gouv.fr/files/files/directions_services/dgfip/media-document/SME_2023_11.pdf</t>
  </si>
  <si>
    <t>34343</t>
  </si>
  <si>
    <t>2023-08-21</t>
  </si>
  <si>
    <t>Situation mensuelle de l'état - Juillet 2023</t>
  </si>
  <si>
    <t>https://www.economie.gouv.fr/files/files/directions_services/dgfip/media-document/SME_2023_07.pdf</t>
  </si>
  <si>
    <t>34394</t>
  </si>
  <si>
    <t>2022-04-22</t>
  </si>
  <si>
    <t>Situation mensuelle de l'état - Mars 2022</t>
  </si>
  <si>
    <t>https://www.economie.gouv.fr/files/files/directions_services/dgfip/media-document/SME_2022_03.pdf</t>
  </si>
  <si>
    <t>34403</t>
  </si>
  <si>
    <t>2022-03-31</t>
  </si>
  <si>
    <t>Situation mensuelle de l'état - Décembre 2021</t>
  </si>
  <si>
    <t>https://www.economie.gouv.fr/files/files/directions_services/dgfip/media-document/SME_2021_12_definitive.pdf</t>
  </si>
  <si>
    <t>34598</t>
  </si>
  <si>
    <t>2016-12-20</t>
  </si>
  <si>
    <t>Situation mensuelle de l'état - Novembre 2016</t>
  </si>
  <si>
    <t>https://www.economie.gouv.fr/files/files/directions_services/dgfip/media-document/SME_2016_11.pdf</t>
  </si>
  <si>
    <t>34655</t>
  </si>
  <si>
    <t>2015-10-20</t>
  </si>
  <si>
    <t>Situation mensuelle de l'état - Septembre 2015</t>
  </si>
  <si>
    <t>https://www.economie.gouv.fr/files/files/directions_services/dgfip/media-document/SME_2015_09.pdf</t>
  </si>
  <si>
    <t>34853</t>
  </si>
  <si>
    <t>2010-11-17</t>
  </si>
  <si>
    <t>Situation mensuelle de l'état - Octobre 2010</t>
  </si>
  <si>
    <t>https://www.economie.gouv.fr/files/files/directions_services/dgfip/media-document/SME_2010_10.pdf</t>
  </si>
  <si>
    <t>115760</t>
  </si>
  <si>
    <t>2025-05-13</t>
  </si>
  <si>
    <t>Situation mensuelle de l'état - Mars 2025</t>
  </si>
  <si>
    <t>https://www.economie.gouv.fr/files/files/directions_services/dgfip/media-document/SME_2025_03.pdf</t>
  </si>
  <si>
    <t>34289</t>
  </si>
  <si>
    <t>2025-01-22</t>
  </si>
  <si>
    <t>Situation mensuelle de l'état - Décembre (provisoire) 2024</t>
  </si>
  <si>
    <t>https://www.economie.gouv.fr/files/files/directions_services/dgfip/media-document/SME_2024_12_provisoire.pdf</t>
  </si>
  <si>
    <t>34568</t>
  </si>
  <si>
    <t>2017-10-20</t>
  </si>
  <si>
    <t>Situation mensuelle de l'état - Septembre 2017</t>
  </si>
  <si>
    <t>https://www.economie.gouv.fr/files/files/directions_services/dgfip/media-document/SME_2017_09.pdf</t>
  </si>
  <si>
    <t>34595</t>
  </si>
  <si>
    <t>2017-05-16</t>
  </si>
  <si>
    <t>Situation mensuelle de l'état - Décembre 2016</t>
  </si>
  <si>
    <t>https://www.economie.gouv.fr/files/files/directions_services/dgfip/media-document/SME_2016_12_definitive.pdf</t>
  </si>
  <si>
    <t>34742</t>
  </si>
  <si>
    <t>2014-01-27</t>
  </si>
  <si>
    <t>Situation mensuelle de l'état - Décembre (provisoire) 2013</t>
  </si>
  <si>
    <t>https://www.economie.gouv.fr/files/files/directions_services/dgfip/media-document/SME_2013_12.pdf</t>
  </si>
  <si>
    <t>34724</t>
  </si>
  <si>
    <t>2013-07-18</t>
  </si>
  <si>
    <t>Situation mensuelle de l'état - Juin 2013</t>
  </si>
  <si>
    <t>https://www.economie.gouv.fr/files/files/directions_services/dgfip/media-document/SME_2013_06.pdf</t>
  </si>
  <si>
    <t>34823</t>
  </si>
  <si>
    <t>2012-05-16</t>
  </si>
  <si>
    <t>Situation mensuelle de l'état - Décembre 2011</t>
  </si>
  <si>
    <t>https://www.economie.gouv.fr/files/files/directions_services/dgfip/media-document/SME_2011_12_definitive.pdf</t>
  </si>
  <si>
    <t>34787</t>
  </si>
  <si>
    <t>2011-02-22</t>
  </si>
  <si>
    <t>Situation mensuelle de l'état - Janvier 2011</t>
  </si>
  <si>
    <t>https://www.economie.gouv.fr/files/files/directions_services/dgfip/media-document/SME_2011_01.pdf</t>
  </si>
  <si>
    <t>34826</t>
  </si>
  <si>
    <t>2010-02-23</t>
  </si>
  <si>
    <t>Situation mensuelle de l'état - Janvier 2010</t>
  </si>
  <si>
    <t>https://www.economie.gouv.fr/files/files/directions_services/dgfip/media-document/SME_2010_01.pdf</t>
  </si>
  <si>
    <t>34298</t>
  </si>
  <si>
    <t>2024-10-21</t>
  </si>
  <si>
    <t>Situation mensuelle de l'état - Septembre 2024</t>
  </si>
  <si>
    <t>https://www.economie.gouv.fr/files/files/directions_services/dgfip/media-document/SME_2024_09.pdf</t>
  </si>
  <si>
    <t>34340</t>
  </si>
  <si>
    <t>2023-09-21</t>
  </si>
  <si>
    <t>Situation mensuelle de l'état - Août 2023</t>
  </si>
  <si>
    <t>https://www.economie.gouv.fr/files/files/directions_services/dgfip/media-document/SME_2023_08.pdf</t>
  </si>
  <si>
    <t>34436</t>
  </si>
  <si>
    <t>2021-03-19</t>
  </si>
  <si>
    <t>Situation mensuelle de l'état - Février 2021</t>
  </si>
  <si>
    <t>https://www.economie.gouv.fr/files/files/directions_services/dgfip/media-document/SME_2021_02.pdf</t>
  </si>
  <si>
    <t>34490</t>
  </si>
  <si>
    <t>2019-10-21</t>
  </si>
  <si>
    <t>Situation mensuelle de l'état - Septembre 2019</t>
  </si>
  <si>
    <t>https://www.economie.gouv.fr/files/files/directions_services/dgfip/media-document/SME_2019_09.pdf</t>
  </si>
  <si>
    <t>34505</t>
  </si>
  <si>
    <t>2019-05-22</t>
  </si>
  <si>
    <t>Situation mensuelle de l'état - Avril 2019</t>
  </si>
  <si>
    <t>https://www.economie.gouv.fr/files/files/directions_services/dgfip/media-document/SME_2019_04.pdf</t>
  </si>
  <si>
    <t>34565</t>
  </si>
  <si>
    <t>2017-11-20</t>
  </si>
  <si>
    <t>Situation mensuelle de l'état - Octobre 2017</t>
  </si>
  <si>
    <t>https://www.economie.gouv.fr/files/files/directions_services/dgfip/media-document/SME_2017_10.pdf</t>
  </si>
  <si>
    <t>34574</t>
  </si>
  <si>
    <t>2017-08-18</t>
  </si>
  <si>
    <t>Situation mensuelle de l'état - Juillet 2017</t>
  </si>
  <si>
    <t>https://www.economie.gouv.fr/files/files/directions_services/dgfip/media-document/SME_2017_07.pdf</t>
  </si>
  <si>
    <t>34601</t>
  </si>
  <si>
    <t>2016-11-22</t>
  </si>
  <si>
    <t>Situation mensuelle de l'état - Octobre 2016</t>
  </si>
  <si>
    <t>https://www.economie.gouv.fr/files/files/directions_services/dgfip/media-document/SME_2016_10.pdf</t>
  </si>
  <si>
    <t>34709</t>
  </si>
  <si>
    <t>2013-02-25</t>
  </si>
  <si>
    <t>Situation mensuelle de l'état - Janvier 2013</t>
  </si>
  <si>
    <t>https://www.economie.gouv.fr/files/files/directions_services/dgfip/media-document/SME_2013_01.pdf</t>
  </si>
  <si>
    <t>34361</t>
  </si>
  <si>
    <t>2023-02-21</t>
  </si>
  <si>
    <t>Situation mensuelle de l'état - Janvier 2023</t>
  </si>
  <si>
    <t>https://www.economie.gouv.fr/files/files/directions_services/dgfip/media-document/SME_2023_01.pdf</t>
  </si>
  <si>
    <t>34424</t>
  </si>
  <si>
    <t>2021-07-21</t>
  </si>
  <si>
    <t>Situation mensuelle de l'état - Juin 2021</t>
  </si>
  <si>
    <t>https://www.economie.gouv.fr/files/files/directions_services/dgfip/media-document/SME_2021_06.pdf</t>
  </si>
  <si>
    <t>34529</t>
  </si>
  <si>
    <t>2018-10-23</t>
  </si>
  <si>
    <t>Situation mensuelle de l'état - Septembre 2018</t>
  </si>
  <si>
    <t>https://www.economie.gouv.fr/files/files/directions_services/dgfip/media-document/SME_2018_09.pdf</t>
  </si>
  <si>
    <t>34571</t>
  </si>
  <si>
    <t>2017-09-21</t>
  </si>
  <si>
    <t>Situation mensuelle de l'état - Août 2017</t>
  </si>
  <si>
    <t>https://www.economie.gouv.fr/files/files/directions_services/dgfip/media-document/SME_2017_08.pdf</t>
  </si>
  <si>
    <t>34691</t>
  </si>
  <si>
    <t>2014-09-23</t>
  </si>
  <si>
    <t>Situation mensuelle de l'état - Août 2014</t>
  </si>
  <si>
    <t>https://www.economie.gouv.fr/files/files/directions_services/dgfip/media-document/SME_2014_08.pdf</t>
  </si>
  <si>
    <t>34679</t>
  </si>
  <si>
    <t>2014-05-21</t>
  </si>
  <si>
    <t>Situation mensuelle de l'état - Avril 2014</t>
  </si>
  <si>
    <t>https://www.economie.gouv.fr/files/files/directions_services/dgfip/media-document/SME_2014_04.pdf</t>
  </si>
  <si>
    <t>34754</t>
  </si>
  <si>
    <t>2012-04-24</t>
  </si>
  <si>
    <t>Situation mensuelle de l'état - Mars 2012</t>
  </si>
  <si>
    <t>https://www.economie.gouv.fr/files/files/directions_services/dgfip/media-document/SME_2012_03.pdf</t>
  </si>
  <si>
    <t>34325</t>
  </si>
  <si>
    <t>2024-03-28</t>
  </si>
  <si>
    <t>Situation mensuelle de l'état - Décembre 2023</t>
  </si>
  <si>
    <t>https://www.economie.gouv.fr/files/files/directions_services/dgfip/media-document/SME_2023_12_definitive.pdf</t>
  </si>
  <si>
    <t>34445</t>
  </si>
  <si>
    <t>2021-01-25</t>
  </si>
  <si>
    <t>Situation mensuelle de l'état - Décembre (provisoire) 2020</t>
  </si>
  <si>
    <t>https://www.economie.gouv.fr/files/files/directions_services/dgfip/media-document/SME_2020_12_provisoire.pdf</t>
  </si>
  <si>
    <t>34517</t>
  </si>
  <si>
    <t>2019-04-16</t>
  </si>
  <si>
    <t>Situation mensuelle de l'état - Décembre 2018</t>
  </si>
  <si>
    <t>https://www.economie.gouv.fr/files/files/directions_services/dgfip/media-document/SME_2018_12_definitive.pdf</t>
  </si>
  <si>
    <t>34733</t>
  </si>
  <si>
    <t>2013-10-21</t>
  </si>
  <si>
    <t>Situation mensuelle de l'état - Septembre 2013</t>
  </si>
  <si>
    <t>https://www.economie.gouv.fr/files/files/directions_services/dgfip/media-document/SME_2013_09.pdf</t>
  </si>
  <si>
    <t>34730</t>
  </si>
  <si>
    <t>2013-09-23</t>
  </si>
  <si>
    <t>Situation mensuelle de l'état - Août 2013</t>
  </si>
  <si>
    <t>https://www.economie.gouv.fr/files/files/directions_services/dgfip/media-document/SME_2013_08.pdf</t>
  </si>
  <si>
    <t>34850</t>
  </si>
  <si>
    <t>2010-10-20</t>
  </si>
  <si>
    <t>Situation mensuelle de l'état - Septembre 2010</t>
  </si>
  <si>
    <t>https://www.economie.gouv.fr/files/files/directions_services/dgfip/media-document/SME_2010_09.pdf</t>
  </si>
  <si>
    <t>119049</t>
  </si>
  <si>
    <t>2025-05-08</t>
  </si>
  <si>
    <t>Situation mensuelle de l'État - Juin 2025</t>
  </si>
  <si>
    <t>https://www.economie.gouv.fr/files/files/directions_services/dgfip/media-document/sme_2025-06.pdf</t>
  </si>
  <si>
    <t>34283</t>
  </si>
  <si>
    <t>2025-03-21</t>
  </si>
  <si>
    <t>Situation mensuelle de l'état - Février 2025</t>
  </si>
  <si>
    <t>https://www.economie.gouv.fr/files/files/directions_services/dgfip/media-document/SME_2025_02.pdf</t>
  </si>
  <si>
    <t>34694</t>
  </si>
  <si>
    <t>2014-10-21</t>
  </si>
  <si>
    <t>Situation mensuelle de l'état - Septembre 2014</t>
  </si>
  <si>
    <t>https://www.economie.gouv.fr/files/files/directions_services/dgfip/media-document/SME_2014_09.pdf</t>
  </si>
  <si>
    <t>34688</t>
  </si>
  <si>
    <t>2014-08-20</t>
  </si>
  <si>
    <t>Situation mensuelle de l'état - Juillet 2014</t>
  </si>
  <si>
    <t>https://www.economie.gouv.fr/files/files/directions_services/dgfip/media-document/SME_2014_07.pdf</t>
  </si>
  <si>
    <t>34673</t>
  </si>
  <si>
    <t>2014-03-21</t>
  </si>
  <si>
    <t>Situation mensuelle de l'état - Février 2014</t>
  </si>
  <si>
    <t>https://www.economie.gouv.fr/files/files/directions_services/dgfip/media-document/SME_2014_02.pdf</t>
  </si>
  <si>
    <t>34811</t>
  </si>
  <si>
    <t>2011-10-19</t>
  </si>
  <si>
    <t>Situation mensuelle de l'état - Septembre 2011</t>
  </si>
  <si>
    <t>https://www.economie.gouv.fr/files/files/directions_services/dgfip/media-document/SME_2011_09.pdf</t>
  </si>
  <si>
    <t>34793</t>
  </si>
  <si>
    <t>2011-04-18</t>
  </si>
  <si>
    <t>Situation mensuelle de l'état - Mars 2011</t>
  </si>
  <si>
    <t>https://www.economie.gouv.fr/files/files/directions_services/dgfip/media-document/SME_2011_03.pdf</t>
  </si>
  <si>
    <t>34454</t>
  </si>
  <si>
    <t>2020-10-21</t>
  </si>
  <si>
    <t>Situation mensuelle de l'état - Septembre 2020</t>
  </si>
  <si>
    <t>https://www.economie.gouv.fr/files/files/directions_services/dgfip/media-document/SME_2020_09.pdf</t>
  </si>
  <si>
    <t>34619</t>
  </si>
  <si>
    <t>2016-05-20</t>
  </si>
  <si>
    <t>Situation mensuelle de l'état - Avril 2016</t>
  </si>
  <si>
    <t>https://www.economie.gouv.fr/files/files/directions_services/dgfip/media-document/SME_2016_04.pdf</t>
  </si>
  <si>
    <t>34634</t>
  </si>
  <si>
    <t>2015-03-26</t>
  </si>
  <si>
    <t>Situation mensuelle de l'état - Février 2015</t>
  </si>
  <si>
    <t>https://www.economie.gouv.fr/files/files/directions_services/dgfip/media-document/SME_2015_02.pdf</t>
  </si>
  <si>
    <t>34682</t>
  </si>
  <si>
    <t>2014-06-19</t>
  </si>
  <si>
    <t>Situation mensuelle de l'état - Mai 2014</t>
  </si>
  <si>
    <t>https://www.economie.gouv.fr/files/files/directions_services/dgfip/media-document/SME_2014_05.pdf</t>
  </si>
  <si>
    <t>34820</t>
  </si>
  <si>
    <t>2012-01-24</t>
  </si>
  <si>
    <t>Situation mensuelle de l'état - Décembre (provisoire) 2011</t>
  </si>
  <si>
    <t>https://www.economie.gouv.fr/files/files/directions_services/dgfip/media-document/SME_2011_12.pdf</t>
  </si>
  <si>
    <t>120940</t>
  </si>
  <si>
    <t>2025-04-11</t>
  </si>
  <si>
    <t>Situation mensuelle de l'Etat - Septembre 2025</t>
  </si>
  <si>
    <t>https://www.economie.gouv.fr/files/files/directions_services/dgfip/media-document/sme_2025-09.pdf</t>
  </si>
  <si>
    <t>34415</t>
  </si>
  <si>
    <t>2021-10-20</t>
  </si>
  <si>
    <t>Situation mensuelle de l'état - Septembre 2021</t>
  </si>
  <si>
    <t>https://www.economie.gouv.fr/files/files/directions_services/dgfip/media-document/SME_2021_09.pdf</t>
  </si>
  <si>
    <t>34466</t>
  </si>
  <si>
    <t>2020-06-19</t>
  </si>
  <si>
    <t>Situation mensuelle de l'état - Mai 2020</t>
  </si>
  <si>
    <t>https://www.economie.gouv.fr/files/files/directions_services/dgfip/media-document/SME_2020_05.pdf</t>
  </si>
  <si>
    <t>34487</t>
  </si>
  <si>
    <t>2019-11-22</t>
  </si>
  <si>
    <t>Situation mensuelle de l'état - Octobre 2019</t>
  </si>
  <si>
    <t>https://www.economie.gouv.fr/files/files/directions_services/dgfip/media-document/SME_2019_10.pdf</t>
  </si>
  <si>
    <t>34580</t>
  </si>
  <si>
    <t>2017-06-21</t>
  </si>
  <si>
    <t>Situation mensuelle de l'état - Mai 2017</t>
  </si>
  <si>
    <t>https://www.economie.gouv.fr/files/files/directions_services/dgfip/media-document/SME_2017_05.pdf</t>
  </si>
  <si>
    <t>34607</t>
  </si>
  <si>
    <t>2016-09-20</t>
  </si>
  <si>
    <t>Situation mensuelle de l'état - Août 2016</t>
  </si>
  <si>
    <t>https://www.economie.gouv.fr/files/files/directions_services/dgfip/media-document/SME_2016_08.pdf</t>
  </si>
  <si>
    <t>34628</t>
  </si>
  <si>
    <t>2016-02-23</t>
  </si>
  <si>
    <t>Situation mensuelle de l'état - Janvier 2016</t>
  </si>
  <si>
    <t>https://www.economie.gouv.fr/files/files/directions_services/dgfip/media-document/SME_2016_01.pdf</t>
  </si>
  <si>
    <t>34715</t>
  </si>
  <si>
    <t>2013-04-19</t>
  </si>
  <si>
    <t>Situation mensuelle de l'état - Mars 2013</t>
  </si>
  <si>
    <t>https://www.economie.gouv.fr/files/files/directions_services/dgfip/media-document/SME_2013_03.pdf</t>
  </si>
  <si>
    <t>34847</t>
  </si>
  <si>
    <t>2010-09-17</t>
  </si>
  <si>
    <t>Situation mensuelle de l'état - Août 2010</t>
  </si>
  <si>
    <t>https://www.economie.gouv.fr/files/files/directions_services/dgfip/media-document/SME_2010_08.pdf</t>
  </si>
  <si>
    <t>34481</t>
  </si>
  <si>
    <t>2020-01-22</t>
  </si>
  <si>
    <t>Situation mensuelle de l'état - Décembre 2019</t>
  </si>
  <si>
    <t>https://www.economie.gouv.fr/files/files/directions_services/dgfip/media-document/SME_2019_12.pdf</t>
  </si>
  <si>
    <t>34832</t>
  </si>
  <si>
    <t>2010-04-29</t>
  </si>
  <si>
    <t>Situation mensuelle de l'état - Mars 2010</t>
  </si>
  <si>
    <t>https://www.economie.gouv.fr/files/files/directions_services/dgfip/media-document/SME_2010_03.pdf</t>
  </si>
  <si>
    <t>34511</t>
  </si>
  <si>
    <t>2019-03-22</t>
  </si>
  <si>
    <t>Situation mensuelle de l'état - Février 2019</t>
  </si>
  <si>
    <t>https://www.economie.gouv.fr/files/files/directions_services/dgfip/media-document/SME_2019_02.pdf</t>
  </si>
  <si>
    <t>34532</t>
  </si>
  <si>
    <t>2018-09-19</t>
  </si>
  <si>
    <t>Situation mensuelle de l'état - Août 2018</t>
  </si>
  <si>
    <t>https://www.economie.gouv.fr/files/files/directions_services/dgfip/media-document/SME_2018_08.pdf</t>
  </si>
  <si>
    <t>34544</t>
  </si>
  <si>
    <t>2018-05-23</t>
  </si>
  <si>
    <t>Situation mensuelle de l'état - Avril 2018</t>
  </si>
  <si>
    <t>https://www.economie.gouv.fr/files/files/directions_services/dgfip/media-document/SME_2018_04.pdf</t>
  </si>
  <si>
    <t>34586</t>
  </si>
  <si>
    <t>2017-04-20</t>
  </si>
  <si>
    <t>Situation mensuelle de l'état - Mars 2017</t>
  </si>
  <si>
    <t>https://www.economie.gouv.fr/files/files/directions_services/dgfip/media-document/SME_2017_03.pdf</t>
  </si>
  <si>
    <t>34592</t>
  </si>
  <si>
    <t>2017-02-21</t>
  </si>
  <si>
    <t>Situation mensuelle de l'état - Janvier 2017</t>
  </si>
  <si>
    <t>https://www.economie.gouv.fr/files/files/directions_services/dgfip/media-document/SME_2017_01.pdf</t>
  </si>
  <si>
    <t>34685</t>
  </si>
  <si>
    <t>2014-07-18</t>
  </si>
  <si>
    <t>Situation mensuelle de l'état - Juin 2014</t>
  </si>
  <si>
    <t>https://www.economie.gouv.fr/files/files/directions_services/dgfip/media-document/SME_2014_06.pdf</t>
  </si>
  <si>
    <t>34748</t>
  </si>
  <si>
    <t>2012-09-03</t>
  </si>
  <si>
    <t>Situation mensuelle de l'état - Janvier 2012</t>
  </si>
  <si>
    <t>https://www.economie.gouv.fr/files/files/directions_services/dgfip/media-document/SME_2012_01.pdf</t>
  </si>
  <si>
    <t>34790</t>
  </si>
  <si>
    <t>2011-04-08</t>
  </si>
  <si>
    <t>Situation mensuelle de l'état - Février 2011</t>
  </si>
  <si>
    <t>https://www.economie.gouv.fr/files/files/directions_services/dgfip/media-document/SME_2011_02.pdf</t>
  </si>
  <si>
    <t>34412</t>
  </si>
  <si>
    <t>2021-11-23</t>
  </si>
  <si>
    <t>Situation mensuelle de l'état - Octobre 2021</t>
  </si>
  <si>
    <t>https://www.economie.gouv.fr/files/files/directions_services/dgfip/media-document/SME_2021_10.pdf</t>
  </si>
  <si>
    <t>34469</t>
  </si>
  <si>
    <t>2020-05-25</t>
  </si>
  <si>
    <t>Situation mensuelle de l'état - Avril 2020</t>
  </si>
  <si>
    <t>https://www.economie.gouv.fr/files/files/directions_services/dgfip/media-document/SME_2020_04.pdf</t>
  </si>
  <si>
    <t>34616</t>
  </si>
  <si>
    <t>2016-06-21</t>
  </si>
  <si>
    <t>Situation mensuelle de l'état - Mai 2016</t>
  </si>
  <si>
    <t>https://www.economie.gouv.fr/files/files/directions_services/dgfip/media-document/SME_2016_05.pdf</t>
  </si>
  <si>
    <t>34664</t>
  </si>
  <si>
    <t>2016-01-20</t>
  </si>
  <si>
    <t>Situation mensuelle de l'état - Décembre (provisoire) 2015</t>
  </si>
  <si>
    <t>https://www.economie.gouv.fr/files/files/directions_services/dgfip/media-document/SME_2015_12.pdf</t>
  </si>
  <si>
    <t>34649</t>
  </si>
  <si>
    <t>2015-08-18</t>
  </si>
  <si>
    <t>Situation mensuelle de l'état - Juillet 2015</t>
  </si>
  <si>
    <t>https://www.economie.gouv.fr/files/files/directions_services/dgfip/media-document/SME_2015_07.pdf</t>
  </si>
  <si>
    <t>34808</t>
  </si>
  <si>
    <t>2011-09-22</t>
  </si>
  <si>
    <t>Situation mensuelle de l'état - Août 2011</t>
  </si>
  <si>
    <t>https://www.economie.gouv.fr/files/files/directions_services/dgfip/media-document/SME_2011_08.pdf</t>
  </si>
  <si>
    <t>34844</t>
  </si>
  <si>
    <t>2010-08-18</t>
  </si>
  <si>
    <t>Situation mensuelle de l'état - Juillet 2010</t>
  </si>
  <si>
    <t>https://www.economie.gouv.fr/files/files/directions_services/dgfip/media-document/SME_2010_07.pdf</t>
  </si>
  <si>
    <t>34835</t>
  </si>
  <si>
    <t>2010-05-26</t>
  </si>
  <si>
    <t>Situation mensuelle de l'état - Avril 2010</t>
  </si>
  <si>
    <t>https://www.economie.gouv.fr/files/files/directions_services/dgfip/media-document/SME_2010_04.pdf</t>
  </si>
  <si>
    <t>34310</t>
  </si>
  <si>
    <t>2024-06-20</t>
  </si>
  <si>
    <t>Situation mensuelle de l'état - Mai 2024</t>
  </si>
  <si>
    <t>https://www.economie.gouv.fr/files/files/directions_services/dgfip/media-document/SME_2024_05.pdf</t>
  </si>
  <si>
    <t>34346</t>
  </si>
  <si>
    <t>2023-07-20</t>
  </si>
  <si>
    <t>Situation mensuelle de l'état - Juin 2023</t>
  </si>
  <si>
    <t>https://www.economie.gouv.fr/files/files/directions_services/dgfip/media-document/SME_2023_06.pdf</t>
  </si>
  <si>
    <t>34385</t>
  </si>
  <si>
    <t>2022-07-22</t>
  </si>
  <si>
    <t>Situation mensuelle de l'état - Juin 2022</t>
  </si>
  <si>
    <t>https://www.economie.gouv.fr/files/files/directions_services/dgfip/media-document/SME_2022_06.pdf</t>
  </si>
  <si>
    <t>34478</t>
  </si>
  <si>
    <t>2020-02-20</t>
  </si>
  <si>
    <t>Situation mensuelle de l'état - Janvier 2020</t>
  </si>
  <si>
    <t>https://www.economie.gouv.fr/files/files/directions_services/dgfip/media-document/SME_2020_01.pdf</t>
  </si>
  <si>
    <t>34496</t>
  </si>
  <si>
    <t>2019-08-20</t>
  </si>
  <si>
    <t>Situation mensuelle de l'état - Juillet 2019</t>
  </si>
  <si>
    <t>https://www.economie.gouv.fr/files/files/directions_services/dgfip/media-document/SME_2019_07.pdf</t>
  </si>
  <si>
    <t>34610</t>
  </si>
  <si>
    <t>2016-08-18</t>
  </si>
  <si>
    <t>Situation mensuelle de l'état - Juillet 2016</t>
  </si>
  <si>
    <t>https://www.economie.gouv.fr/files/files/directions_services/dgfip/media-document/SME_2016_07.pdf</t>
  </si>
  <si>
    <t>34625</t>
  </si>
  <si>
    <t>2016-08-04</t>
  </si>
  <si>
    <t>Situation mensuelle de l'état - Février 2016</t>
  </si>
  <si>
    <t>https://www.economie.gouv.fr/files/files/directions_services/dgfip/media-document/SME_2016_02.pdf</t>
  </si>
  <si>
    <t>34763</t>
  </si>
  <si>
    <t>2012-07-19</t>
  </si>
  <si>
    <t>Situation mensuelle de l'état - Juin 2012</t>
  </si>
  <si>
    <t>https://www.economie.gouv.fr/files/files/directions_services/dgfip/media-document/SME_2012_06.pdf</t>
  </si>
  <si>
    <t>34757</t>
  </si>
  <si>
    <t>2012-05-23</t>
  </si>
  <si>
    <t>Situation mensuelle de l'état - Avril 2012</t>
  </si>
  <si>
    <t>https://www.economie.gouv.fr/files/files/directions_services/dgfip/media-document/SME_2012_04.pdf</t>
  </si>
  <si>
    <t>120280</t>
  </si>
  <si>
    <t>2025-02-10</t>
  </si>
  <si>
    <t>Situation mensuelle de l'Etat - Août 2025</t>
  </si>
  <si>
    <t>https://www.economie.gouv.fr/files/files/directions_services/dgfip/media-document/sme_2025-08.pdf</t>
  </si>
  <si>
    <t>34307</t>
  </si>
  <si>
    <t>2024-07-19</t>
  </si>
  <si>
    <t>Situation mensuelle de l'état - Juin 2024</t>
  </si>
  <si>
    <t>https://www.economie.gouv.fr/files/files/directions_services/dgfip/media-document/SME_2024_06.pdf</t>
  </si>
  <si>
    <t>34523</t>
  </si>
  <si>
    <t>2018-12-20</t>
  </si>
  <si>
    <t>Situation mensuelle de l'état - Novembre 2018</t>
  </si>
  <si>
    <t>https://www.economie.gouv.fr/files/files/directions_services/dgfip/media-document/SME_2018_11.pdf</t>
  </si>
  <si>
    <t>34706</t>
  </si>
  <si>
    <t>2015-04-29</t>
  </si>
  <si>
    <t>Situation mensuelle de l'état - Décembre 2014</t>
  </si>
  <si>
    <t>https://www.economie.gouv.fr/files/files/directions_services/dgfip/media-document/SME_2014_12_definitive.pdf</t>
  </si>
  <si>
    <t>34745</t>
  </si>
  <si>
    <t>2014-06-05</t>
  </si>
  <si>
    <t>Situation mensuelle de l'état - Décembre 2013</t>
  </si>
  <si>
    <t>https://www.economie.gouv.fr/files/files/directions_services/dgfip/media-document/SME_2013_12_definitive.pdf</t>
  </si>
  <si>
    <t>34718</t>
  </si>
  <si>
    <t>2013-05-22</t>
  </si>
  <si>
    <t>Situation mensuelle de l'état - Avril 2013</t>
  </si>
  <si>
    <t>https://www.economie.gouv.fr/files/files/directions_services/dgfip/media-document/SME_2013_04.pdf</t>
  </si>
  <si>
    <t>34772</t>
  </si>
  <si>
    <t>2012-10-17</t>
  </si>
  <si>
    <t>Situation mensuelle de l'état - Septembre 2012</t>
  </si>
  <si>
    <t>https://www.economie.gouv.fr/files/files/directions_services/dgfip/media-document/SME_2012_09.pdf</t>
  </si>
  <si>
    <t>34322</t>
  </si>
  <si>
    <t>2024-02-20</t>
  </si>
  <si>
    <t>Situation mensuelle de l'état - Janvier 2024</t>
  </si>
  <si>
    <t>https://www.economie.gouv.fr/files/files/directions_services/dgfip/media-document/SME_2024_01.pdf</t>
  </si>
  <si>
    <t>34358</t>
  </si>
  <si>
    <t>2023-03-21</t>
  </si>
  <si>
    <t>Situation mensuelle de l'état - Février 2023</t>
  </si>
  <si>
    <t>https://www.economie.gouv.fr/files/files/directions_services/dgfip/media-document/SME_2023_02.pdf</t>
  </si>
  <si>
    <t>34334</t>
  </si>
  <si>
    <t>2023-11-21</t>
  </si>
  <si>
    <t>Situation mensuelle de l'état - Octobre 2023</t>
  </si>
  <si>
    <t>https://www.economie.gouv.fr/files/files/directions_services/dgfip/media-document/SME_2023_10.pdf</t>
  </si>
  <si>
    <t>34379</t>
  </si>
  <si>
    <t>2022-09-20</t>
  </si>
  <si>
    <t>Situation mensuelle de l'état - Août 2022</t>
  </si>
  <si>
    <t>https://www.economie.gouv.fr/files/files/directions_services/dgfip/media-document/SME_2022_08.pdf</t>
  </si>
  <si>
    <t>34514</t>
  </si>
  <si>
    <t>2019-07-03</t>
  </si>
  <si>
    <t>Situation mensuelle de l'état - Janvier 2019</t>
  </si>
  <si>
    <t>https://www.economie.gouv.fr/files/files/directions_services/dgfip/media-document/SME_2019_01.pdf</t>
  </si>
  <si>
    <t>34613</t>
  </si>
  <si>
    <t>2016-07-21</t>
  </si>
  <si>
    <t>Situation mensuelle de l'état - Juin 2016</t>
  </si>
  <si>
    <t>https://www.economie.gouv.fr/files/files/directions_services/dgfip/media-document/SME_2016_06.pdf</t>
  </si>
  <si>
    <t>34661</t>
  </si>
  <si>
    <t>2015-12-22</t>
  </si>
  <si>
    <t>Situation mensuelle de l'état - Novembre 2015</t>
  </si>
  <si>
    <t>https://www.economie.gouv.fr/files/files/directions_services/dgfip/media-document/SME_2015_11.pdf</t>
  </si>
  <si>
    <t>34550</t>
  </si>
  <si>
    <t>2018-03-22</t>
  </si>
  <si>
    <t>Situation mensuelle de l'état - Février 2018</t>
  </si>
  <si>
    <t>https://www.economie.gouv.fr/files/files/directions_services/dgfip/media-document/SME_2018_02.pdf</t>
  </si>
  <si>
    <t>34667</t>
  </si>
  <si>
    <t>2016-04-28</t>
  </si>
  <si>
    <t>Situation mensuelle de l'état - Décembre 2015</t>
  </si>
  <si>
    <t>https://www.economie.gouv.fr/files/files/directions_services/dgfip/media-document/SME_2015_12_definitive.pdf</t>
  </si>
  <si>
    <t>34721</t>
  </si>
  <si>
    <t>2013-06-20</t>
  </si>
  <si>
    <t>Situation mensuelle de l'état - Mai 2013</t>
  </si>
  <si>
    <t>https://www.economie.gouv.fr/files/files/directions_services/dgfip/media-document/SME_2013_05.pdf</t>
  </si>
  <si>
    <t>34769</t>
  </si>
  <si>
    <t>2012-09-20</t>
  </si>
  <si>
    <t>Situation mensuelle de l'état - Août 2012</t>
  </si>
  <si>
    <t>https://www.economie.gouv.fr/files/files/directions_services/dgfip/media-document/SME_2012_08.pdf</t>
  </si>
  <si>
    <t>34817</t>
  </si>
  <si>
    <t>2011-12-19</t>
  </si>
  <si>
    <t>Situation mensuelle de l'état - Novembre 2011</t>
  </si>
  <si>
    <t>https://www.economie.gouv.fr/files/files/directions_services/dgfip/media-document/SME_2011_11.pdf</t>
  </si>
  <si>
    <t>34397</t>
  </si>
  <si>
    <t>2022-03-21</t>
  </si>
  <si>
    <t>Situation mensuelle de l'état - Février 2022</t>
  </si>
  <si>
    <t>https://www.economie.gouv.fr/files/files/directions_services/dgfip/media-document/SME_2022_02.pdf</t>
  </si>
  <si>
    <t>34427</t>
  </si>
  <si>
    <t>2021-06-21</t>
  </si>
  <si>
    <t>Situation mensuelle de l'état - Mai 2021</t>
  </si>
  <si>
    <t>https://www.economie.gouv.fr/files/files/directions_services/dgfip/media-document/SME_2021_05.pdf</t>
  </si>
  <si>
    <t>34433</t>
  </si>
  <si>
    <t>2021-04-22</t>
  </si>
  <si>
    <t>Situation mensuelle de l'état - Mars 2021</t>
  </si>
  <si>
    <t>https://www.economie.gouv.fr/files/files/directions_services/dgfip/media-document/SME_2021_03.pdf</t>
  </si>
  <si>
    <t>34472</t>
  </si>
  <si>
    <t>2020-04-20</t>
  </si>
  <si>
    <t>Situation mensuelle de l'état - Mars 2020</t>
  </si>
  <si>
    <t>https://www.economie.gouv.fr/files/files/directions_services/dgfip/media-document/SME_2020_03.pdf</t>
  </si>
  <si>
    <t>34502</t>
  </si>
  <si>
    <t>2019-06-21</t>
  </si>
  <si>
    <t>Situation mensuelle de l'état - Mai 2019</t>
  </si>
  <si>
    <t>https://www.economie.gouv.fr/files/files/directions_services/dgfip/media-document/SME_2019_05.pdf</t>
  </si>
  <si>
    <t>34508</t>
  </si>
  <si>
    <t>2019-04-19</t>
  </si>
  <si>
    <t>Situation mensuelle de l'état - Mars 2019</t>
  </si>
  <si>
    <t>https://www.economie.gouv.fr/files/files/directions_services/dgfip/media-document/SME_2019_03.pdf</t>
  </si>
  <si>
    <t>115757</t>
  </si>
  <si>
    <t>Situation mensuelle de l'état - Décembre 2024</t>
  </si>
  <si>
    <t>https://www.economie.gouv.fr/files/files/directions_services/dgfip/media-document/SME_2024_12_definitive.pdf</t>
  </si>
  <si>
    <t>34328</t>
  </si>
  <si>
    <t>2024-01-26</t>
  </si>
  <si>
    <t>Situation mensuelle de l'état - Décembre (provisoire) 2023</t>
  </si>
  <si>
    <t>https://www.economie.gouv.fr/files/files/directions_services/dgfip/media-document/SME_2023_12_provisoire.pdf</t>
  </si>
  <si>
    <t>34373</t>
  </si>
  <si>
    <t>2022-11-22</t>
  </si>
  <si>
    <t>Situation mensuelle de l'état - Octobre 2022</t>
  </si>
  <si>
    <t>https://www.economie.gouv.fr/files/files/directions_services/dgfip/media-document/SME_2022_10.pdf</t>
  </si>
  <si>
    <t>34400</t>
  </si>
  <si>
    <t>2022-02-21</t>
  </si>
  <si>
    <t>Situation mensuelle de l'état - Janvier 2022</t>
  </si>
  <si>
    <t>https://www.economie.gouv.fr/files/files/directions_services/dgfip/media-document/SME_2022_01.pdf</t>
  </si>
  <si>
    <t>34457</t>
  </si>
  <si>
    <t>2020-09-21</t>
  </si>
  <si>
    <t>Situation mensuelle de l'état - Août 2020</t>
  </si>
  <si>
    <t>https://www.economie.gouv.fr/files/files/directions_services/dgfip/media-document/SME_2020_08.pdf</t>
  </si>
  <si>
    <t>34463</t>
  </si>
  <si>
    <t>2020-07-21</t>
  </si>
  <si>
    <t>Situation mensuelle de l'état - Juin 2020</t>
  </si>
  <si>
    <t>https://www.economie.gouv.fr/files/files/directions_services/dgfip/media-document/SME_2020_06.pdf</t>
  </si>
  <si>
    <t>34700</t>
  </si>
  <si>
    <t>2014-12-18</t>
  </si>
  <si>
    <t>Situation mensuelle de l'état - Novembre 2014</t>
  </si>
  <si>
    <t>https://www.economie.gouv.fr/files/files/directions_services/dgfip/media-document/SME_2014_11.pdf</t>
  </si>
  <si>
    <t>Dates</t>
  </si>
  <si>
    <t>Solde d'exécution budgétaire (M€)</t>
  </si>
  <si>
    <t>Dépenses</t>
  </si>
  <si>
    <t>Dont remboursement / Dégrèvement</t>
  </si>
  <si>
    <t>Personnel</t>
  </si>
  <si>
    <t>Intervention</t>
  </si>
  <si>
    <t>Recettes brutes</t>
  </si>
  <si>
    <t>Recettes nettes</t>
  </si>
  <si>
    <t>Recettes fiscales brutes</t>
  </si>
  <si>
    <t>Recettes fiscales nettes</t>
  </si>
  <si>
    <t>IR</t>
  </si>
  <si>
    <t>IS</t>
  </si>
  <si>
    <t>TVA</t>
  </si>
  <si>
    <t>Dépenses (Hors R/D)</t>
  </si>
  <si>
    <t>Expenditure</t>
  </si>
  <si>
    <t>Revenue</t>
  </si>
  <si>
    <t>date_tri</t>
  </si>
  <si>
    <t>Revenues_trimmed</t>
  </si>
  <si>
    <t>Exp_trimmed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</si>
</sst>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#,##0.00\ &quot;€&quot;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Font="1"/>
    <xf numFmtId="3" fontId="0" fillId="0" borderId="0" xfId="0" applyNumberFormat="1" applyFont="1"/>
    <xf numFmtId="166" fontId="0" fillId="0" borderId="0" xfId="42" applyNumberFormat="1" applyFont="1"/>
    <xf numFmtId="166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2" builtinId="3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077AEB13-082B-C24F-849C-CF75BEF6F65C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15T17:24:21.86" personId="{077AEB13-082B-C24F-849C-CF75BEF6F65C}" id="{15E19C96-3507-0542-9F28-83E7D67E02DB}">
    <text xml:space="preserve">Valeurs cumulées
</text>
  </threadedComment>
  <threadedComment ref="E1" dT="2026-03-11T16:49:35.29" personId="{077AEB13-082B-C24F-849C-CF75BEF6F65C}" id="{80B010B4-9BD4-0549-A9FE-EDC332CF10BE}" parentId="{15E19C96-3507-0542-9F28-83E7D67E02DB}">
    <text>Solde du budget general
(solde d'exécution budgétaire = solde du budget general + solde des comptes speciaux)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5A78-51BD-415B-97CA-DFB4C9F6AAF0}">
  <dimension ref="A1:F203"/>
  <sheetViews>
    <sheetView topLeftCell="A172" workbookViewId="0">
      <selection activeCell="A203" sqref="A203"/>
    </sheetView>
  </sheetViews>
  <sheetFormatPr baseColWidth="10" defaultRowHeight="16" x14ac:dyDescent="0.4"/>
  <cols>
    <col min="1" max="1" width="14.83203125" bestFit="1" customWidth="1"/>
    <col min="2" max="2" width="48.5" bestFit="1" customWidth="1"/>
    <col min="3" max="3" width="30.83203125" customWidth="1"/>
    <col min="4" max="4" width="14" bestFit="1" customWidth="1"/>
  </cols>
  <sheetData>
    <row r="1" spans="1:6" x14ac:dyDescent="0.4">
      <c r="A1" t="s">
        <v>3</v>
      </c>
      <c r="B1" t="s">
        <v>4</v>
      </c>
      <c r="C1" t="s">
        <v>828</v>
      </c>
      <c r="D1" t="s">
        <v>829</v>
      </c>
    </row>
    <row r="2" spans="1:6" x14ac:dyDescent="0.4">
      <c r="A2" t="s">
        <v>404</v>
      </c>
      <c r="B2" t="s">
        <v>405</v>
      </c>
      <c r="C2" s="3">
        <v>18220</v>
      </c>
      <c r="D2">
        <v>10902</v>
      </c>
      <c r="F2" s="1">
        <f>DATE(
RIGHT(B2,4),
MATCH(
MID(B2,FIND("- ",B2)+2,FIND(" ",B2,FIND("- ",B2)+2)-FIND("- ",B2)-2),
{"Janvier";"Février";"Mars";"Avril";"Mai";"Juin";"Juillet";"Août";"Septembre";"Octobre";"Novembre";"Décembre"},
0),
1)</f>
        <v>40179</v>
      </c>
    </row>
    <row r="3" spans="1:6" x14ac:dyDescent="0.4">
      <c r="A3" t="s">
        <v>61</v>
      </c>
      <c r="B3" t="s">
        <v>62</v>
      </c>
      <c r="C3" s="3">
        <v>37527</v>
      </c>
      <c r="D3">
        <v>19423</v>
      </c>
      <c r="F3" s="1">
        <f>DATE(
RIGHT(B3,4),
MATCH(
MID(B3,FIND("- ",B3)+2,FIND(" ",B3,FIND("- ",B3)+2)-FIND("- ",B3)-2),
{"Janvier";"Février";"Mars";"Avril";"Mai";"Juin";"Juillet";"Août";"Septembre";"Octobre";"Novembre";"Décembre"},
0),
1)</f>
        <v>40210</v>
      </c>
    </row>
    <row r="4" spans="1:6" x14ac:dyDescent="0.4">
      <c r="A4" t="s">
        <v>584</v>
      </c>
      <c r="B4" t="s">
        <v>585</v>
      </c>
      <c r="C4" s="3">
        <v>58278</v>
      </c>
      <c r="D4">
        <v>33677</v>
      </c>
      <c r="F4" s="1">
        <f>DATE(
RIGHT(B4,4),
MATCH(
MID(B4,FIND("- ",B4)+2,FIND(" ",B4,FIND("- ",B4)+2)-FIND("- ",B4)-2),
{"Janvier";"Février";"Mars";"Avril";"Mai";"Juin";"Juillet";"Août";"Septembre";"Octobre";"Novembre";"Décembre"},
0),
1)</f>
        <v>40238</v>
      </c>
    </row>
    <row r="5" spans="1:6" x14ac:dyDescent="0.4">
      <c r="A5" t="s">
        <v>648</v>
      </c>
      <c r="B5" t="s">
        <v>649</v>
      </c>
      <c r="C5" s="3">
        <v>94797</v>
      </c>
      <c r="D5">
        <v>45796</v>
      </c>
      <c r="F5" s="1">
        <f>DATE(
RIGHT(B5,4),
MATCH(
MID(B5,FIND("- ",B5)+2,FIND(" ",B5,FIND("- ",B5)+2)-FIND("- ",B5)-2),
{"Janvier";"Février";"Mars";"Avril";"Mai";"Juin";"Juillet";"Août";"Septembre";"Octobre";"Novembre";"Décembre"},
0),
1)</f>
        <v>40269</v>
      </c>
    </row>
    <row r="6" spans="1:6" x14ac:dyDescent="0.4">
      <c r="A6" t="s">
        <v>256</v>
      </c>
      <c r="B6" t="s">
        <v>257</v>
      </c>
      <c r="C6" s="3">
        <v>113300</v>
      </c>
      <c r="D6">
        <v>58245</v>
      </c>
      <c r="F6" s="1">
        <f>DATE(
RIGHT(B6,4),
MATCH(
MID(B6,FIND("- ",B6)+2,FIND(" ",B6,FIND("- ",B6)+2)-FIND("- ",B6)-2),
{"Janvier";"Février";"Mars";"Avril";"Mai";"Juin";"Juillet";"Août";"Septembre";"Octobre";"Novembre";"Décembre"},
0),
1)</f>
        <v>40299</v>
      </c>
    </row>
    <row r="7" spans="1:6" x14ac:dyDescent="0.4">
      <c r="A7" t="s">
        <v>252</v>
      </c>
      <c r="B7" t="s">
        <v>253</v>
      </c>
      <c r="C7" s="3">
        <v>137147</v>
      </c>
      <c r="D7">
        <v>89801</v>
      </c>
      <c r="F7" s="1">
        <f>DATE(
RIGHT(B7,4),
MATCH(
MID(B7,FIND("- ",B7)+2,FIND(" ",B7,FIND("- ",B7)+2)-FIND("- ",B7)-2),
{"Janvier";"Février";"Mars";"Avril";"Mai";"Juin";"Juillet";"Août";"Septembre";"Octobre";"Novembre";"Décembre"},
0),
1)</f>
        <v>40330</v>
      </c>
    </row>
    <row r="8" spans="1:6" x14ac:dyDescent="0.4">
      <c r="A8" t="s">
        <v>644</v>
      </c>
      <c r="B8" t="s">
        <v>645</v>
      </c>
      <c r="C8" s="3">
        <v>52793</v>
      </c>
      <c r="D8">
        <v>99386</v>
      </c>
      <c r="F8" s="1">
        <f>DATE(
RIGHT(B8,4),
MATCH(
MID(B8,FIND("- ",B8)+2,FIND(" ",B8,FIND("- ",B8)+2)-FIND("- ",B8)-2),
{"Janvier";"Février";"Mars";"Avril";"Mai";"Juin";"Juillet";"Août";"Septembre";"Octobre";"Novembre";"Décembre"},
0),
1)</f>
        <v>40360</v>
      </c>
    </row>
    <row r="9" spans="1:6" x14ac:dyDescent="0.4">
      <c r="A9" t="s">
        <v>576</v>
      </c>
      <c r="B9" t="s">
        <v>577</v>
      </c>
      <c r="C9" s="3">
        <v>201382</v>
      </c>
      <c r="D9">
        <v>100786</v>
      </c>
      <c r="F9" s="1">
        <f>DATE(
RIGHT(B9,4),
MATCH(
MID(B9,FIND("- ",B9)+2,FIND(" ",B9,FIND("- ",B9)+2)-FIND("- ",B9)-2),
{"Janvier";"Février";"Mars";"Avril";"Mai";"Juin";"Juillet";"Août";"Septembre";"Octobre";"Novembre";"Décembre"},
0),
1)</f>
        <v>40391</v>
      </c>
    </row>
    <row r="10" spans="1:6" x14ac:dyDescent="0.4">
      <c r="A10" t="s">
        <v>492</v>
      </c>
      <c r="B10" t="s">
        <v>493</v>
      </c>
      <c r="C10" s="3">
        <v>232734</v>
      </c>
      <c r="D10">
        <v>126984</v>
      </c>
      <c r="F10" s="1">
        <f>DATE(
RIGHT(B10,4),
MATCH(
MID(B10,FIND("- ",B10)+2,FIND(" ",B10,FIND("- ",B10)+2)-FIND("- ",B10)-2),
{"Janvier";"Février";"Mars";"Avril";"Mai";"Juin";"Juillet";"Août";"Septembre";"Octobre";"Novembre";"Décembre"},
0),
1)</f>
        <v>40422</v>
      </c>
    </row>
    <row r="11" spans="1:6" x14ac:dyDescent="0.4">
      <c r="A11" t="s">
        <v>368</v>
      </c>
      <c r="B11" t="s">
        <v>369</v>
      </c>
      <c r="C11">
        <v>268285</v>
      </c>
      <c r="D11">
        <v>137576</v>
      </c>
      <c r="F11" s="1">
        <f>DATE(
RIGHT(B11,4),
MATCH(
MID(B11,FIND("- ",B11)+2,FIND(" ",B11,FIND("- ",B11)+2)-FIND("- ",B11)-2),
{"Janvier";"Février";"Mars";"Avril";"Mai";"Juin";"Juillet";"Août";"Septembre";"Octobre";"Novembre";"Décembre"},
0),
1)</f>
        <v>40452</v>
      </c>
    </row>
    <row r="12" spans="1:6" x14ac:dyDescent="0.4">
      <c r="A12" t="s">
        <v>33</v>
      </c>
      <c r="B12" t="s">
        <v>34</v>
      </c>
      <c r="C12">
        <v>288420</v>
      </c>
      <c r="D12">
        <v>147318</v>
      </c>
      <c r="F12" s="1">
        <f>DATE(
RIGHT(B12,4),
MATCH(
MID(B12,FIND("- ",B12)+2,FIND(" ",B12,FIND("- ",B12)+2)-FIND("- ",B12)-2),
{"Janvier";"Février";"Mars";"Avril";"Mai";"Juin";"Juillet";"Août";"Septembre";"Octobre";"Novembre";"Décembre"},
0),
1)</f>
        <v>40483</v>
      </c>
    </row>
    <row r="13" spans="1:6" x14ac:dyDescent="0.4">
      <c r="A13" t="s">
        <v>133</v>
      </c>
      <c r="B13" t="s">
        <v>134</v>
      </c>
      <c r="C13">
        <v>319524</v>
      </c>
      <c r="D13">
        <v>172169</v>
      </c>
      <c r="F13" s="1">
        <f>DATE(
RIGHT(B13,4),
MATCH(
MID(B13,FIND("- ",B13)+2,FIND(" ",B13,FIND("- ",B13)+2)-FIND("- ",B13)-2),
{"Janvier";"Février";"Mars";"Avril";"Mai";"Juin";"Juillet";"Août";"Septembre";"Octobre";"Novembre";"Décembre"},
0),
1)</f>
        <v>40513</v>
      </c>
    </row>
    <row r="14" spans="1:6" x14ac:dyDescent="0.4">
      <c r="A14" t="s">
        <v>400</v>
      </c>
      <c r="B14" t="s">
        <v>401</v>
      </c>
      <c r="C14">
        <v>20107</v>
      </c>
      <c r="D14">
        <v>14289</v>
      </c>
      <c r="F14" s="1">
        <f>DATE(
RIGHT(B14,4),
MATCH(
MID(B14,FIND("- ",B14)+2,FIND(" ",B14,FIND("- ",B14)+2)-FIND("- ",B14)-2),
{"Janvier";"Février";"Mars";"Avril";"Mai";"Juin";"Juillet";"Août";"Septembre";"Octobre";"Novembre";"Décembre"},
0),
1)</f>
        <v>40544</v>
      </c>
    </row>
    <row r="15" spans="1:6" x14ac:dyDescent="0.4">
      <c r="A15" t="s">
        <v>616</v>
      </c>
      <c r="B15" t="s">
        <v>617</v>
      </c>
      <c r="C15">
        <v>41932</v>
      </c>
      <c r="D15">
        <v>25059</v>
      </c>
      <c r="F15" s="1">
        <f>DATE(
RIGHT(B15,4),
MATCH(
MID(B15,FIND("- ",B15)+2,FIND(" ",B15,FIND("- ",B15)+2)-FIND("- ",B15)-2),
{"Janvier";"Février";"Mars";"Avril";"Mai";"Juin";"Juillet";"Août";"Septembre";"Octobre";"Novembre";"Décembre"},
0),
1)</f>
        <v>40575</v>
      </c>
    </row>
    <row r="16" spans="1:6" x14ac:dyDescent="0.4">
      <c r="A16" t="s">
        <v>520</v>
      </c>
      <c r="B16" t="s">
        <v>521</v>
      </c>
      <c r="C16">
        <v>61642</v>
      </c>
      <c r="D16">
        <v>44545</v>
      </c>
      <c r="F16" s="1">
        <f>DATE(
RIGHT(B16,4),
MATCH(
MID(B16,FIND("- ",B16)+2,FIND(" ",B16,FIND("- ",B16)+2)-FIND("- ",B16)-2),
{"Janvier";"Février";"Mars";"Avril";"Mai";"Juin";"Juillet";"Août";"Septembre";"Octobre";"Novembre";"Décembre"},
0),
1)</f>
        <v>40603</v>
      </c>
    </row>
    <row r="17" spans="1:6" x14ac:dyDescent="0.4">
      <c r="A17" t="s">
        <v>300</v>
      </c>
      <c r="B17" t="s">
        <v>301</v>
      </c>
      <c r="C17">
        <v>102111</v>
      </c>
      <c r="D17">
        <v>62507</v>
      </c>
      <c r="F17" s="1">
        <f>DATE(
RIGHT(B17,4),
MATCH(
MID(B17,FIND("- ",B17)+2,FIND(" ",B17,FIND("- ",B17)+2)-FIND("- ",B17)-2),
{"Janvier";"Février";"Mars";"Avril";"Mai";"Juin";"Juillet";"Août";"Septembre";"Octobre";"Novembre";"Décembre"},
0),
1)</f>
        <v>40634</v>
      </c>
    </row>
    <row r="18" spans="1:6" x14ac:dyDescent="0.4">
      <c r="A18" t="s">
        <v>129</v>
      </c>
      <c r="B18" t="s">
        <v>130</v>
      </c>
      <c r="C18">
        <v>120927</v>
      </c>
      <c r="D18">
        <v>76973</v>
      </c>
      <c r="F18" s="1">
        <f>DATE(
RIGHT(B18,4),
MATCH(
MID(B18,FIND("- ",B18)+2,FIND(" ",B18,FIND("- ",B18)+2)-FIND("- ",B18)-2),
{"Janvier";"Février";"Mars";"Avril";"Mai";"Juin";"Juillet";"Août";"Septembre";"Octobre";"Novembre";"Décembre"},
0),
1)</f>
        <v>40664</v>
      </c>
    </row>
    <row r="19" spans="1:6" x14ac:dyDescent="0.4">
      <c r="A19" t="s">
        <v>125</v>
      </c>
      <c r="B19" t="s">
        <v>126</v>
      </c>
      <c r="C19">
        <v>141699</v>
      </c>
      <c r="D19">
        <v>102200</v>
      </c>
      <c r="F19" s="1">
        <f>DATE(
RIGHT(B19,4),
MATCH(
MID(B19,FIND("- ",B19)+2,FIND(" ",B19,FIND("- ",B19)+2)-FIND("- ",B19)-2),
{"Janvier";"Février";"Mars";"Avril";"Mai";"Juin";"Juillet";"Août";"Septembre";"Octobre";"Novembre";"Décembre"},
0),
1)</f>
        <v>40695</v>
      </c>
    </row>
    <row r="20" spans="1:6" x14ac:dyDescent="0.4">
      <c r="A20" t="s">
        <v>121</v>
      </c>
      <c r="B20" t="s">
        <v>122</v>
      </c>
      <c r="C20">
        <v>176330</v>
      </c>
      <c r="D20">
        <v>117235</v>
      </c>
      <c r="F20" s="1">
        <f>DATE(
RIGHT(B20,4),
MATCH(
MID(B20,FIND("- ",B20)+2,FIND(" ",B20,FIND("- ",B20)+2)-FIND("- ",B20)-2),
{"Janvier";"Février";"Mars";"Avril";"Mai";"Juin";"Juillet";"Août";"Septembre";"Octobre";"Novembre";"Décembre"},
0),
1)</f>
        <v>40725</v>
      </c>
    </row>
    <row r="21" spans="1:6" x14ac:dyDescent="0.4">
      <c r="A21" t="s">
        <v>640</v>
      </c>
      <c r="B21" t="s">
        <v>641</v>
      </c>
      <c r="C21">
        <v>193854</v>
      </c>
      <c r="D21">
        <v>122904</v>
      </c>
      <c r="F21" s="1">
        <f>DATE(
RIGHT(B21,4),
MATCH(
MID(B21,FIND("- ",B21)+2,FIND(" ",B21,FIND("- ",B21)+2)-FIND("- ",B21)-2),
{"Janvier";"Février";"Mars";"Avril";"Mai";"Juin";"Juillet";"Août";"Septembre";"Octobre";"Novembre";"Décembre"},
0),
1)</f>
        <v>40756</v>
      </c>
    </row>
    <row r="22" spans="1:6" x14ac:dyDescent="0.4">
      <c r="A22" t="s">
        <v>516</v>
      </c>
      <c r="B22" t="s">
        <v>517</v>
      </c>
      <c r="C22">
        <v>214712</v>
      </c>
      <c r="D22">
        <v>151997</v>
      </c>
      <c r="F22" s="1">
        <f>DATE(
RIGHT(B22,4),
MATCH(
MID(B22,FIND("- ",B22)+2,FIND(" ",B22,FIND("- ",B22)+2)-FIND("- ",B22)-2),
{"Janvier";"Février";"Mars";"Avril";"Mai";"Juin";"Juillet";"Août";"Septembre";"Octobre";"Novembre";"Décembre"},
0),
1)</f>
        <v>40787</v>
      </c>
    </row>
    <row r="23" spans="1:6" x14ac:dyDescent="0.4">
      <c r="A23" t="s">
        <v>93</v>
      </c>
      <c r="B23" t="s">
        <v>94</v>
      </c>
      <c r="C23">
        <v>249393</v>
      </c>
      <c r="D23">
        <v>167749</v>
      </c>
      <c r="F23" s="1">
        <f>DATE(
RIGHT(B23,4),
MATCH(
MID(B23,FIND("- ",B23)+2,FIND(" ",B23,FIND("- ",B23)+2)-FIND("- ",B23)-2),
{"Janvier";"Février";"Mars";"Avril";"Mai";"Juin";"Juillet";"Août";"Septembre";"Octobre";"Novembre";"Décembre"},
0),
1)</f>
        <v>40817</v>
      </c>
    </row>
    <row r="24" spans="1:6" x14ac:dyDescent="0.4">
      <c r="A24" t="s">
        <v>760</v>
      </c>
      <c r="B24" t="s">
        <v>761</v>
      </c>
      <c r="C24">
        <v>267951</v>
      </c>
      <c r="D24">
        <v>179663</v>
      </c>
      <c r="F24" s="1">
        <f>DATE(
RIGHT(B24,4),
MATCH(
MID(B24,FIND("- ",B24)+2,FIND(" ",B24,FIND("- ",B24)+2)-FIND("- ",B24)-2),
{"Janvier";"Février";"Mars";"Avril";"Mai";"Juin";"Juillet";"Août";"Septembre";"Octobre";"Novembre";"Décembre"},
0),
1)</f>
        <v>40848</v>
      </c>
    </row>
    <row r="25" spans="1:6" x14ac:dyDescent="0.4">
      <c r="A25" t="s">
        <v>540</v>
      </c>
      <c r="B25" t="s">
        <v>541</v>
      </c>
      <c r="C25">
        <v>290970</v>
      </c>
      <c r="D25">
        <v>202008</v>
      </c>
      <c r="F25" s="1">
        <f>DATE(
RIGHT(B25,4),
MATCH(
MID(B25,FIND("- ",B25)+2,FIND(" ",B25,FIND("- ",B25)+2)-FIND("- ",B25)-2),
{"Janvier";"Février";"Mars";"Avril";"Mai";"Juin";"Juillet";"Août";"Septembre";"Octobre";"Novembre";"Décembre"},
0),
1)</f>
        <v>40878</v>
      </c>
    </row>
    <row r="26" spans="1:6" x14ac:dyDescent="0.4">
      <c r="A26" t="s">
        <v>468</v>
      </c>
      <c r="B26" t="s">
        <v>469</v>
      </c>
      <c r="C26">
        <v>68156</v>
      </c>
      <c r="D26">
        <v>49115</v>
      </c>
      <c r="F26" s="1">
        <f>DATE(
RIGHT(B26,4),
MATCH(
MID(B26,FIND("- ",B26)+2,FIND(" ",B26,FIND("- ",B26)+2)-FIND("- ",B26)-2),
{"Janvier";"Février";"Mars";"Avril";"Mai";"Juin";"Juillet";"Août";"Septembre";"Octobre";"Novembre";"Décembre"},
0),
1)</f>
        <v>40969</v>
      </c>
    </row>
    <row r="27" spans="1:6" x14ac:dyDescent="0.4">
      <c r="A27" t="s">
        <v>396</v>
      </c>
      <c r="B27" t="s">
        <v>397</v>
      </c>
      <c r="F27" s="1">
        <f>DATE(
RIGHT(B27,4),
MATCH(
MID(B27,FIND("- ",B27)+2,FIND(" ",B27,FIND("- ",B27)+2)-FIND("- ",B27)-2),
{"Janvier";"Février";"Mars";"Avril";"Mai";"Juin";"Juillet";"Août";"Septembre";"Octobre";"Novembre";"Décembre"},
0),
1)</f>
        <v>40878</v>
      </c>
    </row>
    <row r="28" spans="1:6" x14ac:dyDescent="0.4">
      <c r="A28" t="s">
        <v>684</v>
      </c>
      <c r="B28" t="s">
        <v>685</v>
      </c>
      <c r="C28">
        <v>109094</v>
      </c>
      <c r="D28">
        <v>66433</v>
      </c>
      <c r="F28" s="1">
        <f>DATE(
RIGHT(B28,4),
MATCH(
MID(B28,FIND("- ",B28)+2,FIND(" ",B28,FIND("- ",B28)+2)-FIND("- ",B28)-2),
{"Janvier";"Février";"Mars";"Avril";"Mai";"Juin";"Juillet";"Août";"Septembre";"Octobre";"Novembre";"Décembre"},
0),
1)</f>
        <v>41000</v>
      </c>
    </row>
    <row r="29" spans="1:6" x14ac:dyDescent="0.4">
      <c r="A29" t="s">
        <v>157</v>
      </c>
      <c r="B29" t="s">
        <v>158</v>
      </c>
      <c r="C29">
        <v>49280</v>
      </c>
      <c r="D29">
        <v>31024</v>
      </c>
      <c r="F29" s="1">
        <f>DATE(
RIGHT(B29,4),
MATCH(
MID(B29,FIND("- ",B29)+2,FIND(" ",B29,FIND("- ",B29)+2)-FIND("- ",B29)-2),
{"Janvier";"Février";"Mars";"Avril";"Mai";"Juin";"Juillet";"Août";"Septembre";"Octobre";"Novembre";"Décembre"},
0),
1)</f>
        <v>40940</v>
      </c>
    </row>
    <row r="30" spans="1:6" x14ac:dyDescent="0.4">
      <c r="A30" t="s">
        <v>153</v>
      </c>
      <c r="B30" t="s">
        <v>154</v>
      </c>
      <c r="C30">
        <v>126708</v>
      </c>
      <c r="D30">
        <v>78389</v>
      </c>
      <c r="F30" s="1">
        <f>DATE(
RIGHT(B30,4),
MATCH(
MID(B30,FIND("- ",B30)+2,FIND(" ",B30,FIND("- ",B30)+2)-FIND("- ",B30)-2),
{"Janvier";"Février";"Mars";"Avril";"Mai";"Juin";"Juillet";"Août";"Septembre";"Octobre";"Novembre";"Décembre"},
0),
1)</f>
        <v>41030</v>
      </c>
    </row>
    <row r="31" spans="1:6" x14ac:dyDescent="0.4">
      <c r="A31" t="s">
        <v>680</v>
      </c>
      <c r="B31" t="s">
        <v>681</v>
      </c>
      <c r="C31">
        <v>146495</v>
      </c>
      <c r="D31">
        <v>106598</v>
      </c>
      <c r="F31" s="1">
        <f>DATE(
RIGHT(B31,4),
MATCH(
MID(B31,FIND("- ",B31)+2,FIND(" ",B31,FIND("- ",B31)+2)-FIND("- ",B31)-2),
{"Janvier";"Février";"Mars";"Avril";"Mai";"Juin";"Juillet";"Août";"Septembre";"Octobre";"Novembre";"Décembre"},
0),
1)</f>
        <v>41061</v>
      </c>
    </row>
    <row r="32" spans="1:6" x14ac:dyDescent="0.4">
      <c r="A32" t="s">
        <v>117</v>
      </c>
      <c r="B32" t="s">
        <v>118</v>
      </c>
      <c r="C32">
        <v>181191</v>
      </c>
      <c r="D32">
        <v>117432</v>
      </c>
      <c r="F32" s="1">
        <f>DATE(
RIGHT(B32,4),
MATCH(
MID(B32,FIND("- ",B32)+2,FIND(" ",B32,FIND("- ",B32)+2)-FIND("- ",B32)-2),
{"Janvier";"Février";"Mars";"Avril";"Mai";"Juin";"Juillet";"Août";"Septembre";"Octobre";"Novembre";"Décembre"},
0),
1)</f>
        <v>41091</v>
      </c>
    </row>
    <row r="33" spans="1:6" x14ac:dyDescent="0.4">
      <c r="A33" t="s">
        <v>612</v>
      </c>
      <c r="B33" t="s">
        <v>613</v>
      </c>
      <c r="C33">
        <v>26935</v>
      </c>
      <c r="D33">
        <v>17457</v>
      </c>
      <c r="F33" s="1">
        <f>DATE(
RIGHT(B33,4),
MATCH(
MID(B33,FIND("- ",B33)+2,FIND(" ",B33,FIND("- ",B33)+2)-FIND("- ",B33)-2),
{"Janvier";"Février";"Mars";"Avril";"Mai";"Juin";"Juillet";"Août";"Septembre";"Octobre";"Novembre";"Décembre"},
0),
1)</f>
        <v>40909</v>
      </c>
    </row>
    <row r="34" spans="1:6" x14ac:dyDescent="0.4">
      <c r="A34" t="s">
        <v>756</v>
      </c>
      <c r="B34" t="s">
        <v>757</v>
      </c>
      <c r="C34">
        <v>197963</v>
      </c>
      <c r="D34">
        <v>126979</v>
      </c>
      <c r="F34" s="1">
        <f>DATE(
RIGHT(B34,4),
MATCH(
MID(B34,FIND("- ",B34)+2,FIND(" ",B34,FIND("- ",B34)+2)-FIND("- ",B34)-2),
{"Janvier";"Février";"Mars";"Avril";"Mai";"Juin";"Juillet";"Août";"Septembre";"Octobre";"Novembre";"Décembre"},
0),
1)</f>
        <v>41122</v>
      </c>
    </row>
    <row r="35" spans="1:6" x14ac:dyDescent="0.4">
      <c r="A35" t="s">
        <v>712</v>
      </c>
      <c r="B35" t="s">
        <v>713</v>
      </c>
      <c r="C35">
        <v>217127</v>
      </c>
      <c r="D35">
        <v>155463</v>
      </c>
      <c r="F35" s="1">
        <f>DATE(
RIGHT(B35,4),
MATCH(
MID(B35,FIND("- ",B35)+2,FIND(" ",B35,FIND("- ",B35)+2)-FIND("- ",B35)-2),
{"Janvier";"Février";"Mars";"Avril";"Mai";"Juin";"Juillet";"Août";"Septembre";"Octobre";"Novembre";"Décembre"},
0),
1)</f>
        <v>41153</v>
      </c>
    </row>
    <row r="36" spans="1:6" x14ac:dyDescent="0.4">
      <c r="A36" t="s">
        <v>248</v>
      </c>
      <c r="B36" t="s">
        <v>249</v>
      </c>
      <c r="C36">
        <v>258257</v>
      </c>
      <c r="D36">
        <v>169159</v>
      </c>
      <c r="F36" s="1">
        <f>DATE(
RIGHT(B36,4),
MATCH(
MID(B36,FIND("- ",B36)+2,FIND(" ",B36,FIND("- ",B36)+2)-FIND("- ",B36)-2),
{"Janvier";"Février";"Mars";"Avril";"Mai";"Juin";"Juillet";"Août";"Septembre";"Octobre";"Novembre";"Décembre"},
0),
1)</f>
        <v>41183</v>
      </c>
    </row>
    <row r="37" spans="1:6" x14ac:dyDescent="0.4">
      <c r="A37" t="s">
        <v>340</v>
      </c>
      <c r="B37" t="s">
        <v>341</v>
      </c>
      <c r="C37">
        <v>278934</v>
      </c>
      <c r="D37">
        <v>182067</v>
      </c>
      <c r="F37" s="1">
        <f>DATE(
RIGHT(B37,4),
MATCH(
MID(B37,FIND("- ",B37)+2,FIND(" ",B37,FIND("- ",B37)+2)-FIND("- ",B37)-2),
{"Janvier";"Février";"Mars";"Avril";"Mai";"Juin";"Juillet";"Août";"Septembre";"Octobre";"Novembre";"Décembre"},
0),
1)</f>
        <v>41214</v>
      </c>
    </row>
    <row r="38" spans="1:6" x14ac:dyDescent="0.4">
      <c r="A38" t="s">
        <v>89</v>
      </c>
      <c r="B38" t="s">
        <v>90</v>
      </c>
      <c r="C38">
        <v>49992</v>
      </c>
      <c r="D38">
        <v>29659</v>
      </c>
      <c r="F38" s="1">
        <f>DATE(
RIGHT(B38,4),
MATCH(
MID(B38,FIND("- ",B38)+2,FIND(" ",B38,FIND("- ",B38)+2)-FIND("- ",B38)-2),
{"Janvier";"Février";"Mars";"Avril";"Mai";"Juin";"Juillet";"Août";"Septembre";"Octobre";"Novembre";"Décembre"},
0),
1)</f>
        <v>41306</v>
      </c>
    </row>
    <row r="39" spans="1:6" x14ac:dyDescent="0.4">
      <c r="A39" t="s">
        <v>440</v>
      </c>
      <c r="B39" t="s">
        <v>441</v>
      </c>
      <c r="C39">
        <v>25812</v>
      </c>
      <c r="D39">
        <v>15586</v>
      </c>
      <c r="F39" s="1">
        <f>DATE(
RIGHT(B39,4),
MATCH(
MID(B39,FIND("- ",B39)+2,FIND(" ",B39,FIND("- ",B39)+2)-FIND("- ",B39)-2),
{"Janvier";"Février";"Mars";"Avril";"Mai";"Juin";"Juillet";"Août";"Septembre";"Octobre";"Novembre";"Décembre"},
0),
1)</f>
        <v>41275</v>
      </c>
    </row>
    <row r="40" spans="1:6" x14ac:dyDescent="0.4">
      <c r="A40" t="s">
        <v>572</v>
      </c>
      <c r="B40" t="s">
        <v>573</v>
      </c>
      <c r="C40">
        <v>70405</v>
      </c>
      <c r="D40">
        <v>49783</v>
      </c>
      <c r="F40" s="1">
        <f>DATE(
RIGHT(B40,4),
MATCH(
MID(B40,FIND("- ",B40)+2,FIND(" ",B40,FIND("- ",B40)+2)-FIND("- ",B40)-2),
{"Janvier";"Février";"Mars";"Avril";"Mai";"Juin";"Juillet";"Août";"Septembre";"Octobre";"Novembre";"Décembre"},
0),
1)</f>
        <v>41334</v>
      </c>
    </row>
    <row r="41" spans="1:6" x14ac:dyDescent="0.4">
      <c r="A41" t="s">
        <v>149</v>
      </c>
      <c r="B41" t="s">
        <v>150</v>
      </c>
      <c r="F41" s="1">
        <f>DATE(
RIGHT(B41,4),
MATCH(
MID(B41,FIND("- ",B41)+2,FIND(" ",B41,FIND("- ",B41)+2)-FIND("- ",B41)-2),
{"Janvier";"Février";"Mars";"Avril";"Mai";"Juin";"Juillet";"Août";"Septembre";"Octobre";"Novembre";"Décembre"},
0),
1)</f>
        <v>41244</v>
      </c>
    </row>
    <row r="42" spans="1:6" x14ac:dyDescent="0.4">
      <c r="A42" t="s">
        <v>708</v>
      </c>
      <c r="B42" t="s">
        <v>709</v>
      </c>
      <c r="C42">
        <v>115152</v>
      </c>
      <c r="D42">
        <v>65538</v>
      </c>
      <c r="F42" s="1">
        <f>DATE(
RIGHT(B42,4),
MATCH(
MID(B42,FIND("- ",B42)+2,FIND(" ",B42,FIND("- ",B42)+2)-FIND("- ",B42)-2),
{"Janvier";"Février";"Mars";"Avril";"Mai";"Juin";"Juillet";"Août";"Septembre";"Octobre";"Novembre";"Décembre"},
0),
1)</f>
        <v>41365</v>
      </c>
    </row>
    <row r="43" spans="1:6" x14ac:dyDescent="0.4">
      <c r="A43" t="s">
        <v>752</v>
      </c>
      <c r="B43" t="s">
        <v>753</v>
      </c>
      <c r="C43">
        <v>134985</v>
      </c>
      <c r="D43">
        <v>83196</v>
      </c>
      <c r="F43" s="1">
        <f>DATE(
RIGHT(B43,4),
MATCH(
MID(B43,FIND("- ",B43)+2,FIND(" ",B43,FIND("- ",B43)+2)-FIND("- ",B43)-2),
{"Janvier";"Février";"Mars";"Avril";"Mai";"Juin";"Juillet";"Août";"Septembre";"Octobre";"Novembre";"Décembre"},
0),
1)</f>
        <v>41395</v>
      </c>
    </row>
    <row r="44" spans="1:6" x14ac:dyDescent="0.4">
      <c r="A44" t="s">
        <v>392</v>
      </c>
      <c r="B44" t="s">
        <v>393</v>
      </c>
      <c r="C44">
        <v>155132</v>
      </c>
      <c r="D44">
        <v>111580</v>
      </c>
      <c r="F44" s="1">
        <f>DATE(
RIGHT(B44,4),
MATCH(
MID(B44,FIND("- ",B44)+2,FIND(" ",B44,FIND("- ",B44)+2)-FIND("- ",B44)-2),
{"Janvier";"Février";"Mars";"Avril";"Mai";"Juin";"Juillet";"Août";"Septembre";"Octobre";"Novembre";"Décembre"},
0),
1)</f>
        <v>41426</v>
      </c>
    </row>
    <row r="45" spans="1:6" x14ac:dyDescent="0.4">
      <c r="A45" t="s">
        <v>85</v>
      </c>
      <c r="B45" t="s">
        <v>86</v>
      </c>
      <c r="C45">
        <v>187656</v>
      </c>
      <c r="D45">
        <v>128653</v>
      </c>
      <c r="F45" s="1">
        <f>DATE(
RIGHT(B45,4),
MATCH(
MID(B45,FIND("- ",B45)+2,FIND(" ",B45,FIND("- ",B45)+2)-FIND("- ",B45)-2),
{"Janvier";"Février";"Mars";"Avril";"Mai";"Juin";"Juillet";"Août";"Septembre";"Octobre";"Novembre";"Décembre"},
0),
1)</f>
        <v>41456</v>
      </c>
    </row>
    <row r="46" spans="1:6" x14ac:dyDescent="0.4">
      <c r="A46" t="s">
        <v>488</v>
      </c>
      <c r="B46" t="s">
        <v>489</v>
      </c>
      <c r="C46">
        <v>203584</v>
      </c>
      <c r="D46">
        <v>136861</v>
      </c>
      <c r="F46" s="1">
        <f>DATE(
RIGHT(B46,4),
MATCH(
MID(B46,FIND("- ",B46)+2,FIND(" ",B46,FIND("- ",B46)+2)-FIND("- ",B46)-2),
{"Janvier";"Février";"Mars";"Avril";"Mai";"Juin";"Juillet";"Août";"Septembre";"Octobre";"Novembre";"Décembre"},
0),
1)</f>
        <v>41487</v>
      </c>
    </row>
    <row r="47" spans="1:6" x14ac:dyDescent="0.4">
      <c r="A47" t="s">
        <v>484</v>
      </c>
      <c r="B47" t="s">
        <v>485</v>
      </c>
      <c r="C47">
        <v>222769</v>
      </c>
      <c r="D47">
        <v>165885</v>
      </c>
      <c r="F47" s="1">
        <f>DATE(
RIGHT(B47,4),
MATCH(
MID(B47,FIND("- ",B47)+2,FIND(" ",B47,FIND("- ",B47)+2)-FIND("- ",B47)-2),
{"Janvier";"Février";"Mars";"Avril";"Mai";"Juin";"Juillet";"Août";"Septembre";"Octobre";"Novembre";"Décembre"},
0),
1)</f>
        <v>41518</v>
      </c>
    </row>
    <row r="48" spans="1:6" x14ac:dyDescent="0.4">
      <c r="A48" t="s">
        <v>57</v>
      </c>
      <c r="B48" t="s">
        <v>58</v>
      </c>
      <c r="C48">
        <v>299535</v>
      </c>
      <c r="D48">
        <v>211370</v>
      </c>
      <c r="F48" s="1">
        <f>DATE(
RIGHT(B48,4),
MATCH(
MID(B48,FIND("- ",B48)+2,FIND(" ",B48,FIND("- ",B48)+2)-FIND("- ",B48)-2),
{"Janvier";"Février";"Mars";"Avril";"Mai";"Juin";"Juillet";"Août";"Septembre";"Octobre";"Novembre";"Décembre"},
0),
1)</f>
        <v>41244</v>
      </c>
    </row>
    <row r="49" spans="1:6" x14ac:dyDescent="0.4">
      <c r="A49" t="s">
        <v>181</v>
      </c>
      <c r="B49" t="s">
        <v>182</v>
      </c>
      <c r="C49">
        <v>259902</v>
      </c>
      <c r="D49">
        <v>178826</v>
      </c>
      <c r="F49" s="1">
        <f>DATE(
RIGHT(B49,4),
MATCH(
MID(B49,FIND("- ",B49)+2,FIND(" ",B49,FIND("- ",B49)+2)-FIND("- ",B49)-2),
{"Janvier";"Février";"Mars";"Avril";"Mai";"Juin";"Juillet";"Août";"Septembre";"Octobre";"Novembre";"Décembre"},
0),
1)</f>
        <v>41548</v>
      </c>
    </row>
    <row r="50" spans="1:6" x14ac:dyDescent="0.4">
      <c r="A50" t="s">
        <v>296</v>
      </c>
      <c r="B50" t="s">
        <v>297</v>
      </c>
      <c r="C50">
        <v>278124</v>
      </c>
      <c r="D50">
        <v>193075</v>
      </c>
      <c r="F50" s="1">
        <f>DATE(
RIGHT(B50,4),
MATCH(
MID(B50,FIND("- ",B50)+2,FIND(" ",B50,FIND("- ",B50)+2)-FIND("- ",B50)-2),
{"Janvier";"Février";"Mars";"Avril";"Mai";"Juin";"Juillet";"Août";"Septembre";"Octobre";"Novembre";"Décembre"},
0),
1)</f>
        <v>41579</v>
      </c>
    </row>
    <row r="51" spans="1:6" x14ac:dyDescent="0.4">
      <c r="A51" t="s">
        <v>388</v>
      </c>
      <c r="B51" t="s">
        <v>389</v>
      </c>
      <c r="C51">
        <v>298653</v>
      </c>
      <c r="D51">
        <v>223218</v>
      </c>
      <c r="F51" s="1">
        <f>DATE(
RIGHT(B51,4),
MATCH(
MID(B51,FIND("- ",B51)+2,FIND(" ",B51,FIND("- ",B51)+2)-FIND("- ",B51)-2),
{"Janvier";"Février";"Mars";"Avril";"Mai";"Juin";"Juillet";"Août";"Septembre";"Octobre";"Novembre";"Décembre"},
0),
1)</f>
        <v>41609</v>
      </c>
    </row>
    <row r="52" spans="1:6" x14ac:dyDescent="0.4">
      <c r="A52" t="s">
        <v>29</v>
      </c>
      <c r="B52" t="s">
        <v>30</v>
      </c>
      <c r="C52">
        <v>27016</v>
      </c>
      <c r="D52">
        <v>17619</v>
      </c>
      <c r="F52" s="1">
        <f>DATE(
RIGHT(B52,4),
MATCH(
MID(B52,FIND("- ",B52)+2,FIND(" ",B52,FIND("- ",B52)+2)-FIND("- ",B52)-2),
{"Janvier";"Février";"Mars";"Avril";"Mai";"Juin";"Juillet";"Août";"Septembre";"Octobre";"Novembre";"Décembre"},
0),
1)</f>
        <v>41640</v>
      </c>
    </row>
    <row r="53" spans="1:6" x14ac:dyDescent="0.4">
      <c r="A53" t="s">
        <v>512</v>
      </c>
      <c r="B53" t="s">
        <v>513</v>
      </c>
      <c r="C53">
        <v>50616</v>
      </c>
      <c r="D53">
        <v>32646</v>
      </c>
      <c r="F53" s="1">
        <f>DATE(
RIGHT(B53,4),
MATCH(
MID(B53,FIND("- ",B53)+2,FIND(" ",B53,FIND("- ",B53)+2)-FIND("- ",B53)-2),
{"Janvier";"Février";"Mars";"Avril";"Mai";"Juin";"Juillet";"Août";"Septembre";"Octobre";"Novembre";"Décembre"},
0),
1)</f>
        <v>41671</v>
      </c>
    </row>
    <row r="54" spans="1:6" x14ac:dyDescent="0.4">
      <c r="A54" t="s">
        <v>177</v>
      </c>
      <c r="B54" t="s">
        <v>178</v>
      </c>
      <c r="C54">
        <v>69133</v>
      </c>
      <c r="D54">
        <v>54141</v>
      </c>
      <c r="F54" s="1">
        <f>DATE(
RIGHT(B54,4),
MATCH(
MID(B54,FIND("- ",B54)+2,FIND(" ",B54,FIND("- ",B54)+2)-FIND("- ",B54)-2),
{"Janvier";"Février";"Mars";"Avril";"Mai";"Juin";"Juillet";"Août";"Septembre";"Octobre";"Novembre";"Décembre"},
0),
1)</f>
        <v>41699</v>
      </c>
    </row>
    <row r="55" spans="1:6" x14ac:dyDescent="0.4">
      <c r="A55" t="s">
        <v>464</v>
      </c>
      <c r="B55" t="s">
        <v>465</v>
      </c>
      <c r="C55">
        <v>113493</v>
      </c>
      <c r="D55">
        <v>67924</v>
      </c>
      <c r="F55" s="1">
        <f>DATE(
RIGHT(B55,4),
MATCH(
MID(B55,FIND("- ",B55)+2,FIND(" ",B55,FIND("- ",B55)+2)-FIND("- ",B55)-2),
{"Janvier";"Février";"Mars";"Avril";"Mai";"Juin";"Juillet";"Août";"Septembre";"Octobre";"Novembre";"Décembre"},
0),
1)</f>
        <v>41730</v>
      </c>
    </row>
    <row r="56" spans="1:6" x14ac:dyDescent="0.4">
      <c r="A56" t="s">
        <v>704</v>
      </c>
      <c r="B56" t="s">
        <v>705</v>
      </c>
      <c r="F56" s="1">
        <f>DATE(
RIGHT(B56,4),
MATCH(
MID(B56,FIND("- ",B56)+2,FIND(" ",B56,FIND("- ",B56)+2)-FIND("- ",B56)-2),
{"Janvier";"Février";"Mars";"Avril";"Mai";"Juin";"Juillet";"Août";"Septembre";"Octobre";"Novembre";"Décembre"},
0),
1)</f>
        <v>41609</v>
      </c>
    </row>
    <row r="57" spans="1:6" x14ac:dyDescent="0.4">
      <c r="A57" t="s">
        <v>536</v>
      </c>
      <c r="B57" t="s">
        <v>537</v>
      </c>
      <c r="C57">
        <v>134514</v>
      </c>
      <c r="D57">
        <v>91854</v>
      </c>
      <c r="F57" s="1">
        <f>DATE(
RIGHT(B57,4),
MATCH(
MID(B57,FIND("- ",B57)+2,FIND(" ",B57,FIND("- ",B57)+2)-FIND("- ",B57)-2),
{"Janvier";"Février";"Mars";"Avril";"Mai";"Juin";"Juillet";"Août";"Septembre";"Octobre";"Novembre";"Décembre"},
0),
1)</f>
        <v>41760</v>
      </c>
    </row>
    <row r="58" spans="1:6" x14ac:dyDescent="0.4">
      <c r="A58" t="s">
        <v>608</v>
      </c>
      <c r="B58" t="s">
        <v>609</v>
      </c>
      <c r="C58">
        <v>153852</v>
      </c>
      <c r="D58">
        <v>111070</v>
      </c>
      <c r="F58" s="1">
        <f>DATE(
RIGHT(B58,4),
MATCH(
MID(B58,FIND("- ",B58)+2,FIND(" ",B58,FIND("- ",B58)+2)-FIND("- ",B58)-2),
{"Janvier";"Février";"Mars";"Avril";"Mai";"Juin";"Juillet";"Août";"Septembre";"Octobre";"Novembre";"Décembre"},
0),
1)</f>
        <v>41791</v>
      </c>
    </row>
    <row r="59" spans="1:6" x14ac:dyDescent="0.4">
      <c r="A59" t="s">
        <v>508</v>
      </c>
      <c r="B59" t="s">
        <v>509</v>
      </c>
      <c r="C59">
        <v>186563</v>
      </c>
      <c r="D59">
        <v>123167</v>
      </c>
      <c r="F59" s="1">
        <f>DATE(
RIGHT(B59,4),
MATCH(
MID(B59,FIND("- ",B59)+2,FIND(" ",B59,FIND("- ",B59)+2)-FIND("- ",B59)-2),
{"Janvier";"Février";"Mars";"Avril";"Mai";"Juin";"Juillet";"Août";"Septembre";"Octobre";"Novembre";"Décembre"},
0),
1)</f>
        <v>41821</v>
      </c>
    </row>
    <row r="60" spans="1:6" x14ac:dyDescent="0.4">
      <c r="A60" t="s">
        <v>460</v>
      </c>
      <c r="B60" t="s">
        <v>461</v>
      </c>
      <c r="C60">
        <v>201570</v>
      </c>
      <c r="D60">
        <v>133805</v>
      </c>
      <c r="F60" s="1">
        <f>DATE(
RIGHT(B60,4),
MATCH(
MID(B60,FIND("- ",B60)+2,FIND(" ",B60,FIND("- ",B60)+2)-FIND("- ",B60)-2),
{"Janvier";"Février";"Mars";"Avril";"Mai";"Juin";"Juillet";"Août";"Septembre";"Octobre";"Novembre";"Décembre"},
0),
1)</f>
        <v>41852</v>
      </c>
    </row>
    <row r="61" spans="1:6" x14ac:dyDescent="0.4">
      <c r="A61" t="s">
        <v>504</v>
      </c>
      <c r="B61" t="s">
        <v>505</v>
      </c>
      <c r="C61">
        <v>220977</v>
      </c>
      <c r="D61">
        <v>163738</v>
      </c>
      <c r="F61" s="1">
        <f>DATE(
RIGHT(B61,4),
MATCH(
MID(B61,FIND("- ",B61)+2,FIND(" ",B61,FIND("- ",B61)+2)-FIND("- ",B61)-2),
{"Janvier";"Février";"Mars";"Avril";"Mai";"Juin";"Juillet";"Août";"Septembre";"Octobre";"Novembre";"Décembre"},
0),
1)</f>
        <v>41883</v>
      </c>
    </row>
    <row r="62" spans="1:6" x14ac:dyDescent="0.4">
      <c r="A62" t="s">
        <v>292</v>
      </c>
      <c r="B62" t="s">
        <v>293</v>
      </c>
      <c r="C62">
        <v>255523</v>
      </c>
      <c r="D62">
        <v>175263</v>
      </c>
      <c r="F62" s="1">
        <f>DATE(
RIGHT(B62,4),
MATCH(
MID(B62,FIND("- ",B62)+2,FIND(" ",B62,FIND("- ",B62)+2)-FIND("- ",B62)-2),
{"Janvier";"Février";"Mars";"Avril";"Mai";"Juin";"Juillet";"Août";"Septembre";"Octobre";"Novembre";"Décembre"},
0),
1)</f>
        <v>41913</v>
      </c>
    </row>
    <row r="63" spans="1:6" x14ac:dyDescent="0.4">
      <c r="A63" t="s">
        <v>811</v>
      </c>
      <c r="B63" t="s">
        <v>812</v>
      </c>
      <c r="C63">
        <v>273952</v>
      </c>
      <c r="D63">
        <v>186987</v>
      </c>
      <c r="F63" s="1">
        <f>DATE(
RIGHT(B63,4),
MATCH(
MID(B63,FIND("- ",B63)+2,FIND(" ",B63,FIND("- ",B63)+2)-FIND("- ",B63)-2),
{"Janvier";"Février";"Mars";"Avril";"Mai";"Juin";"Juillet";"Août";"Septembre";"Octobre";"Novembre";"Décembre"},
0),
1)</f>
        <v>41944</v>
      </c>
    </row>
    <row r="64" spans="1:6" x14ac:dyDescent="0.4">
      <c r="A64" t="s">
        <v>205</v>
      </c>
      <c r="B64" t="s">
        <v>206</v>
      </c>
      <c r="C64">
        <v>302883</v>
      </c>
      <c r="D64">
        <v>217197</v>
      </c>
      <c r="F64" s="1">
        <f>DATE(
RIGHT(B64,4),
MATCH(
MID(B64,FIND("- ",B64)+2,FIND(" ",B64,FIND("- ",B64)+2)-FIND("- ",B64)-2),
{"Janvier";"Février";"Mars";"Avril";"Mai";"Juin";"Juillet";"Août";"Septembre";"Octobre";"Novembre";"Décembre"},
0),
1)</f>
        <v>41974</v>
      </c>
    </row>
    <row r="65" spans="1:6" x14ac:dyDescent="0.4">
      <c r="A65" t="s">
        <v>288</v>
      </c>
      <c r="B65" t="s">
        <v>289</v>
      </c>
      <c r="C65">
        <v>25905</v>
      </c>
      <c r="D65">
        <v>19579</v>
      </c>
      <c r="F65" s="1">
        <f>DATE(
RIGHT(B65,4),
MATCH(
MID(B65,FIND("- ",B65)+2,FIND(" ",B65,FIND("- ",B65)+2)-FIND("- ",B65)-2),
{"Janvier";"Février";"Mars";"Avril";"Mai";"Juin";"Juillet";"Août";"Septembre";"Octobre";"Novembre";"Décembre"},
0),
1)</f>
        <v>42005</v>
      </c>
    </row>
    <row r="66" spans="1:6" x14ac:dyDescent="0.4">
      <c r="A66" t="s">
        <v>532</v>
      </c>
      <c r="B66" t="s">
        <v>533</v>
      </c>
      <c r="C66">
        <v>50720</v>
      </c>
      <c r="D66">
        <v>34457</v>
      </c>
      <c r="F66" s="1">
        <f>DATE(
RIGHT(B66,4),
MATCH(
MID(B66,FIND("- ",B66)+2,FIND(" ",B66,FIND("- ",B66)+2)-FIND("- ",B66)-2),
{"Janvier";"Février";"Mars";"Avril";"Mai";"Juin";"Juillet";"Août";"Septembre";"Octobre";"Novembre";"Décembre"},
0),
1)</f>
        <v>42036</v>
      </c>
    </row>
    <row r="67" spans="1:6" x14ac:dyDescent="0.4">
      <c r="A67" t="s">
        <v>25</v>
      </c>
      <c r="B67" t="s">
        <v>26</v>
      </c>
      <c r="C67">
        <v>69629</v>
      </c>
      <c r="D67">
        <v>55350</v>
      </c>
      <c r="F67" s="1">
        <f>DATE(
RIGHT(B67,4),
MATCH(
MID(B67,FIND("- ",B67)+2,FIND(" ",B67,FIND("- ",B67)+2)-FIND("- ",B67)-2),
{"Janvier";"Février";"Mars";"Avril";"Mai";"Juin";"Juillet";"Août";"Septembre";"Octobre";"Novembre";"Décembre"},
0),
1)</f>
        <v>42064</v>
      </c>
    </row>
    <row r="68" spans="1:6" x14ac:dyDescent="0.4">
      <c r="A68" t="s">
        <v>700</v>
      </c>
      <c r="B68" t="s">
        <v>701</v>
      </c>
      <c r="F68" s="1">
        <f>DATE(
RIGHT(B68,4),
MATCH(
MID(B68,FIND("- ",B68)+2,FIND(" ",B68,FIND("- ",B68)+2)-FIND("- ",B68)-2),
{"Janvier";"Février";"Mars";"Avril";"Mai";"Juin";"Juillet";"Août";"Septembre";"Octobre";"Novembre";"Décembre"},
0),
1)</f>
        <v>41974</v>
      </c>
    </row>
    <row r="69" spans="1:6" x14ac:dyDescent="0.4">
      <c r="A69" t="s">
        <v>336</v>
      </c>
      <c r="B69" t="s">
        <v>337</v>
      </c>
      <c r="C69">
        <v>110749</v>
      </c>
      <c r="D69">
        <v>69099</v>
      </c>
      <c r="F69" s="1">
        <f>DATE(
RIGHT(B69,4),
MATCH(
MID(B69,FIND("- ",B69)+2,FIND(" ",B69,FIND("- ",B69)+2)-FIND("- ",B69)-2),
{"Janvier";"Février";"Mars";"Avril";"Mai";"Juin";"Juillet";"Août";"Septembre";"Octobre";"Novembre";"Décembre"},
0),
1)</f>
        <v>42095</v>
      </c>
    </row>
    <row r="70" spans="1:6" x14ac:dyDescent="0.4">
      <c r="A70" t="s">
        <v>332</v>
      </c>
      <c r="B70" t="s">
        <v>333</v>
      </c>
      <c r="C70">
        <v>134861</v>
      </c>
      <c r="D70">
        <v>92623</v>
      </c>
      <c r="F70" s="1">
        <f>DATE(
RIGHT(B70,4),
MATCH(
MID(B70,FIND("- ",B70)+2,FIND(" ",B70,FIND("- ",B70)+2)-FIND("- ",B70)-2),
{"Janvier";"Février";"Mars";"Avril";"Mai";"Juin";"Juillet";"Août";"Septembre";"Octobre";"Novembre";"Décembre"},
0),
1)</f>
        <v>42125</v>
      </c>
    </row>
    <row r="71" spans="1:6" x14ac:dyDescent="0.4">
      <c r="A71" t="s">
        <v>229</v>
      </c>
      <c r="B71" t="s">
        <v>230</v>
      </c>
      <c r="C71">
        <v>155839</v>
      </c>
      <c r="D71">
        <v>114421</v>
      </c>
      <c r="F71" s="1">
        <f>DATE(
RIGHT(B71,4),
MATCH(
MID(B71,FIND("- ",B71)+2,FIND(" ",B71,FIND("- ",B71)+2)-FIND("- ",B71)-2),
{"Janvier";"Février";"Mars";"Avril";"Mai";"Juin";"Juillet";"Août";"Septembre";"Octobre";"Novembre";"Décembre"},
0),
1)</f>
        <v>42156</v>
      </c>
    </row>
    <row r="72" spans="1:6" x14ac:dyDescent="0.4">
      <c r="A72" t="s">
        <v>636</v>
      </c>
      <c r="B72" t="s">
        <v>637</v>
      </c>
      <c r="C72">
        <v>185067</v>
      </c>
      <c r="D72">
        <v>128781</v>
      </c>
      <c r="F72" s="1">
        <f>DATE(
RIGHT(B72,4),
MATCH(
MID(B72,FIND("- ",B72)+2,FIND(" ",B72,FIND("- ",B72)+2)-FIND("- ",B72)-2),
{"Janvier";"Février";"Mars";"Avril";"Mai";"Juin";"Juillet";"Août";"Septembre";"Octobre";"Novembre";"Décembre"},
0),
1)</f>
        <v>42186</v>
      </c>
    </row>
    <row r="73" spans="1:6" x14ac:dyDescent="0.4">
      <c r="A73" t="s">
        <v>173</v>
      </c>
      <c r="B73" t="s">
        <v>174</v>
      </c>
      <c r="C73">
        <v>200360</v>
      </c>
      <c r="D73">
        <v>139586</v>
      </c>
      <c r="F73" s="1">
        <f>DATE(
RIGHT(B73,4),
MATCH(
MID(B73,FIND("- ",B73)+2,FIND(" ",B73,FIND("- ",B73)+2)-FIND("- ",B73)-2),
{"Janvier";"Février";"Mars";"Avril";"Mai";"Juin";"Juillet";"Août";"Septembre";"Octobre";"Novembre";"Décembre"},
0),
1)</f>
        <v>42217</v>
      </c>
    </row>
    <row r="74" spans="1:6" x14ac:dyDescent="0.4">
      <c r="A74" t="s">
        <v>364</v>
      </c>
      <c r="B74" t="s">
        <v>365</v>
      </c>
      <c r="C74">
        <v>221333</v>
      </c>
      <c r="D74">
        <v>172519</v>
      </c>
      <c r="F74" s="1">
        <f>DATE(
RIGHT(B74,4),
MATCH(
MID(B74,FIND("- ",B74)+2,FIND(" ",B74,FIND("- ",B74)+2)-FIND("- ",B74)-2),
{"Janvier";"Février";"Mars";"Avril";"Mai";"Juin";"Juillet";"Août";"Septembre";"Octobre";"Novembre";"Décembre"},
0),
1)</f>
        <v>42248</v>
      </c>
    </row>
    <row r="75" spans="1:6" x14ac:dyDescent="0.4">
      <c r="A75" t="s">
        <v>284</v>
      </c>
      <c r="B75" t="s">
        <v>285</v>
      </c>
      <c r="C75">
        <v>255567</v>
      </c>
      <c r="D75">
        <v>183856</v>
      </c>
      <c r="F75" s="1">
        <f>DATE(
RIGHT(B75,4),
MATCH(
MID(B75,FIND("- ",B75)+2,FIND(" ",B75,FIND("- ",B75)+2)-FIND("- ",B75)-2),
{"Janvier";"Février";"Mars";"Avril";"Mai";"Juin";"Juillet";"Août";"Septembre";"Octobre";"Novembre";"Décembre"},
0),
1)</f>
        <v>42278</v>
      </c>
    </row>
    <row r="76" spans="1:6" x14ac:dyDescent="0.4">
      <c r="A76" t="s">
        <v>740</v>
      </c>
      <c r="B76" t="s">
        <v>741</v>
      </c>
      <c r="C76">
        <v>274026</v>
      </c>
      <c r="D76">
        <v>195742</v>
      </c>
      <c r="F76" s="1">
        <f>DATE(
RIGHT(B76,4),
MATCH(
MID(B76,FIND("- ",B76)+2,FIND(" ",B76,FIND("- ",B76)+2)-FIND("- ",B76)-2),
{"Janvier";"Février";"Mars";"Avril";"Mai";"Juin";"Juillet";"Août";"Septembre";"Octobre";"Novembre";"Décembre"},
0),
1)</f>
        <v>42309</v>
      </c>
    </row>
    <row r="77" spans="1:6" x14ac:dyDescent="0.4">
      <c r="A77" t="s">
        <v>632</v>
      </c>
      <c r="B77" t="s">
        <v>633</v>
      </c>
      <c r="C77">
        <v>301575</v>
      </c>
      <c r="D77">
        <v>229426</v>
      </c>
      <c r="F77" s="1">
        <f>DATE(
RIGHT(B77,4),
MATCH(
MID(B77,FIND("- ",B77)+2,FIND(" ",B77,FIND("- ",B77)+2)-FIND("- ",B77)-2),
{"Janvier";"Février";"Mars";"Avril";"Mai";"Juin";"Juillet";"Août";"Septembre";"Octobre";"Novembre";"Décembre"},
0),
1)</f>
        <v>42339</v>
      </c>
    </row>
    <row r="78" spans="1:6" x14ac:dyDescent="0.4">
      <c r="A78" t="s">
        <v>568</v>
      </c>
      <c r="B78" t="s">
        <v>569</v>
      </c>
      <c r="C78">
        <v>28246</v>
      </c>
      <c r="D78">
        <v>23083</v>
      </c>
      <c r="F78" s="1">
        <f>DATE(
RIGHT(B78,4),
MATCH(
MID(B78,FIND("- ",B78)+2,FIND(" ",B78,FIND("- ",B78)+2)-FIND("- ",B78)-2),
{"Janvier";"Février";"Mars";"Avril";"Mai";"Juin";"Juillet";"Août";"Septembre";"Octobre";"Novembre";"Décembre"},
0),
1)</f>
        <v>42370</v>
      </c>
    </row>
    <row r="79" spans="1:6" x14ac:dyDescent="0.4">
      <c r="A79" t="s">
        <v>328</v>
      </c>
      <c r="B79" t="s">
        <v>329</v>
      </c>
      <c r="C79">
        <v>70273</v>
      </c>
      <c r="D79">
        <v>61263</v>
      </c>
      <c r="F79" s="1">
        <f>DATE(
RIGHT(B79,4),
MATCH(
MID(B79,FIND("- ",B79)+2,FIND(" ",B79,FIND("- ",B79)+2)-FIND("- ",B79)-2),
{"Janvier";"Février";"Mars";"Avril";"Mai";"Juin";"Juillet";"Août";"Septembre";"Octobre";"Novembre";"Décembre"},
0),
1)</f>
        <v>42430</v>
      </c>
    </row>
    <row r="80" spans="1:6" x14ac:dyDescent="0.4">
      <c r="A80" t="s">
        <v>748</v>
      </c>
      <c r="B80" t="s">
        <v>749</v>
      </c>
      <c r="F80" s="1">
        <f>DATE(
RIGHT(B80,4),
MATCH(
MID(B80,FIND("- ",B80)+2,FIND(" ",B80,FIND("- ",B80)+2)-FIND("- ",B80)-2),
{"Janvier";"Février";"Mars";"Avril";"Mai";"Juin";"Juillet";"Août";"Septembre";"Octobre";"Novembre";"Décembre"},
0),
1)</f>
        <v>42339</v>
      </c>
    </row>
    <row r="81" spans="1:6" x14ac:dyDescent="0.4">
      <c r="A81" t="s">
        <v>528</v>
      </c>
      <c r="B81" t="s">
        <v>529</v>
      </c>
      <c r="C81">
        <v>111704</v>
      </c>
      <c r="D81">
        <v>78888</v>
      </c>
      <c r="F81" s="1">
        <f>DATE(
RIGHT(B81,4),
MATCH(
MID(B81,FIND("- ",B81)+2,FIND(" ",B81,FIND("- ",B81)+2)-FIND("- ",B81)-2),
{"Janvier";"Février";"Mars";"Avril";"Mai";"Juin";"Juillet";"Août";"Septembre";"Octobre";"Novembre";"Décembre"},
0),
1)</f>
        <v>42461</v>
      </c>
    </row>
    <row r="82" spans="1:6" x14ac:dyDescent="0.4">
      <c r="A82" t="s">
        <v>628</v>
      </c>
      <c r="B82" t="s">
        <v>629</v>
      </c>
      <c r="C82">
        <v>137601</v>
      </c>
      <c r="D82">
        <v>98668</v>
      </c>
      <c r="F82" s="1">
        <f>DATE(
RIGHT(B82,4),
MATCH(
MID(B82,FIND("- ",B82)+2,FIND(" ",B82,FIND("- ",B82)+2)-FIND("- ",B82)-2),
{"Janvier";"Février";"Mars";"Avril";"Mai";"Juin";"Juillet";"Août";"Septembre";"Octobre";"Novembre";"Décembre"},
0),
1)</f>
        <v>42491</v>
      </c>
    </row>
    <row r="83" spans="1:6" x14ac:dyDescent="0.4">
      <c r="A83" t="s">
        <v>736</v>
      </c>
      <c r="B83" t="s">
        <v>737</v>
      </c>
      <c r="C83">
        <v>161642</v>
      </c>
      <c r="D83">
        <v>122849</v>
      </c>
      <c r="F83" s="1">
        <f>DATE(
RIGHT(B83,4),
MATCH(
MID(B83,FIND("- ",B83)+2,FIND(" ",B83,FIND("- ",B83)+2)-FIND("- ",B83)-2),
{"Janvier";"Février";"Mars";"Avril";"Mai";"Juin";"Juillet";"Août";"Septembre";"Octobre";"Novembre";"Décembre"},
0),
1)</f>
        <v>42522</v>
      </c>
    </row>
    <row r="84" spans="1:6" x14ac:dyDescent="0.4">
      <c r="A84" t="s">
        <v>676</v>
      </c>
      <c r="B84" t="s">
        <v>677</v>
      </c>
      <c r="C84">
        <v>50101</v>
      </c>
      <c r="D84">
        <v>37951</v>
      </c>
      <c r="F84" s="1">
        <f>DATE(
RIGHT(B84,4),
MATCH(
MID(B84,FIND("- ",B84)+2,FIND(" ",B84,FIND("- ",B84)+2)-FIND("- ",B84)-2),
{"Janvier";"Février";"Mars";"Avril";"Mai";"Juin";"Juillet";"Août";"Septembre";"Octobre";"Novembre";"Décembre"},
0),
1)</f>
        <v>42401</v>
      </c>
    </row>
    <row r="85" spans="1:6" x14ac:dyDescent="0.4">
      <c r="A85" t="s">
        <v>672</v>
      </c>
      <c r="B85" t="s">
        <v>673</v>
      </c>
      <c r="C85">
        <v>190140</v>
      </c>
      <c r="D85">
        <v>139403</v>
      </c>
      <c r="F85" s="1">
        <f>DATE(
RIGHT(B85,4),
MATCH(
MID(B85,FIND("- ",B85)+2,FIND(" ",B85,FIND("- ",B85)+2)-FIND("- ",B85)-2),
{"Janvier";"Février";"Mars";"Avril";"Mai";"Juin";"Juillet";"Août";"Septembre";"Octobre";"Novembre";"Décembre"},
0),
1)</f>
        <v>42552</v>
      </c>
    </row>
    <row r="86" spans="1:6" x14ac:dyDescent="0.4">
      <c r="A86" t="s">
        <v>564</v>
      </c>
      <c r="B86" t="s">
        <v>565</v>
      </c>
      <c r="C86">
        <v>209406</v>
      </c>
      <c r="D86">
        <v>149567</v>
      </c>
      <c r="F86" s="1">
        <f>DATE(
RIGHT(B86,4),
MATCH(
MID(B86,FIND("- ",B86)+2,FIND(" ",B86,FIND("- ",B86)+2)-FIND("- ",B86)-2),
{"Janvier";"Février";"Mars";"Avril";"Mai";"Juin";"Juillet";"Août";"Septembre";"Octobre";"Novembre";"Décembre"},
0),
1)</f>
        <v>42583</v>
      </c>
    </row>
    <row r="87" spans="1:6" x14ac:dyDescent="0.4">
      <c r="A87" t="s">
        <v>324</v>
      </c>
      <c r="B87" t="s">
        <v>325</v>
      </c>
      <c r="C87">
        <v>228730</v>
      </c>
      <c r="D87">
        <v>180388</v>
      </c>
      <c r="F87" s="1">
        <f>DATE(
RIGHT(B87,4),
MATCH(
MID(B87,FIND("- ",B87)+2,FIND(" ",B87,FIND("- ",B87)+2)-FIND("- ",B87)-2),
{"Janvier";"Février";"Mars";"Avril";"Mai";"Juin";"Juillet";"Août";"Septembre";"Octobre";"Novembre";"Décembre"},
0),
1)</f>
        <v>42614</v>
      </c>
    </row>
    <row r="88" spans="1:6" x14ac:dyDescent="0.4">
      <c r="A88" t="s">
        <v>436</v>
      </c>
      <c r="B88" t="s">
        <v>437</v>
      </c>
      <c r="C88">
        <v>264395</v>
      </c>
      <c r="D88">
        <v>197835</v>
      </c>
      <c r="F88" s="1">
        <f>DATE(
RIGHT(B88,4),
MATCH(
MID(B88,FIND("- ",B88)+2,FIND(" ",B88,FIND("- ",B88)+2)-FIND("- ",B88)-2),
{"Janvier";"Février";"Mars";"Avril";"Mai";"Juin";"Juillet";"Août";"Septembre";"Octobre";"Novembre";"Décembre"},
0),
1)</f>
        <v>42644</v>
      </c>
    </row>
    <row r="89" spans="1:6" x14ac:dyDescent="0.4">
      <c r="A89" t="s">
        <v>360</v>
      </c>
      <c r="B89" t="s">
        <v>361</v>
      </c>
      <c r="C89">
        <v>285017</v>
      </c>
      <c r="D89">
        <v>205024</v>
      </c>
      <c r="F89" s="1">
        <f>DATE(
RIGHT(B89,4),
MATCH(
MID(B89,FIND("- ",B89)+2,FIND(" ",B89,FIND("- ",B89)+2)-FIND("- ",B89)-2),
{"Janvier";"Février";"Mars";"Avril";"Mai";"Juin";"Juillet";"Août";"Septembre";"Octobre";"Novembre";"Décembre"},
0),
1)</f>
        <v>42675</v>
      </c>
    </row>
    <row r="90" spans="1:6" x14ac:dyDescent="0.4">
      <c r="A90" t="s">
        <v>604</v>
      </c>
      <c r="B90" t="s">
        <v>605</v>
      </c>
      <c r="C90">
        <v>28899</v>
      </c>
      <c r="D90">
        <v>20934</v>
      </c>
      <c r="F90" s="1">
        <f>DATE(
RIGHT(B90,4),
MATCH(
MID(B90,FIND("- ",B90)+2,FIND(" ",B90,FIND("- ",B90)+2)-FIND("- ",B90)-2),
{"Janvier";"Février";"Mars";"Avril";"Mai";"Juin";"Juillet";"Août";"Septembre";"Octobre";"Novembre";"Décembre"},
0),
1)</f>
        <v>42736</v>
      </c>
    </row>
    <row r="91" spans="1:6" x14ac:dyDescent="0.4">
      <c r="A91" t="s">
        <v>280</v>
      </c>
      <c r="B91" t="s">
        <v>281</v>
      </c>
      <c r="C91">
        <v>53336</v>
      </c>
      <c r="D91">
        <v>41348</v>
      </c>
      <c r="F91" s="1">
        <f>DATE(
RIGHT(B91,4),
MATCH(
MID(B91,FIND("- ",B91)+2,FIND(" ",B91,FIND("- ",B91)+2)-FIND("- ",B91)-2),
{"Janvier";"Février";"Mars";"Avril";"Mai";"Juin";"Juillet";"Août";"Septembre";"Octobre";"Novembre";"Décembre"},
0),
1)</f>
        <v>42767</v>
      </c>
    </row>
    <row r="92" spans="1:6" x14ac:dyDescent="0.4">
      <c r="A92" t="s">
        <v>600</v>
      </c>
      <c r="B92" t="s">
        <v>601</v>
      </c>
      <c r="C92">
        <v>74733</v>
      </c>
      <c r="D92">
        <v>64618</v>
      </c>
      <c r="F92" s="1">
        <f>DATE(
RIGHT(B92,4),
MATCH(
MID(B92,FIND("- ",B92)+2,FIND(" ",B92,FIND("- ",B92)+2)-FIND("- ",B92)-2),
{"Janvier";"Février";"Mars";"Avril";"Mai";"Juin";"Juillet";"Août";"Septembre";"Octobre";"Novembre";"Décembre"},
0),
1)</f>
        <v>42795</v>
      </c>
    </row>
    <row r="93" spans="1:6" x14ac:dyDescent="0.4">
      <c r="A93" t="s">
        <v>384</v>
      </c>
      <c r="B93" t="s">
        <v>385</v>
      </c>
      <c r="C93">
        <v>314361</v>
      </c>
      <c r="D93">
        <v>238510</v>
      </c>
      <c r="F93" s="1">
        <f>DATE(
RIGHT(B93,4),
MATCH(
MID(B93,FIND("- ",B93)+2,FIND(" ",B93,FIND("- ",B93)+2)-FIND("- ",B93)-2),
{"Janvier";"Février";"Mars";"Avril";"Mai";"Juin";"Juillet";"Août";"Septembre";"Octobre";"Novembre";"Décembre"},
0),
1)</f>
        <v>42705</v>
      </c>
    </row>
    <row r="94" spans="1:6" x14ac:dyDescent="0.4">
      <c r="A94" t="s">
        <v>53</v>
      </c>
      <c r="B94" t="s">
        <v>54</v>
      </c>
      <c r="C94">
        <v>116205</v>
      </c>
      <c r="D94">
        <v>81946</v>
      </c>
      <c r="F94" s="1">
        <f>DATE(
RIGHT(B94,4),
MATCH(
MID(B94,FIND("- ",B94)+2,FIND(" ",B94,FIND("- ",B94)+2)-FIND("- ",B94)-2),
{"Janvier";"Février";"Mars";"Avril";"Mai";"Juin";"Juillet";"Août";"Septembre";"Octobre";"Novembre";"Décembre"},
0),
1)</f>
        <v>42826</v>
      </c>
    </row>
    <row r="95" spans="1:6" x14ac:dyDescent="0.4">
      <c r="A95" t="s">
        <v>560</v>
      </c>
      <c r="B95" t="s">
        <v>561</v>
      </c>
      <c r="C95">
        <v>142555</v>
      </c>
      <c r="D95">
        <v>103076</v>
      </c>
      <c r="F95" s="1">
        <f>DATE(
RIGHT(B95,4),
MATCH(
MID(B95,FIND("- ",B95)+2,FIND(" ",B95,FIND("- ",B95)+2)-FIND("- ",B95)-2),
{"Janvier";"Février";"Mars";"Avril";"Mai";"Juin";"Juillet";"Août";"Septembre";"Octobre";"Novembre";"Décembre"},
0),
1)</f>
        <v>42856</v>
      </c>
    </row>
    <row r="96" spans="1:6" x14ac:dyDescent="0.4">
      <c r="A96" t="s">
        <v>81</v>
      </c>
      <c r="B96" t="s">
        <v>82</v>
      </c>
      <c r="C96">
        <v>171951</v>
      </c>
      <c r="D96">
        <v>130602</v>
      </c>
      <c r="F96" s="1">
        <f>DATE(
RIGHT(B96,4),
MATCH(
MID(B96,FIND("- ",B96)+2,FIND(" ",B96,FIND("- ",B96)+2)-FIND("- ",B96)-2),
{"Janvier";"Février";"Mars";"Avril";"Mai";"Juin";"Juillet";"Août";"Septembre";"Octobre";"Novembre";"Décembre"},
0),
1)</f>
        <v>42887</v>
      </c>
    </row>
    <row r="97" spans="1:6" x14ac:dyDescent="0.4">
      <c r="A97" t="s">
        <v>432</v>
      </c>
      <c r="B97" t="s">
        <v>433</v>
      </c>
      <c r="C97">
        <v>200695</v>
      </c>
      <c r="D97">
        <v>145524</v>
      </c>
      <c r="F97" s="1">
        <f>DATE(
RIGHT(B97,4),
MATCH(
MID(B97,FIND("- ",B97)+2,FIND(" ",B97,FIND("- ",B97)+2)-FIND("- ",B97)-2),
{"Janvier";"Février";"Mars";"Avril";"Mai";"Juin";"Juillet";"Août";"Septembre";"Octobre";"Novembre";"Décembre"},
0),
1)</f>
        <v>42917</v>
      </c>
    </row>
    <row r="98" spans="1:6" x14ac:dyDescent="0.4">
      <c r="A98" t="s">
        <v>456</v>
      </c>
      <c r="B98" t="s">
        <v>457</v>
      </c>
      <c r="C98">
        <v>221752</v>
      </c>
      <c r="D98">
        <v>160861</v>
      </c>
      <c r="F98" s="1">
        <f>DATE(
RIGHT(B98,4),
MATCH(
MID(B98,FIND("- ",B98)+2,FIND(" ",B98,FIND("- ",B98)+2)-FIND("- ",B98)-2),
{"Janvier";"Février";"Mars";"Avril";"Mai";"Juin";"Juillet";"Août";"Septembre";"Octobre";"Novembre";"Décembre"},
0),
1)</f>
        <v>42948</v>
      </c>
    </row>
    <row r="99" spans="1:6" x14ac:dyDescent="0.4">
      <c r="A99" t="s">
        <v>380</v>
      </c>
      <c r="B99" t="s">
        <v>381</v>
      </c>
      <c r="C99">
        <v>242363</v>
      </c>
      <c r="D99">
        <v>192720</v>
      </c>
      <c r="F99" s="1">
        <f>DATE(
RIGHT(B99,4),
MATCH(
MID(B99,FIND("- ",B99)+2,FIND(" ",B99,FIND("- ",B99)+2)-FIND("- ",B99)-2),
{"Janvier";"Février";"Mars";"Avril";"Mai";"Juin";"Juillet";"Août";"Septembre";"Octobre";"Novembre";"Décembre"},
0),
1)</f>
        <v>42979</v>
      </c>
    </row>
    <row r="100" spans="1:6" x14ac:dyDescent="0.4">
      <c r="A100" t="s">
        <v>428</v>
      </c>
      <c r="B100" t="s">
        <v>429</v>
      </c>
      <c r="C100">
        <v>277871</v>
      </c>
      <c r="D100">
        <v>209612</v>
      </c>
      <c r="F100" s="1">
        <f>DATE(
RIGHT(B100,4),
MATCH(
MID(B100,FIND("- ",B100)+2,FIND(" ",B100,FIND("- ",B100)+2)-FIND("- ",B100)-2),
{"Janvier";"Février";"Mars";"Avril";"Mai";"Juin";"Juillet";"Août";"Septembre";"Octobre";"Novembre";"Décembre"},
0),
1)</f>
        <v>43009</v>
      </c>
    </row>
    <row r="101" spans="1:6" x14ac:dyDescent="0.4">
      <c r="A101" t="s">
        <v>320</v>
      </c>
      <c r="B101" t="s">
        <v>321</v>
      </c>
      <c r="C101">
        <v>298631</v>
      </c>
      <c r="D101">
        <v>223865</v>
      </c>
      <c r="F101" s="1">
        <f>DATE(
RIGHT(B101,4),
MATCH(
MID(B101,FIND("- ",B101)+2,FIND(" ",B101,FIND("- ",B101)+2)-FIND("- ",B101)-2),
{"Janvier";"Février";"Mars";"Avril";"Mai";"Juin";"Juillet";"Août";"Septembre";"Octobre";"Novembre";"Décembre"},
0),
1)</f>
        <v>43040</v>
      </c>
    </row>
    <row r="102" spans="1:6" x14ac:dyDescent="0.4">
      <c r="A102" t="s">
        <v>225</v>
      </c>
      <c r="B102" t="s">
        <v>226</v>
      </c>
      <c r="C102">
        <v>326775</v>
      </c>
      <c r="D102">
        <v>253428</v>
      </c>
      <c r="F102" s="1">
        <f>DATE(
RIGHT(B102,4),
MATCH(
MID(B102,FIND("- ",B102)+2,FIND(" ",B102,FIND("- ",B102)+2)-FIND("- ",B102)-2),
{"Janvier";"Février";"Mars";"Avril";"Mai";"Juin";"Juillet";"Août";"Septembre";"Octobre";"Novembre";"Décembre"},
0),
1)</f>
        <v>43070</v>
      </c>
    </row>
    <row r="103" spans="1:6" x14ac:dyDescent="0.4">
      <c r="A103" t="s">
        <v>276</v>
      </c>
      <c r="B103" t="s">
        <v>277</v>
      </c>
      <c r="C103">
        <v>29518</v>
      </c>
      <c r="D103">
        <v>21557</v>
      </c>
      <c r="F103" s="1">
        <f>DATE(
RIGHT(B103,4),
MATCH(
MID(B103,FIND("- ",B103)+2,FIND(" ",B103,FIND("- ",B103)+2)-FIND("- ",B103)-2),
{"Janvier";"Février";"Mars";"Avril";"Mai";"Juin";"Juillet";"Août";"Septembre";"Octobre";"Novembre";"Décembre"},
0),
1)</f>
        <v>43101</v>
      </c>
    </row>
    <row r="104" spans="1:6" x14ac:dyDescent="0.4">
      <c r="A104" t="s">
        <v>744</v>
      </c>
      <c r="B104" t="s">
        <v>745</v>
      </c>
      <c r="C104">
        <v>53767</v>
      </c>
      <c r="D104">
        <v>39425</v>
      </c>
      <c r="F104" s="1">
        <f>DATE(
RIGHT(B104,4),
MATCH(
MID(B104,FIND("- ",B104)+2,FIND(" ",B104,FIND("- ",B104)+2)-FIND("- ",B104)-2),
{"Janvier";"Février";"Mars";"Avril";"Mai";"Juin";"Juillet";"Août";"Septembre";"Octobre";"Novembre";"Décembre"},
0),
1)</f>
        <v>43132</v>
      </c>
    </row>
    <row r="105" spans="1:6" x14ac:dyDescent="0.4">
      <c r="A105" t="s">
        <v>49</v>
      </c>
      <c r="B105" t="s">
        <v>50</v>
      </c>
      <c r="C105">
        <v>74804</v>
      </c>
      <c r="D105">
        <v>62483</v>
      </c>
      <c r="F105" s="1">
        <f>DATE(
RIGHT(B105,4),
MATCH(
MID(B105,FIND("- ",B105)+2,FIND(" ",B105,FIND("- ",B105)+2)-FIND("- ",B105)-2),
{"Janvier";"Février";"Mars";"Avril";"Mai";"Juin";"Juillet";"Août";"Septembre";"Octobre";"Novembre";"Décembre"},
0),
1)</f>
        <v>43160</v>
      </c>
    </row>
    <row r="106" spans="1:6" x14ac:dyDescent="0.4">
      <c r="A106" t="s">
        <v>49</v>
      </c>
      <c r="B106" t="s">
        <v>245</v>
      </c>
      <c r="C106">
        <v>326775</v>
      </c>
      <c r="D106">
        <v>253427</v>
      </c>
      <c r="F106" s="1">
        <f>DATE(
RIGHT(B106,4),
MATCH(
MID(B106,FIND("- ",B106)+2,FIND(" ",B106,FIND("- ",B106)+2)-FIND("- ",B106)-2),
{"Janvier";"Février";"Mars";"Avril";"Mai";"Juin";"Juillet";"Août";"Septembre";"Octobre";"Novembre";"Décembre"},
0),
1)</f>
        <v>43070</v>
      </c>
    </row>
    <row r="107" spans="1:6" x14ac:dyDescent="0.4">
      <c r="A107" t="s">
        <v>596</v>
      </c>
      <c r="B107" t="s">
        <v>597</v>
      </c>
      <c r="C107">
        <v>115258</v>
      </c>
      <c r="D107">
        <v>80249</v>
      </c>
      <c r="F107" s="1">
        <f>DATE(
RIGHT(B107,4),
MATCH(
MID(B107,FIND("- ",B107)+2,FIND(" ",B107,FIND("- ",B107)+2)-FIND("- ",B107)-2),
{"Janvier";"Février";"Mars";"Avril";"Mai";"Juin";"Juillet";"Août";"Septembre";"Octobre";"Novembre";"Décembre"},
0),
1)</f>
        <v>43191</v>
      </c>
    </row>
    <row r="108" spans="1:6" x14ac:dyDescent="0.4">
      <c r="A108" t="s">
        <v>113</v>
      </c>
      <c r="B108" t="s">
        <v>114</v>
      </c>
      <c r="C108">
        <v>142963</v>
      </c>
      <c r="D108">
        <v>110777</v>
      </c>
      <c r="F108" s="1">
        <f>DATE(
RIGHT(B108,4),
MATCH(
MID(B108,FIND("- ",B108)+2,FIND(" ",B108,FIND("- ",B108)+2)-FIND("- ",B108)-2),
{"Janvier";"Février";"Mars";"Avril";"Mai";"Juin";"Juillet";"Août";"Septembre";"Octobre";"Novembre";"Décembre"},
0),
1)</f>
        <v>43221</v>
      </c>
    </row>
    <row r="109" spans="1:6" x14ac:dyDescent="0.4">
      <c r="A109" t="s">
        <v>316</v>
      </c>
      <c r="B109" t="s">
        <v>317</v>
      </c>
      <c r="C109">
        <v>171577</v>
      </c>
      <c r="D109">
        <v>131113</v>
      </c>
      <c r="F109" s="1">
        <f>DATE(
RIGHT(B109,4),
MATCH(
MID(B109,FIND("- ",B109)+2,FIND(" ",B109,FIND("- ",B109)+2)-FIND("- ",B109)-2),
{"Janvier";"Février";"Mars";"Avril";"Mai";"Juin";"Juillet";"Août";"Septembre";"Octobre";"Novembre";"Décembre"},
0),
1)</f>
        <v>43252</v>
      </c>
    </row>
    <row r="110" spans="1:6" x14ac:dyDescent="0.4">
      <c r="A110" t="s">
        <v>221</v>
      </c>
      <c r="B110" t="s">
        <v>222</v>
      </c>
      <c r="C110">
        <v>204978</v>
      </c>
      <c r="D110">
        <v>147973</v>
      </c>
      <c r="F110" s="1">
        <f>DATE(
RIGHT(B110,4),
MATCH(
MID(B110,FIND("- ",B110)+2,FIND(" ",B110,FIND("- ",B110)+2)-FIND("- ",B110)-2),
{"Janvier";"Février";"Mars";"Avril";"Mai";"Juin";"Juillet";"Août";"Septembre";"Octobre";"Novembre";"Décembre"},
0),
1)</f>
        <v>43282</v>
      </c>
    </row>
    <row r="111" spans="1:6" x14ac:dyDescent="0.4">
      <c r="A111" t="s">
        <v>592</v>
      </c>
      <c r="B111" t="s">
        <v>593</v>
      </c>
      <c r="C111">
        <v>224058</v>
      </c>
      <c r="D111">
        <v>158070</v>
      </c>
      <c r="F111" s="1">
        <f>DATE(
RIGHT(B111,4),
MATCH(
MID(B111,FIND("- ",B111)+2,FIND(" ",B111,FIND("- ",B111)+2)-FIND("- ",B111)-2),
{"Janvier";"Février";"Mars";"Avril";"Mai";"Juin";"Juillet";"Août";"Septembre";"Octobre";"Novembre";"Décembre"},
0),
1)</f>
        <v>43313</v>
      </c>
    </row>
    <row r="112" spans="1:6" x14ac:dyDescent="0.4">
      <c r="A112" t="s">
        <v>452</v>
      </c>
      <c r="B112" t="s">
        <v>453</v>
      </c>
      <c r="C112">
        <v>246475</v>
      </c>
      <c r="D112">
        <v>187345</v>
      </c>
      <c r="F112" s="1">
        <f>DATE(
RIGHT(B112,4),
MATCH(
MID(B112,FIND("- ",B112)+2,FIND(" ",B112,FIND("- ",B112)+2)-FIND("- ",B112)-2),
{"Janvier";"Février";"Mars";"Avril";"Mai";"Juin";"Juillet";"Août";"Septembre";"Octobre";"Novembre";"Décembre"},
0),
1)</f>
        <v>43344</v>
      </c>
    </row>
    <row r="113" spans="1:6" x14ac:dyDescent="0.4">
      <c r="A113" t="s">
        <v>169</v>
      </c>
      <c r="B113" t="s">
        <v>170</v>
      </c>
      <c r="C113">
        <v>282753</v>
      </c>
      <c r="D113">
        <v>204385</v>
      </c>
      <c r="F113" s="1">
        <f>DATE(
RIGHT(B113,4),
MATCH(
MID(B113,FIND("- ",B113)+2,FIND(" ",B113,FIND("- ",B113)+2)-FIND("- ",B113)-2),
{"Janvier";"Février";"Mars";"Avril";"Mai";"Juin";"Juillet";"Août";"Septembre";"Octobre";"Novembre";"Décembre"},
0),
1)</f>
        <v>43374</v>
      </c>
    </row>
    <row r="114" spans="1:6" x14ac:dyDescent="0.4">
      <c r="A114" t="s">
        <v>696</v>
      </c>
      <c r="B114" t="s">
        <v>697</v>
      </c>
      <c r="C114">
        <v>305453</v>
      </c>
      <c r="D114">
        <v>216570</v>
      </c>
      <c r="F114" s="1">
        <f>DATE(
RIGHT(B114,4),
MATCH(
MID(B114,FIND("- ",B114)+2,FIND(" ",B114,FIND("- ",B114)+2)-FIND("- ",B114)-2),
{"Janvier";"Février";"Mars";"Avril";"Mai";"Juin";"Juillet";"Août";"Septembre";"Octobre";"Novembre";"Décembre"},
0),
1)</f>
        <v>43405</v>
      </c>
    </row>
    <row r="115" spans="1:6" x14ac:dyDescent="0.4">
      <c r="A115" t="s">
        <v>241</v>
      </c>
      <c r="B115" t="s">
        <v>242</v>
      </c>
      <c r="C115">
        <v>329722</v>
      </c>
      <c r="D115">
        <v>252845</v>
      </c>
      <c r="F115" s="1">
        <f>DATE(
RIGHT(B115,4),
MATCH(
MID(B115,FIND("- ",B115)+2,FIND(" ",B115,FIND("- ",B115)+2)-FIND("- ",B115)-2),
{"Janvier";"Février";"Mars";"Avril";"Mai";"Juin";"Juillet";"Août";"Septembre";"Octobre";"Novembre";"Décembre"},
0),
1)</f>
        <v>43435</v>
      </c>
    </row>
    <row r="116" spans="1:6" x14ac:dyDescent="0.4">
      <c r="A116" t="s">
        <v>588</v>
      </c>
      <c r="B116" t="s">
        <v>589</v>
      </c>
      <c r="C116">
        <v>52688</v>
      </c>
      <c r="D116">
        <v>25245</v>
      </c>
      <c r="F116" s="1">
        <f>DATE(
RIGHT(B116,4),
MATCH(
MID(B116,FIND("- ",B116)+2,FIND(" ",B116,FIND("- ",B116)+2)-FIND("- ",B116)-2),
{"Janvier";"Février";"Mars";"Avril";"Mai";"Juin";"Juillet";"Août";"Septembre";"Octobre";"Novembre";"Décembre"},
0),
1)</f>
        <v>43497</v>
      </c>
    </row>
    <row r="117" spans="1:6" x14ac:dyDescent="0.4">
      <c r="A117" t="s">
        <v>480</v>
      </c>
      <c r="B117" t="s">
        <v>481</v>
      </c>
      <c r="C117">
        <v>329722</v>
      </c>
      <c r="D117">
        <v>252816</v>
      </c>
      <c r="F117" s="1">
        <f>DATE(
RIGHT(B117,4),
MATCH(
MID(B117,FIND("- ",B117)+2,FIND(" ",B117,FIND("- ",B117)+2)-FIND("- ",B117)-2),
{"Janvier";"Février";"Mars";"Avril";"Mai";"Juin";"Juillet";"Août";"Septembre";"Octobre";"Novembre";"Décembre"},
0),
1)</f>
        <v>43435</v>
      </c>
    </row>
    <row r="118" spans="1:6" x14ac:dyDescent="0.4">
      <c r="A118" t="s">
        <v>784</v>
      </c>
      <c r="B118" t="s">
        <v>785</v>
      </c>
      <c r="C118">
        <v>75161</v>
      </c>
      <c r="D118">
        <v>49978</v>
      </c>
      <c r="F118" s="1">
        <f>DATE(
RIGHT(B118,4),
MATCH(
MID(B118,FIND("- ",B118)+2,FIND(" ",B118,FIND("- ",B118)+2)-FIND("- ",B118)-2),
{"Janvier";"Février";"Mars";"Avril";"Mai";"Juin";"Juillet";"Août";"Septembre";"Octobre";"Novembre";"Décembre"},
0),
1)</f>
        <v>43525</v>
      </c>
    </row>
    <row r="119" spans="1:6" x14ac:dyDescent="0.4">
      <c r="A119" t="s">
        <v>424</v>
      </c>
      <c r="B119" t="s">
        <v>425</v>
      </c>
      <c r="C119">
        <v>116674</v>
      </c>
      <c r="D119">
        <v>69210</v>
      </c>
      <c r="F119" s="1">
        <f>DATE(
RIGHT(B119,4),
MATCH(
MID(B119,FIND("- ",B119)+2,FIND(" ",B119,FIND("- ",B119)+2)-FIND("- ",B119)-2),
{"Janvier";"Février";"Mars";"Avril";"Mai";"Juin";"Juillet";"Août";"Septembre";"Octobre";"Novembre";"Décembre"},
0),
1)</f>
        <v>43556</v>
      </c>
    </row>
    <row r="120" spans="1:6" x14ac:dyDescent="0.4">
      <c r="A120" t="s">
        <v>780</v>
      </c>
      <c r="B120" t="s">
        <v>781</v>
      </c>
      <c r="C120">
        <v>148134</v>
      </c>
      <c r="D120">
        <v>86739</v>
      </c>
      <c r="F120" s="1">
        <f>DATE(
RIGHT(B120,4),
MATCH(
MID(B120,FIND("- ",B120)+2,FIND(" ",B120,FIND("- ",B120)+2)-FIND("- ",B120)-2),
{"Janvier";"Février";"Mars";"Avril";"Mai";"Juin";"Juillet";"Août";"Septembre";"Octobre";"Novembre";"Décembre"},
0),
1)</f>
        <v>43586</v>
      </c>
    </row>
    <row r="121" spans="1:6" x14ac:dyDescent="0.4">
      <c r="A121" t="s">
        <v>732</v>
      </c>
      <c r="B121" t="s">
        <v>733</v>
      </c>
      <c r="C121">
        <v>27588</v>
      </c>
      <c r="D121">
        <v>15020</v>
      </c>
      <c r="F121" s="1">
        <f>DATE(
RIGHT(B121,4),
MATCH(
MID(B121,FIND("- ",B121)+2,FIND(" ",B121,FIND("- ",B121)+2)-FIND("- ",B121)-2),
{"Janvier";"Février";"Mars";"Avril";"Mai";"Juin";"Juillet";"Août";"Septembre";"Octobre";"Novembre";"Décembre"},
0),
1)</f>
        <v>43466</v>
      </c>
    </row>
    <row r="122" spans="1:6" x14ac:dyDescent="0.4">
      <c r="A122" t="s">
        <v>201</v>
      </c>
      <c r="B122" t="s">
        <v>202</v>
      </c>
      <c r="C122">
        <v>174173</v>
      </c>
      <c r="D122">
        <v>113563</v>
      </c>
      <c r="F122" s="1">
        <f>DATE(
RIGHT(B122,4),
MATCH(
MID(B122,FIND("- ",B122)+2,FIND(" ",B122,FIND("- ",B122)+2)-FIND("- ",B122)-2),
{"Janvier";"Février";"Mars";"Avril";"Mai";"Juin";"Juillet";"Août";"Septembre";"Octobre";"Novembre";"Décembre"},
0),
1)</f>
        <v>43617</v>
      </c>
    </row>
    <row r="123" spans="1:6" x14ac:dyDescent="0.4">
      <c r="A123" t="s">
        <v>668</v>
      </c>
      <c r="B123" t="s">
        <v>669</v>
      </c>
      <c r="C123">
        <v>207790</v>
      </c>
      <c r="D123">
        <v>123035</v>
      </c>
      <c r="F123" s="1">
        <f>DATE(
RIGHT(B123,4),
MATCH(
MID(B123,FIND("- ",B123)+2,FIND(" ",B123,FIND("- ",B123)+2)-FIND("- ",B123)-2),
{"Janvier";"Février";"Mars";"Avril";"Mai";"Juin";"Juillet";"Août";"Septembre";"Octobre";"Novembre";"Décembre"},
0),
1)</f>
        <v>43647</v>
      </c>
    </row>
    <row r="124" spans="1:6" x14ac:dyDescent="0.4">
      <c r="A124" t="s">
        <v>109</v>
      </c>
      <c r="B124" t="s">
        <v>110</v>
      </c>
      <c r="C124">
        <v>230642</v>
      </c>
      <c r="D124">
        <v>138353</v>
      </c>
      <c r="F124" s="1">
        <f>DATE(
RIGHT(B124,4),
MATCH(
MID(B124,FIND("- ",B124)+2,FIND(" ",B124,FIND("- ",B124)+2)-FIND("- ",B124)-2),
{"Janvier";"Février";"Mars";"Avril";"Mai";"Juin";"Juillet";"Août";"Septembre";"Octobre";"Novembre";"Décembre"},
0),
1)</f>
        <v>43678</v>
      </c>
    </row>
    <row r="125" spans="1:6" x14ac:dyDescent="0.4">
      <c r="A125" t="s">
        <v>420</v>
      </c>
      <c r="B125" t="s">
        <v>421</v>
      </c>
      <c r="C125">
        <v>251442</v>
      </c>
      <c r="D125">
        <v>165280</v>
      </c>
      <c r="F125" s="1">
        <f>DATE(
RIGHT(B125,4),
MATCH(
MID(B125,FIND("- ",B125)+2,FIND(" ",B125,FIND("- ",B125)+2)-FIND("- ",B125)-2),
{"Janvier";"Février";"Mars";"Avril";"Mai";"Juin";"Juillet";"Août";"Septembre";"Octobre";"Novembre";"Décembre"},
0),
1)</f>
        <v>43709</v>
      </c>
    </row>
    <row r="126" spans="1:6" x14ac:dyDescent="0.4">
      <c r="A126" t="s">
        <v>556</v>
      </c>
      <c r="B126" t="s">
        <v>557</v>
      </c>
      <c r="C126">
        <v>287835</v>
      </c>
      <c r="D126">
        <v>185369</v>
      </c>
      <c r="F126" s="1">
        <f>DATE(
RIGHT(B126,4),
MATCH(
MID(B126,FIND("- ",B126)+2,FIND(" ",B126,FIND("- ",B126)+2)-FIND("- ",B126)-2),
{"Janvier";"Février";"Mars";"Avril";"Mai";"Juin";"Juillet";"Août";"Septembre";"Octobre";"Novembre";"Décembre"},
0),
1)</f>
        <v>43739</v>
      </c>
    </row>
    <row r="127" spans="1:6" x14ac:dyDescent="0.4">
      <c r="A127" t="s">
        <v>145</v>
      </c>
      <c r="B127" t="s">
        <v>146</v>
      </c>
      <c r="C127">
        <v>308660</v>
      </c>
      <c r="D127">
        <v>198944</v>
      </c>
      <c r="F127" s="1">
        <f>DATE(
RIGHT(B127,4),
MATCH(
MID(B127,FIND("- ",B127)+2,FIND(" ",B127,FIND("- ",B127)+2)-FIND("- ",B127)-2),
{"Janvier";"Février";"Mars";"Avril";"Mai";"Juin";"Juillet";"Août";"Septembre";"Octobre";"Novembre";"Décembre"},
0),
1)</f>
        <v>43770</v>
      </c>
    </row>
    <row r="128" spans="1:6" x14ac:dyDescent="0.4">
      <c r="A128" t="s">
        <v>580</v>
      </c>
      <c r="B128" t="s">
        <v>581</v>
      </c>
      <c r="C128">
        <v>336069</v>
      </c>
      <c r="D128">
        <v>239156</v>
      </c>
      <c r="F128" s="1">
        <f>DATE(
RIGHT(B128,4),
MATCH(
MID(B128,FIND("- ",B128)+2,FIND(" ",B128,FIND("- ",B128)+2)-FIND("- ",B128)-2),
{"Janvier";"Février";"Mars";"Avril";"Mai";"Juin";"Juillet";"Août";"Septembre";"Octobre";"Novembre";"Décembre"},
0),
1)</f>
        <v>43800</v>
      </c>
    </row>
    <row r="129" spans="1:6" x14ac:dyDescent="0.4">
      <c r="A129" t="s">
        <v>664</v>
      </c>
      <c r="B129" t="s">
        <v>665</v>
      </c>
      <c r="C129">
        <v>29191</v>
      </c>
      <c r="D129">
        <v>15042</v>
      </c>
      <c r="F129" s="1">
        <f>DATE(
RIGHT(B129,4),
MATCH(
MID(B129,FIND("- ",B129)+2,FIND(" ",B129,FIND("- ",B129)+2)-FIND("- ",B129)-2),
{"Janvier";"Février";"Mars";"Avril";"Mai";"Juin";"Juillet";"Août";"Septembre";"Octobre";"Novembre";"Décembre"},
0),
1)</f>
        <v>43831</v>
      </c>
    </row>
    <row r="130" spans="1:6" x14ac:dyDescent="0.4">
      <c r="A130" t="s">
        <v>45</v>
      </c>
      <c r="B130" t="s">
        <v>46</v>
      </c>
      <c r="C130">
        <v>54058</v>
      </c>
      <c r="D130">
        <v>29231</v>
      </c>
      <c r="F130" s="1">
        <f>DATE(
RIGHT(B130,4),
MATCH(
MID(B130,FIND("- ",B130)+2,FIND(" ",B130,FIND("- ",B130)+2)-FIND("- ",B130)-2),
{"Janvier";"Février";"Mars";"Avril";"Mai";"Juin";"Juillet";"Août";"Septembre";"Octobre";"Novembre";"Décembre"},
0),
1)</f>
        <v>43862</v>
      </c>
    </row>
    <row r="131" spans="1:6" x14ac:dyDescent="0.4">
      <c r="A131" t="s">
        <v>776</v>
      </c>
      <c r="B131" t="s">
        <v>777</v>
      </c>
      <c r="C131">
        <v>84605</v>
      </c>
      <c r="D131">
        <v>47489</v>
      </c>
      <c r="F131" s="1">
        <f>DATE(
RIGHT(B131,4),
MATCH(
MID(B131,FIND("- ",B131)+2,FIND(" ",B131,FIND("- ",B131)+2)-FIND("- ",B131)-2),
{"Janvier";"Février";"Mars";"Avril";"Mai";"Juin";"Juillet";"Août";"Septembre";"Octobre";"Novembre";"Décembre"},
0),
1)</f>
        <v>43891</v>
      </c>
    </row>
    <row r="132" spans="1:6" x14ac:dyDescent="0.4">
      <c r="A132" t="s">
        <v>624</v>
      </c>
      <c r="B132" t="s">
        <v>625</v>
      </c>
      <c r="C132">
        <v>130899</v>
      </c>
      <c r="D132">
        <v>61232</v>
      </c>
      <c r="F132" s="1">
        <f>DATE(
RIGHT(B132,4),
MATCH(
MID(B132,FIND("- ",B132)+2,FIND(" ",B132,FIND("- ",B132)+2)-FIND("- ",B132)-2),
{"Janvier";"Février";"Mars";"Avril";"Mai";"Juin";"Juillet";"Août";"Septembre";"Octobre";"Novembre";"Décembre"},
0),
1)</f>
        <v>43922</v>
      </c>
    </row>
    <row r="133" spans="1:6" x14ac:dyDescent="0.4">
      <c r="A133" t="s">
        <v>552</v>
      </c>
      <c r="B133" t="s">
        <v>553</v>
      </c>
      <c r="C133">
        <v>165522</v>
      </c>
      <c r="D133">
        <v>75171</v>
      </c>
      <c r="F133" s="1">
        <f>DATE(
RIGHT(B133,4),
MATCH(
MID(B133,FIND("- ",B133)+2,FIND(" ",B133,FIND("- ",B133)+2)-FIND("- ",B133)-2),
{"Janvier";"Février";"Mars";"Avril";"Mai";"Juin";"Juillet";"Août";"Septembre";"Octobre";"Novembre";"Décembre"},
0),
1)</f>
        <v>43952</v>
      </c>
    </row>
    <row r="134" spans="1:6" x14ac:dyDescent="0.4">
      <c r="A134" t="s">
        <v>807</v>
      </c>
      <c r="B134" t="s">
        <v>808</v>
      </c>
      <c r="C134">
        <v>198529</v>
      </c>
      <c r="D134">
        <v>97241</v>
      </c>
      <c r="F134" s="1">
        <f>DATE(
RIGHT(B134,4),
MATCH(
MID(B134,FIND("- ",B134)+2,FIND(" ",B134,FIND("- ",B134)+2)-FIND("- ",B134)-2),
{"Janvier";"Février";"Mars";"Avril";"Mai";"Juin";"Juillet";"Août";"Septembre";"Octobre";"Novembre";"Décembre"},
0),
1)</f>
        <v>43983</v>
      </c>
    </row>
    <row r="135" spans="1:6" x14ac:dyDescent="0.4">
      <c r="A135" t="s">
        <v>312</v>
      </c>
      <c r="B135" t="s">
        <v>313</v>
      </c>
      <c r="C135">
        <v>231666</v>
      </c>
      <c r="D135">
        <v>111617</v>
      </c>
      <c r="F135" s="1">
        <f>DATE(
RIGHT(B135,4),
MATCH(
MID(B135,FIND("- ",B135)+2,FIND(" ",B135,FIND("- ",B135)+2)-FIND("- ",B135)-2),
{"Janvier";"Février";"Mars";"Avril";"Mai";"Juin";"Juillet";"Août";"Septembre";"Octobre";"Novembre";"Décembre"},
0),
1)</f>
        <v>44013</v>
      </c>
    </row>
    <row r="136" spans="1:6" x14ac:dyDescent="0.4">
      <c r="A136" t="s">
        <v>803</v>
      </c>
      <c r="B136" t="s">
        <v>804</v>
      </c>
      <c r="C136">
        <v>257627</v>
      </c>
      <c r="D136">
        <v>126379</v>
      </c>
      <c r="F136" s="1">
        <f>DATE(
RIGHT(B136,4),
MATCH(
MID(B136,FIND("- ",B136)+2,FIND(" ",B136,FIND("- ",B136)+2)-FIND("- ",B136)-2),
{"Janvier";"Février";"Mars";"Avril";"Mai";"Juin";"Juillet";"Août";"Septembre";"Octobre";"Novembre";"Décembre"},
0),
1)</f>
        <v>44044</v>
      </c>
    </row>
    <row r="137" spans="1:6" x14ac:dyDescent="0.4">
      <c r="A137" t="s">
        <v>524</v>
      </c>
      <c r="B137" t="s">
        <v>525</v>
      </c>
      <c r="C137">
        <v>282052</v>
      </c>
      <c r="D137">
        <v>144391</v>
      </c>
      <c r="F137" s="1">
        <f>DATE(
RIGHT(B137,4),
MATCH(
MID(B137,FIND("- ",B137)+2,FIND(" ",B137,FIND("- ",B137)+2)-FIND("- ",B137)-2),
{"Janvier";"Février";"Mars";"Avril";"Mai";"Juin";"Juillet";"Août";"Septembre";"Octobre";"Novembre";"Décembre"},
0),
1)</f>
        <v>44075</v>
      </c>
    </row>
    <row r="138" spans="1:6" x14ac:dyDescent="0.4">
      <c r="A138" t="s">
        <v>308</v>
      </c>
      <c r="B138" t="s">
        <v>309</v>
      </c>
      <c r="C138">
        <v>319395</v>
      </c>
      <c r="D138">
        <v>167158</v>
      </c>
      <c r="F138" s="1">
        <f>DATE(
RIGHT(B138,4),
MATCH(
MID(B138,FIND("- ",B138)+2,FIND(" ",B138,FIND("- ",B138)+2)-FIND("- ",B138)-2),
{"Janvier";"Février";"Mars";"Avril";"Mai";"Juin";"Juillet";"Août";"Septembre";"Octobre";"Novembre";"Décembre"},
0),
1)</f>
        <v>44105</v>
      </c>
    </row>
    <row r="139" spans="1:6" x14ac:dyDescent="0.4">
      <c r="A139" t="s">
        <v>41</v>
      </c>
      <c r="B139" t="s">
        <v>42</v>
      </c>
      <c r="C139">
        <v>350806</v>
      </c>
      <c r="D139">
        <v>179422</v>
      </c>
      <c r="F139" s="1">
        <f>DATE(
RIGHT(B139,4),
MATCH(
MID(B139,FIND("- ",B139)+2,FIND(" ",B139,FIND("- ",B139)+2)-FIND("- ",B139)-2),
{"Janvier";"Février";"Mars";"Avril";"Mai";"Juin";"Juillet";"Août";"Septembre";"Octobre";"Novembre";"Décembre"},
0),
1)</f>
        <v>44136</v>
      </c>
    </row>
    <row r="140" spans="1:6" x14ac:dyDescent="0.4">
      <c r="A140" t="s">
        <v>476</v>
      </c>
      <c r="B140" t="s">
        <v>477</v>
      </c>
      <c r="C140">
        <v>389678</v>
      </c>
      <c r="D140">
        <v>217000</v>
      </c>
      <c r="F140" s="1">
        <f>DATE(
RIGHT(B140,4),
MATCH(
MID(B140,FIND("- ",B140)+2,FIND(" ",B140,FIND("- ",B140)+2)-FIND("- ",B140)-2),
{"Janvier";"Février";"Mars";"Avril";"Mai";"Juin";"Juillet";"Août";"Septembre";"Octobre";"Novembre";"Décembre"},
0),
1)</f>
        <v>44166</v>
      </c>
    </row>
    <row r="141" spans="1:6" x14ac:dyDescent="0.4">
      <c r="A141" t="s">
        <v>77</v>
      </c>
      <c r="B141" t="s">
        <v>78</v>
      </c>
      <c r="C141">
        <v>32800</v>
      </c>
      <c r="D141">
        <v>17332</v>
      </c>
      <c r="F141" s="1">
        <f>DATE(
RIGHT(B141,4),
MATCH(
MID(B141,FIND("- ",B141)+2,FIND(" ",B141,FIND("- ",B141)+2)-FIND("- ",B141)-2),
{"Janvier";"Février";"Mars";"Avril";"Mai";"Juin";"Juillet";"Août";"Septembre";"Octobre";"Novembre";"Décembre"},
0),
1)</f>
        <v>44197</v>
      </c>
    </row>
    <row r="142" spans="1:6" x14ac:dyDescent="0.4">
      <c r="A142" t="s">
        <v>416</v>
      </c>
      <c r="B142" t="s">
        <v>417</v>
      </c>
      <c r="C142">
        <v>63328</v>
      </c>
      <c r="D142">
        <v>27842</v>
      </c>
      <c r="F142" s="1">
        <f>DATE(
RIGHT(B142,4),
MATCH(
MID(B142,FIND("- ",B142)+2,FIND(" ",B142,FIND("- ",B142)+2)-FIND("- ",B142)-2),
{"Janvier";"Février";"Mars";"Avril";"Mai";"Juin";"Juillet";"Août";"Septembre";"Octobre";"Novembre";"Décembre"},
0),
1)</f>
        <v>44228</v>
      </c>
    </row>
    <row r="143" spans="1:6" x14ac:dyDescent="0.4">
      <c r="A143" t="s">
        <v>772</v>
      </c>
      <c r="B143" t="s">
        <v>773</v>
      </c>
      <c r="C143">
        <v>96117</v>
      </c>
      <c r="D143">
        <v>47260</v>
      </c>
      <c r="F143" s="1">
        <f>DATE(
RIGHT(B143,4),
MATCH(
MID(B143,FIND("- ",B143)+2,FIND(" ",B143,FIND("- ",B143)+2)-FIND("- ",B143)-2),
{"Janvier";"Février";"Mars";"Avril";"Mai";"Juin";"Juillet";"Août";"Septembre";"Octobre";"Novembre";"Décembre"},
0),
1)</f>
        <v>44256</v>
      </c>
    </row>
    <row r="144" spans="1:6" x14ac:dyDescent="0.4">
      <c r="A144" t="s">
        <v>272</v>
      </c>
      <c r="B144" t="s">
        <v>273</v>
      </c>
      <c r="C144">
        <v>142890</v>
      </c>
      <c r="D144">
        <v>65657</v>
      </c>
      <c r="F144" s="1">
        <f>DATE(
RIGHT(B144,4),
MATCH(
MID(B144,FIND("- ",B144)+2,FIND(" ",B144,FIND("- ",B144)+2)-FIND("- ",B144)-2),
{"Janvier";"Février";"Mars";"Avril";"Mai";"Juin";"Juillet";"Août";"Septembre";"Octobre";"Novembre";"Décembre"},
0),
1)</f>
        <v>44287</v>
      </c>
    </row>
    <row r="145" spans="1:6" x14ac:dyDescent="0.4">
      <c r="A145" t="s">
        <v>105</v>
      </c>
      <c r="B145" t="s">
        <v>106</v>
      </c>
      <c r="C145">
        <v>389678</v>
      </c>
      <c r="D145">
        <v>217000</v>
      </c>
      <c r="F145" s="1">
        <f>DATE(
RIGHT(B145,4),
MATCH(
MID(B145,FIND("- ",B145)+2,FIND(" ",B145,FIND("- ",B145)+2)-FIND("- ",B145)-2),
{"Janvier";"Février";"Mars";"Avril";"Mai";"Juin";"Juillet";"Août";"Septembre";"Octobre";"Novembre";"Décembre"},
0),
1)</f>
        <v>44166</v>
      </c>
    </row>
    <row r="146" spans="1:6" x14ac:dyDescent="0.4">
      <c r="A146" t="s">
        <v>768</v>
      </c>
      <c r="B146" t="s">
        <v>769</v>
      </c>
      <c r="C146">
        <v>184464</v>
      </c>
      <c r="D146">
        <v>83525</v>
      </c>
      <c r="F146" s="1">
        <f>DATE(
RIGHT(B146,4),
MATCH(
MID(B146,FIND("- ",B146)+2,FIND(" ",B146,FIND("- ",B146)+2)-FIND("- ",B146)-2),
{"Janvier";"Février";"Mars";"Avril";"Mai";"Juin";"Juillet";"Août";"Septembre";"Octobre";"Novembre";"Décembre"},
0),
1)</f>
        <v>44317</v>
      </c>
    </row>
    <row r="147" spans="1:6" x14ac:dyDescent="0.4">
      <c r="A147" t="s">
        <v>448</v>
      </c>
      <c r="B147" t="s">
        <v>449</v>
      </c>
      <c r="C147">
        <v>224245</v>
      </c>
      <c r="D147">
        <v>106123</v>
      </c>
      <c r="F147" s="1">
        <f>DATE(
RIGHT(B147,4),
MATCH(
MID(B147,FIND("- ",B147)+2,FIND(" ",B147,FIND("- ",B147)+2)-FIND("- ",B147)-2),
{"Janvier";"Février";"Mars";"Avril";"Mai";"Juin";"Juillet";"Août";"Septembre";"Octobre";"Novembre";"Décembre"},
0),
1)</f>
        <v>44348</v>
      </c>
    </row>
    <row r="148" spans="1:6" x14ac:dyDescent="0.4">
      <c r="A148" t="s">
        <v>21</v>
      </c>
      <c r="B148" t="s">
        <v>22</v>
      </c>
      <c r="C148">
        <v>264364</v>
      </c>
      <c r="D148">
        <v>115856</v>
      </c>
      <c r="F148" s="1">
        <f>DATE(
RIGHT(B148,4),
MATCH(
MID(B148,FIND("- ",B148)+2,FIND(" ",B148,FIND("- ",B148)+2)-FIND("- ",B148)-2),
{"Janvier";"Février";"Mars";"Avril";"Mai";"Juin";"Juillet";"Août";"Septembre";"Octobre";"Novembre";"Décembre"},
0),
1)</f>
        <v>44378</v>
      </c>
    </row>
    <row r="149" spans="1:6" x14ac:dyDescent="0.4">
      <c r="A149" t="s">
        <v>237</v>
      </c>
      <c r="B149" t="s">
        <v>238</v>
      </c>
      <c r="C149">
        <v>292819</v>
      </c>
      <c r="D149">
        <v>135618</v>
      </c>
      <c r="F149" s="1">
        <f>DATE(
RIGHT(B149,4),
MATCH(
MID(B149,FIND("- ",B149)+2,FIND(" ",B149,FIND("- ",B149)+2)-FIND("- ",B149)-2),
{"Janvier";"Février";"Mars";"Avril";"Mai";"Juin";"Juillet";"Août";"Septembre";"Octobre";"Novembre";"Décembre"},
0),
1)</f>
        <v>44409</v>
      </c>
    </row>
    <row r="150" spans="1:6" x14ac:dyDescent="0.4">
      <c r="A150" t="s">
        <v>548</v>
      </c>
      <c r="B150" t="s">
        <v>549</v>
      </c>
      <c r="C150">
        <v>316329</v>
      </c>
      <c r="D150">
        <v>164136</v>
      </c>
      <c r="F150" s="1">
        <f>DATE(
RIGHT(B150,4),
MATCH(
MID(B150,FIND("- ",B150)+2,FIND(" ",B150,FIND("- ",B150)+2)-FIND("- ",B150)-2),
{"Janvier";"Février";"Mars";"Avril";"Mai";"Juin";"Juillet";"Août";"Septembre";"Octobre";"Novembre";"Décembre"},
0),
1)</f>
        <v>44440</v>
      </c>
    </row>
    <row r="151" spans="1:6" x14ac:dyDescent="0.4">
      <c r="A151" t="s">
        <v>620</v>
      </c>
      <c r="B151" t="s">
        <v>621</v>
      </c>
      <c r="C151">
        <v>356004</v>
      </c>
      <c r="D151">
        <v>187110</v>
      </c>
      <c r="F151" s="1">
        <f>DATE(
RIGHT(B151,4),
MATCH(
MID(B151,FIND("- ",B151)+2,FIND(" ",B151,FIND("- ",B151)+2)-FIND("- ",B151)-2),
{"Janvier";"Février";"Mars";"Avril";"Mai";"Juin";"Juillet";"Août";"Septembre";"Octobre";"Novembre";"Décembre"},
0),
1)</f>
        <v>44470</v>
      </c>
    </row>
    <row r="152" spans="1:6" x14ac:dyDescent="0.4">
      <c r="A152" t="s">
        <v>101</v>
      </c>
      <c r="B152" t="s">
        <v>102</v>
      </c>
      <c r="C152">
        <v>384499</v>
      </c>
      <c r="D152">
        <v>209372</v>
      </c>
      <c r="F152" s="1">
        <f>DATE(
RIGHT(B152,4),
MATCH(
MID(B152,FIND("- ",B152)+2,FIND(" ",B152,FIND("- ",B152)+2)-FIND("- ",B152)-2),
{"Janvier";"Février";"Mars";"Avril";"Mai";"Juin";"Juillet";"Août";"Septembre";"Octobre";"Novembre";"Décembre"},
0),
1)</f>
        <v>44501</v>
      </c>
    </row>
    <row r="153" spans="1:6" x14ac:dyDescent="0.4">
      <c r="A153" t="s">
        <v>73</v>
      </c>
      <c r="B153" t="s">
        <v>74</v>
      </c>
      <c r="C153">
        <v>426732</v>
      </c>
      <c r="D153">
        <v>255215</v>
      </c>
      <c r="F153" s="1">
        <f>DATE(
RIGHT(B153,4),
MATCH(
MID(B153,FIND("- ",B153)+2,FIND(" ",B153,FIND("- ",B153)+2)-FIND("- ",B153)-2),
{"Janvier";"Février";"Mars";"Avril";"Mai";"Juin";"Juillet";"Août";"Septembre";"Octobre";"Novembre";"Décembre"},
0),
1)</f>
        <v>44531</v>
      </c>
    </row>
    <row r="154" spans="1:6" x14ac:dyDescent="0.4">
      <c r="A154" t="s">
        <v>799</v>
      </c>
      <c r="B154" t="s">
        <v>800</v>
      </c>
      <c r="C154">
        <v>30612</v>
      </c>
      <c r="D154">
        <v>18725</v>
      </c>
      <c r="F154" s="1">
        <f>DATE(
RIGHT(B154,4),
MATCH(
MID(B154,FIND("- ",B154)+2,FIND(" ",B154,FIND("- ",B154)+2)-FIND("- ",B154)-2),
{"Janvier";"Février";"Mars";"Avril";"Mai";"Juin";"Juillet";"Août";"Septembre";"Octobre";"Novembre";"Décembre"},
0),
1)</f>
        <v>44562</v>
      </c>
    </row>
    <row r="155" spans="1:6" x14ac:dyDescent="0.4">
      <c r="A155" t="s">
        <v>764</v>
      </c>
      <c r="B155" t="s">
        <v>765</v>
      </c>
      <c r="C155">
        <v>58369</v>
      </c>
      <c r="D155">
        <v>28123</v>
      </c>
      <c r="F155" s="1">
        <f>DATE(
RIGHT(B155,4),
MATCH(
MID(B155,FIND("- ",B155)+2,FIND(" ",B155,FIND("- ",B155)+2)-FIND("- ",B155)-2),
{"Janvier";"Février";"Mars";"Avril";"Mai";"Juin";"Juillet";"Août";"Septembre";"Octobre";"Novembre";"Décembre"},
0),
1)</f>
        <v>44593</v>
      </c>
    </row>
    <row r="156" spans="1:6" x14ac:dyDescent="0.4">
      <c r="A156" t="s">
        <v>356</v>
      </c>
      <c r="B156" t="s">
        <v>357</v>
      </c>
      <c r="C156">
        <v>426732</v>
      </c>
      <c r="D156">
        <v>255215</v>
      </c>
      <c r="F156" s="1">
        <f>DATE(
RIGHT(B156,4),
MATCH(
MID(B156,FIND("- ",B156)+2,FIND(" ",B156,FIND("- ",B156)+2)-FIND("- ",B156)-2),
{"Janvier";"Février";"Mars";"Avril";"Mai";"Juin";"Juillet";"Août";"Septembre";"Octobre";"Novembre";"Décembre"},
0),
1)</f>
        <v>44531</v>
      </c>
    </row>
    <row r="157" spans="1:6" x14ac:dyDescent="0.4">
      <c r="A157" t="s">
        <v>352</v>
      </c>
      <c r="B157" t="s">
        <v>353</v>
      </c>
      <c r="C157">
        <v>92890</v>
      </c>
      <c r="D157">
        <v>65082</v>
      </c>
      <c r="F157" s="1">
        <f>DATE(
RIGHT(B157,4),
MATCH(
MID(B157,FIND("- ",B157)+2,FIND(" ",B157,FIND("- ",B157)+2)-FIND("- ",B157)-2),
{"Janvier";"Février";"Mars";"Avril";"Mai";"Juin";"Juillet";"Août";"Septembre";"Octobre";"Novembre";"Décembre"},
0),
1)</f>
        <v>44621</v>
      </c>
    </row>
    <row r="158" spans="1:6" x14ac:dyDescent="0.4">
      <c r="A158" t="s">
        <v>304</v>
      </c>
      <c r="B158" t="s">
        <v>305</v>
      </c>
      <c r="C158">
        <v>135505</v>
      </c>
      <c r="D158">
        <v>84438</v>
      </c>
      <c r="F158" s="1">
        <f>DATE(
RIGHT(B158,4),
MATCH(
MID(B158,FIND("- ",B158)+2,FIND(" ",B158,FIND("- ",B158)+2)-FIND("- ",B158)-2),
{"Janvier";"Février";"Mars";"Avril";"Mai";"Juin";"Juillet";"Août";"Septembre";"Octobre";"Novembre";"Décembre"},
0),
1)</f>
        <v>44652</v>
      </c>
    </row>
    <row r="159" spans="1:6" x14ac:dyDescent="0.4">
      <c r="A159" t="s">
        <v>37</v>
      </c>
      <c r="B159" t="s">
        <v>38</v>
      </c>
      <c r="C159">
        <v>173505</v>
      </c>
      <c r="D159">
        <v>110583</v>
      </c>
      <c r="F159" s="1">
        <f>DATE(
RIGHT(B159,4),
MATCH(
MID(B159,FIND("- ",B159)+2,FIND(" ",B159,FIND("- ",B159)+2)-FIND("- ",B159)-2),
{"Janvier";"Février";"Mars";"Avril";"Mai";"Juin";"Juillet";"Août";"Septembre";"Octobre";"Novembre";"Décembre"},
0),
1)</f>
        <v>44682</v>
      </c>
    </row>
    <row r="160" spans="1:6" x14ac:dyDescent="0.4">
      <c r="A160" t="s">
        <v>660</v>
      </c>
      <c r="B160" t="s">
        <v>661</v>
      </c>
      <c r="C160">
        <v>205988</v>
      </c>
      <c r="D160">
        <v>144660</v>
      </c>
      <c r="F160" s="1">
        <f>DATE(
RIGHT(B160,4),
MATCH(
MID(B160,FIND("- ",B160)+2,FIND(" ",B160,FIND("- ",B160)+2)-FIND("- ",B160)-2),
{"Janvier";"Février";"Mars";"Avril";"Mai";"Juin";"Juillet";"Août";"Septembre";"Octobre";"Novembre";"Décembre"},
0),
1)</f>
        <v>44713</v>
      </c>
    </row>
    <row r="161" spans="1:6" x14ac:dyDescent="0.4">
      <c r="A161" t="s">
        <v>165</v>
      </c>
      <c r="B161" t="s">
        <v>166</v>
      </c>
      <c r="C161">
        <v>261413</v>
      </c>
      <c r="D161">
        <v>151307</v>
      </c>
      <c r="F161" s="1">
        <f>DATE(
RIGHT(B161,4),
MATCH(
MID(B161,FIND("- ",B161)+2,FIND(" ",B161,FIND("- ",B161)+2)-FIND("- ",B161)-2),
{"Janvier";"Février";"Mars";"Avril";"Mai";"Juin";"Juillet";"Août";"Septembre";"Octobre";"Novembre";"Décembre"},
0),
1)</f>
        <v>44743</v>
      </c>
    </row>
    <row r="162" spans="1:6" x14ac:dyDescent="0.4">
      <c r="A162" t="s">
        <v>728</v>
      </c>
      <c r="B162" t="s">
        <v>729</v>
      </c>
      <c r="C162">
        <v>287947</v>
      </c>
      <c r="D162">
        <v>163429</v>
      </c>
      <c r="F162" s="1">
        <f>DATE(
RIGHT(B162,4),
MATCH(
MID(B162,FIND("- ",B162)+2,FIND(" ",B162,FIND("- ",B162)+2)-FIND("- ",B162)-2),
{"Janvier";"Février";"Mars";"Avril";"Mai";"Juin";"Juillet";"Août";"Septembre";"Octobre";"Novembre";"Décembre"},
0),
1)</f>
        <v>44774</v>
      </c>
    </row>
    <row r="163" spans="1:6" x14ac:dyDescent="0.4">
      <c r="A163" t="s">
        <v>268</v>
      </c>
      <c r="B163" t="s">
        <v>269</v>
      </c>
      <c r="C163">
        <v>317410</v>
      </c>
      <c r="D163">
        <v>198133</v>
      </c>
      <c r="F163" s="1">
        <f>DATE(
RIGHT(B163,4),
MATCH(
MID(B163,FIND("- ",B163)+2,FIND(" ",B163,FIND("- ",B163)+2)-FIND("- ",B163)-2),
{"Janvier";"Février";"Mars";"Avril";"Mai";"Juin";"Juillet";"Août";"Septembre";"Octobre";"Novembre";"Décembre"},
0),
1)</f>
        <v>44805</v>
      </c>
    </row>
    <row r="164" spans="1:6" x14ac:dyDescent="0.4">
      <c r="A164" t="s">
        <v>795</v>
      </c>
      <c r="B164" t="s">
        <v>796</v>
      </c>
      <c r="C164">
        <v>367078</v>
      </c>
      <c r="D164">
        <v>223407</v>
      </c>
      <c r="F164" s="1">
        <f>DATE(
RIGHT(B164,4),
MATCH(
MID(B164,FIND("- ",B164)+2,FIND(" ",B164,FIND("- ",B164)+2)-FIND("- ",B164)-2),
{"Janvier";"Février";"Mars";"Avril";"Mai";"Juin";"Juillet";"Août";"Septembre";"Octobre";"Novembre";"Décembre"},
0),
1)</f>
        <v>44835</v>
      </c>
    </row>
    <row r="165" spans="1:6" x14ac:dyDescent="0.4">
      <c r="A165" t="s">
        <v>69</v>
      </c>
      <c r="B165" t="s">
        <v>70</v>
      </c>
      <c r="C165">
        <v>397932</v>
      </c>
      <c r="D165">
        <v>245395</v>
      </c>
      <c r="F165" s="1">
        <f>DATE(
RIGHT(B165,4),
MATCH(
MID(B165,FIND("- ",B165)+2,FIND(" ",B165,FIND("- ",B165)+2)-FIND("- ",B165)-2),
{"Janvier";"Février";"Mars";"Avril";"Mai";"Juin";"Juillet";"Août";"Septembre";"Octobre";"Novembre";"Décembre"},
0),
1)</f>
        <v>44866</v>
      </c>
    </row>
    <row r="166" spans="1:6" x14ac:dyDescent="0.4">
      <c r="A166" t="s">
        <v>141</v>
      </c>
      <c r="B166" t="s">
        <v>142</v>
      </c>
      <c r="C166">
        <v>445672</v>
      </c>
      <c r="D166">
        <v>287477</v>
      </c>
      <c r="F166" s="1">
        <f>DATE(
RIGHT(B166,4),
MATCH(
MID(B166,FIND("- ",B166)+2,FIND(" ",B166,FIND("- ",B166)+2)-FIND("- ",B166)-2),
{"Janvier";"Février";"Mars";"Avril";"Mai";"Juin";"Juillet";"Août";"Septembre";"Octobre";"Novembre";"Décembre"},
0),
1)</f>
        <v>44896</v>
      </c>
    </row>
    <row r="167" spans="1:6" x14ac:dyDescent="0.4">
      <c r="A167" t="s">
        <v>444</v>
      </c>
      <c r="B167" t="s">
        <v>445</v>
      </c>
      <c r="C167">
        <v>34490</v>
      </c>
      <c r="D167">
        <v>18139</v>
      </c>
      <c r="F167" s="1">
        <f>DATE(
RIGHT(B167,4),
MATCH(
MID(B167,FIND("- ",B167)+2,FIND(" ",B167,FIND("- ",B167)+2)-FIND("- ",B167)-2),
{"Janvier";"Février";"Mars";"Avril";"Mai";"Juin";"Juillet";"Août";"Septembre";"Octobre";"Novembre";"Décembre"},
0),
1)</f>
        <v>44927</v>
      </c>
    </row>
    <row r="168" spans="1:6" x14ac:dyDescent="0.4">
      <c r="A168" t="s">
        <v>720</v>
      </c>
      <c r="B168" t="s">
        <v>721</v>
      </c>
      <c r="C168">
        <v>64096</v>
      </c>
      <c r="D168">
        <v>22150</v>
      </c>
      <c r="F168" s="1">
        <f>DATE(
RIGHT(B168,4),
MATCH(
MID(B168,FIND("- ",B168)+2,FIND(" ",B168,FIND("- ",B168)+2)-FIND("- ",B168)-2),
{"Janvier";"Février";"Mars";"Avril";"Mai";"Juin";"Juillet";"Août";"Septembre";"Octobre";"Novembre";"Décembre"},
0),
1)</f>
        <v>44958</v>
      </c>
    </row>
    <row r="169" spans="1:6" x14ac:dyDescent="0.4">
      <c r="A169" t="s">
        <v>65</v>
      </c>
      <c r="B169" t="s">
        <v>66</v>
      </c>
      <c r="C169">
        <v>445672</v>
      </c>
      <c r="D169">
        <v>287477</v>
      </c>
      <c r="F169" s="1">
        <f>DATE(
RIGHT(B169,4),
MATCH(
MID(B169,FIND("- ",B169)+2,FIND(" ",B169,FIND("- ",B169)+2)-FIND("- ",B169)-2),
{"Janvier";"Février";"Mars";"Avril";"Mai";"Juin";"Juillet";"Août";"Septembre";"Octobre";"Novembre";"Décembre"},
0),
1)</f>
        <v>44896</v>
      </c>
    </row>
    <row r="170" spans="1:6" x14ac:dyDescent="0.4">
      <c r="A170" t="s">
        <v>137</v>
      </c>
      <c r="B170" t="s">
        <v>138</v>
      </c>
      <c r="C170">
        <v>100485</v>
      </c>
      <c r="D170">
        <v>58008</v>
      </c>
      <c r="F170" s="1">
        <f>DATE(
RIGHT(B170,4),
MATCH(
MID(B170,FIND("- ",B170)+2,FIND(" ",B170,FIND("- ",B170)+2)-FIND("- ",B170)-2),
{"Janvier";"Février";"Mars";"Avril";"Mai";"Juin";"Juillet";"Août";"Septembre";"Octobre";"Novembre";"Décembre"},
0),
1)</f>
        <v>44986</v>
      </c>
    </row>
    <row r="171" spans="1:6" x14ac:dyDescent="0.4">
      <c r="A171" t="s">
        <v>97</v>
      </c>
      <c r="B171" t="s">
        <v>98</v>
      </c>
      <c r="C171">
        <v>147992</v>
      </c>
      <c r="D171">
        <v>79200</v>
      </c>
      <c r="F171" s="1">
        <f>DATE(
RIGHT(B171,4),
MATCH(
MID(B171,FIND("- ",B171)+2,FIND(" ",B171,FIND("- ",B171)+2)-FIND("- ",B171)-2),
{"Janvier";"Février";"Mars";"Avril";"Mai";"Juin";"Juillet";"Août";"Septembre";"Octobre";"Novembre";"Décembre"},
0),
1)</f>
        <v>45017</v>
      </c>
    </row>
    <row r="172" spans="1:6" x14ac:dyDescent="0.4">
      <c r="A172" t="s">
        <v>217</v>
      </c>
      <c r="B172" t="s">
        <v>218</v>
      </c>
      <c r="C172">
        <v>191043</v>
      </c>
      <c r="D172">
        <v>103292</v>
      </c>
      <c r="F172" s="1">
        <f>DATE(
RIGHT(B172,4),
MATCH(
MID(B172,FIND("- ",B172)+2,FIND(" ",B172,FIND("- ",B172)+2)-FIND("- ",B172)-2),
{"Janvier";"Février";"Mars";"Avril";"Mai";"Juin";"Juillet";"Août";"Septembre";"Octobre";"Novembre";"Décembre"},
0),
1)</f>
        <v>45047</v>
      </c>
    </row>
    <row r="173" spans="1:6" x14ac:dyDescent="0.4">
      <c r="A173" t="s">
        <v>656</v>
      </c>
      <c r="B173" t="s">
        <v>657</v>
      </c>
      <c r="C173">
        <v>225840</v>
      </c>
      <c r="D173">
        <v>129468</v>
      </c>
      <c r="F173" s="1">
        <f>DATE(
RIGHT(B173,4),
MATCH(
MID(B173,FIND("- ",B173)+2,FIND(" ",B173,FIND("- ",B173)+2)-FIND("- ",B173)-2),
{"Janvier";"Février";"Mars";"Avril";"Mai";"Juin";"Juillet";"Août";"Septembre";"Octobre";"Novembre";"Décembre"},
0),
1)</f>
        <v>45078</v>
      </c>
    </row>
    <row r="174" spans="1:6" x14ac:dyDescent="0.4">
      <c r="A174" t="s">
        <v>348</v>
      </c>
      <c r="B174" t="s">
        <v>349</v>
      </c>
      <c r="C174">
        <v>277222</v>
      </c>
      <c r="D174">
        <v>136020</v>
      </c>
      <c r="F174" s="1">
        <f>DATE(
RIGHT(B174,4),
MATCH(
MID(B174,FIND("- ",B174)+2,FIND(" ",B174,FIND("- ",B174)+2)-FIND("- ",B174)-2),
{"Janvier";"Février";"Mars";"Avril";"Mai";"Juin";"Juillet";"Août";"Septembre";"Octobre";"Novembre";"Décembre"},
0),
1)</f>
        <v>45108</v>
      </c>
    </row>
    <row r="175" spans="1:6" x14ac:dyDescent="0.4">
      <c r="A175" t="s">
        <v>412</v>
      </c>
      <c r="B175" t="s">
        <v>413</v>
      </c>
      <c r="C175">
        <v>306062</v>
      </c>
      <c r="D175">
        <v>150251</v>
      </c>
      <c r="F175" s="1">
        <f>DATE(
RIGHT(B175,4),
MATCH(
MID(B175,FIND("- ",B175)+2,FIND(" ",B175,FIND("- ",B175)+2)-FIND("- ",B175)-2),
{"Janvier";"Février";"Mars";"Avril";"Mai";"Juin";"Juillet";"Août";"Septembre";"Octobre";"Novembre";"Décembre"},
0),
1)</f>
        <v>45139</v>
      </c>
    </row>
    <row r="176" spans="1:6" x14ac:dyDescent="0.4">
      <c r="A176" t="s">
        <v>233</v>
      </c>
      <c r="B176" t="s">
        <v>234</v>
      </c>
      <c r="C176">
        <v>335695</v>
      </c>
      <c r="D176">
        <v>187011</v>
      </c>
      <c r="F176" s="1">
        <f>DATE(
RIGHT(B176,4),
MATCH(
MID(B176,FIND("- ",B176)+2,FIND(" ",B176,FIND("- ",B176)+2)-FIND("- ",B176)-2),
{"Janvier";"Février";"Mars";"Avril";"Mai";"Juin";"Juillet";"Août";"Septembre";"Octobre";"Novembre";"Décembre"},
0),
1)</f>
        <v>45170</v>
      </c>
    </row>
    <row r="177" spans="1:6" x14ac:dyDescent="0.4">
      <c r="A177" t="s">
        <v>724</v>
      </c>
      <c r="B177" t="s">
        <v>725</v>
      </c>
      <c r="C177">
        <v>376535</v>
      </c>
      <c r="D177">
        <v>211956</v>
      </c>
      <c r="F177" s="1">
        <f>DATE(
RIGHT(B177,4),
MATCH(
MID(B177,FIND("- ",B177)+2,FIND(" ",B177,FIND("- ",B177)+2)-FIND("- ",B177)-2),
{"Janvier";"Février";"Mars";"Avril";"Mai";"Juin";"Juillet";"Août";"Septembre";"Octobre";"Novembre";"Décembre"},
0),
1)</f>
        <v>45200</v>
      </c>
    </row>
    <row r="178" spans="1:6" x14ac:dyDescent="0.4">
      <c r="A178" t="s">
        <v>344</v>
      </c>
      <c r="B178" t="s">
        <v>345</v>
      </c>
      <c r="C178">
        <v>409287</v>
      </c>
      <c r="D178">
        <v>233194</v>
      </c>
      <c r="F178" s="1">
        <f>DATE(
RIGHT(B178,4),
MATCH(
MID(B178,FIND("- ",B178)+2,FIND(" ",B178,FIND("- ",B178)+2)-FIND("- ",B178)-2),
{"Janvier";"Février";"Mars";"Avril";"Mai";"Juin";"Juillet";"Août";"Septembre";"Octobre";"Novembre";"Décembre"},
0),
1)</f>
        <v>45231</v>
      </c>
    </row>
    <row r="179" spans="1:6" x14ac:dyDescent="0.4">
      <c r="A179" t="s">
        <v>791</v>
      </c>
      <c r="B179" t="s">
        <v>792</v>
      </c>
      <c r="C179">
        <v>454565</v>
      </c>
      <c r="D179">
        <v>286406</v>
      </c>
      <c r="F179" s="1">
        <f>DATE(
RIGHT(B179,4),
MATCH(
MID(B179,FIND("- ",B179)+2,FIND(" ",B179,FIND("- ",B179)+2)-FIND("- ",B179)-2),
{"Janvier";"Février";"Mars";"Avril";"Mai";"Juin";"Juillet";"Août";"Septembre";"Octobre";"Novembre";"Décembre"},
0),
1)</f>
        <v>45261</v>
      </c>
    </row>
    <row r="180" spans="1:6" x14ac:dyDescent="0.4">
      <c r="A180" t="s">
        <v>189</v>
      </c>
      <c r="B180" t="s">
        <v>190</v>
      </c>
      <c r="C180">
        <v>304109</v>
      </c>
      <c r="D180">
        <v>164055</v>
      </c>
      <c r="F180" s="1">
        <f>DATE(
RIGHT(B180,4),
MATCH(
MID(B180,FIND("- ",B180)+2,FIND(" ",B180,FIND("- ",B180)+2)-FIND("- ",B180)-2),
{"Janvier";"Février";"Mars";"Avril";"Mai";"Juin";"Juillet";"Août";"Septembre";"Octobre";"Novembre";"Décembre"},
0),
1)</f>
        <v>45505</v>
      </c>
    </row>
    <row r="181" spans="1:6" x14ac:dyDescent="0.4">
      <c r="A181" t="s">
        <v>716</v>
      </c>
      <c r="B181" t="s">
        <v>717</v>
      </c>
      <c r="C181">
        <v>38478</v>
      </c>
      <c r="D181">
        <v>15874</v>
      </c>
      <c r="F181" s="1">
        <f>DATE(
RIGHT(B181,4),
MATCH(
MID(B181,FIND("- ",B181)+2,FIND(" ",B181,FIND("- ",B181)+2)-FIND("- ",B181)-2),
{"Janvier";"Février";"Mars";"Avril";"Mai";"Juin";"Juillet";"Août";"Septembre";"Octobre";"Novembre";"Décembre"},
0),
1)</f>
        <v>45292</v>
      </c>
    </row>
    <row r="182" spans="1:6" x14ac:dyDescent="0.4">
      <c r="A182" t="s">
        <v>264</v>
      </c>
      <c r="B182" t="s">
        <v>265</v>
      </c>
      <c r="C182">
        <v>65146</v>
      </c>
      <c r="D182">
        <v>30207</v>
      </c>
      <c r="F182" s="1">
        <f>DATE(
RIGHT(B182,4),
MATCH(
MID(B182,FIND("- ",B182)+2,FIND(" ",B182,FIND("- ",B182)+2)-FIND("- ",B182)-2),
{"Janvier";"Février";"Mars";"Avril";"Mai";"Juin";"Juillet";"Août";"Septembre";"Octobre";"Novembre";"Décembre"},
0),
1)</f>
        <v>45323</v>
      </c>
    </row>
    <row r="183" spans="1:6" x14ac:dyDescent="0.4">
      <c r="A183" t="s">
        <v>472</v>
      </c>
      <c r="B183" t="s">
        <v>473</v>
      </c>
      <c r="C183">
        <v>454565</v>
      </c>
      <c r="D183">
        <v>286406</v>
      </c>
      <c r="F183" s="1">
        <f>DATE(
RIGHT(B183,4),
MATCH(
MID(B183,FIND("- ",B183)+2,FIND(" ",B183,FIND("- ",B183)+2)-FIND("- ",B183)-2),
{"Janvier";"Février";"Mars";"Avril";"Mai";"Juin";"Juillet";"Août";"Septembre";"Octobre";"Novembre";"Décembre"},
0),
1)</f>
        <v>45261</v>
      </c>
    </row>
    <row r="184" spans="1:6" x14ac:dyDescent="0.4">
      <c r="A184" t="s">
        <v>197</v>
      </c>
      <c r="B184" t="s">
        <v>198</v>
      </c>
      <c r="C184">
        <v>98048</v>
      </c>
      <c r="D184">
        <v>57862</v>
      </c>
      <c r="F184" s="1">
        <f>DATE(
RIGHT(B184,4),
MATCH(
MID(B184,FIND("- ",B184)+2,FIND(" ",B184,FIND("- ",B184)+2)-FIND("- ",B184)-2),
{"Janvier";"Février";"Mars";"Avril";"Mai";"Juin";"Juillet";"Août";"Septembre";"Octobre";"Novembre";"Décembre"},
0),
1)</f>
        <v>45352</v>
      </c>
    </row>
    <row r="185" spans="1:6" x14ac:dyDescent="0.4">
      <c r="A185" t="s">
        <v>193</v>
      </c>
      <c r="B185" t="s">
        <v>194</v>
      </c>
      <c r="C185">
        <v>134225</v>
      </c>
      <c r="D185">
        <v>55109</v>
      </c>
      <c r="F185" s="1">
        <f>DATE(
RIGHT(B185,4),
MATCH(
MID(B185,FIND("- ",B185)+2,FIND(" ",B185,FIND("- ",B185)+2)-FIND("- ",B185)-2),
{"Janvier";"Février";"Mars";"Avril";"Mai";"Juin";"Juillet";"Août";"Septembre";"Octobre";"Novembre";"Décembre"},
0),
1)</f>
        <v>45383</v>
      </c>
    </row>
    <row r="186" spans="1:6" x14ac:dyDescent="0.4">
      <c r="A186" t="s">
        <v>652</v>
      </c>
      <c r="B186" t="s">
        <v>653</v>
      </c>
      <c r="C186">
        <v>197637</v>
      </c>
      <c r="D186">
        <v>105460</v>
      </c>
      <c r="F186" s="1">
        <f>DATE(
RIGHT(B186,4),
MATCH(
MID(B186,FIND("- ",B186)+2,FIND(" ",B186,FIND("- ",B186)+2)-FIND("- ",B186)-2),
{"Janvier";"Février";"Mars";"Avril";"Mai";"Juin";"Juillet";"Août";"Septembre";"Octobre";"Novembre";"Décembre"},
0),
1)</f>
        <v>45413</v>
      </c>
    </row>
    <row r="187" spans="1:6" x14ac:dyDescent="0.4">
      <c r="A187" t="s">
        <v>692</v>
      </c>
      <c r="B187" t="s">
        <v>693</v>
      </c>
      <c r="C187">
        <v>230570</v>
      </c>
      <c r="D187">
        <v>141997</v>
      </c>
      <c r="F187" s="1">
        <f>DATE(
RIGHT(B187,4),
MATCH(
MID(B187,FIND("- ",B187)+2,FIND(" ",B187,FIND("- ",B187)+2)-FIND("- ",B187)-2),
{"Janvier";"Février";"Mars";"Avril";"Mai";"Juin";"Juillet";"Août";"Septembre";"Octobre";"Novembre";"Décembre"},
0),
1)</f>
        <v>45444</v>
      </c>
    </row>
    <row r="188" spans="1:6" x14ac:dyDescent="0.4">
      <c r="A188" t="s">
        <v>260</v>
      </c>
      <c r="B188" t="s">
        <v>261</v>
      </c>
      <c r="C188">
        <v>276795</v>
      </c>
      <c r="D188">
        <v>147189</v>
      </c>
      <c r="F188" s="1">
        <f>DATE(
RIGHT(B188,4),
MATCH(
MID(B188,FIND("- ",B188)+2,FIND(" ",B188,FIND("- ",B188)+2)-FIND("- ",B188)-2),
{"Janvier";"Février";"Mars";"Avril";"Mai";"Juin";"Juillet";"Août";"Septembre";"Octobre";"Novembre";"Décembre"},
0),
1)</f>
        <v>45474</v>
      </c>
    </row>
    <row r="189" spans="1:6" x14ac:dyDescent="0.4">
      <c r="A189" t="s">
        <v>408</v>
      </c>
      <c r="B189" t="s">
        <v>409</v>
      </c>
      <c r="C189">
        <v>335893</v>
      </c>
      <c r="D189">
        <v>200522</v>
      </c>
      <c r="F189" s="1">
        <f>DATE(
RIGHT(B189,4),
MATCH(
MID(B189,FIND("- ",B189)+2,FIND(" ",B189,FIND("- ",B189)+2)-FIND("- ",B189)-2),
{"Janvier";"Février";"Mars";"Avril";"Mai";"Juin";"Juillet";"Août";"Septembre";"Octobre";"Novembre";"Décembre"},
0),
1)</f>
        <v>45536</v>
      </c>
    </row>
    <row r="190" spans="1:6" x14ac:dyDescent="0.4">
      <c r="A190" t="s">
        <v>213</v>
      </c>
      <c r="B190" t="s">
        <v>214</v>
      </c>
      <c r="C190">
        <v>371417</v>
      </c>
      <c r="D190">
        <v>224357</v>
      </c>
      <c r="F190" s="1">
        <f>DATE(
RIGHT(B190,4),
MATCH(
MID(B190,FIND("- ",B190)+2,FIND(" ",B190,FIND("- ",B190)+2)-FIND("- ",B190)-2),
{"Janvier";"Février";"Mars";"Avril";"Mai";"Juin";"Juillet";"Août";"Septembre";"Octobre";"Novembre";"Décembre"},
0),
1)</f>
        <v>45566</v>
      </c>
    </row>
    <row r="191" spans="1:6" x14ac:dyDescent="0.4">
      <c r="A191" t="s">
        <v>209</v>
      </c>
      <c r="B191" t="s">
        <v>210</v>
      </c>
      <c r="C191">
        <v>400776</v>
      </c>
      <c r="D191">
        <v>250759</v>
      </c>
      <c r="F191" s="1">
        <f>DATE(
RIGHT(B191,4),
MATCH(
MID(B191,FIND("- ",B191)+2,FIND(" ",B191,FIND("- ",B191)+2)-FIND("- ",B191)-2),
{"Janvier";"Février";"Mars";"Avril";"Mai";"Juin";"Juillet";"Août";"Septembre";"Octobre";"Novembre";"Décembre"},
0),
1)</f>
        <v>45597</v>
      </c>
    </row>
    <row r="192" spans="1:6" x14ac:dyDescent="0.4">
      <c r="A192" t="s">
        <v>376</v>
      </c>
      <c r="B192" t="s">
        <v>377</v>
      </c>
      <c r="C192">
        <v>443413</v>
      </c>
      <c r="D192">
        <v>289467</v>
      </c>
      <c r="F192" s="1">
        <f>DATE(
RIGHT(B192,4),
MATCH(
MID(B192,FIND("- ",B192)+2,FIND(" ",B192,FIND("- ",B192)+2)-FIND("- ",B192)-2),
{"Janvier";"Février";"Mars";"Avril";"Mai";"Juin";"Juillet";"Août";"Septembre";"Octobre";"Novembre";"Décembre"},
0),
1)</f>
        <v>45627</v>
      </c>
    </row>
    <row r="193" spans="1:6" x14ac:dyDescent="0.4">
      <c r="A193" t="s">
        <v>13</v>
      </c>
      <c r="B193" t="s">
        <v>14</v>
      </c>
      <c r="C193">
        <v>189554</v>
      </c>
      <c r="D193">
        <v>116081</v>
      </c>
      <c r="F193" s="1">
        <f>DATE(
RIGHT(B193,4),
MATCH(
MID(B193,FIND("- ",B193)+2,FIND(" ",B193,FIND("- ",B193)+2)-FIND("- ",B193)-2),
{"Janvier";"Février";"Mars";"Avril";"Mai";"Juin";"Juillet";"Août";"Septembre";"Octobre";"Novembre";"Décembre"},
0),
1)</f>
        <v>45778</v>
      </c>
    </row>
    <row r="194" spans="1:6" x14ac:dyDescent="0.4">
      <c r="A194" t="s">
        <v>185</v>
      </c>
      <c r="B194" t="s">
        <v>186</v>
      </c>
      <c r="C194">
        <v>271833</v>
      </c>
      <c r="D194">
        <v>156939</v>
      </c>
      <c r="F194" s="1">
        <f>DATE(
RIGHT(B194,4),
MATCH(
MID(B194,FIND("- ",B194)+2,FIND(" ",B194,FIND("- ",B194)+2)-FIND("- ",B194)-2),
{"Janvier";"Février";"Mars";"Avril";"Mai";"Juin";"Juillet";"Août";"Septembre";"Octobre";"Novembre";"Décembre"},
0),
1)</f>
        <v>45839</v>
      </c>
    </row>
    <row r="195" spans="1:6" x14ac:dyDescent="0.4">
      <c r="A195" t="s">
        <v>688</v>
      </c>
      <c r="B195" t="s">
        <v>689</v>
      </c>
      <c r="C195">
        <v>300384</v>
      </c>
      <c r="D195">
        <v>174450</v>
      </c>
      <c r="F195" s="1">
        <f>DATE(
RIGHT(B195,4),
MATCH(
MID(B195,FIND("- ",B195)+2,FIND(" ",B195,FIND("- ",B195)+2)-FIND("- ",B195)-2),
{"Janvier";"Février";"Mars";"Avril";"Mai";"Juin";"Juillet";"Août";"Septembre";"Octobre";"Novembre";"Décembre"},
0),
1)</f>
        <v>45870</v>
      </c>
    </row>
    <row r="196" spans="1:6" x14ac:dyDescent="0.4">
      <c r="A196" t="s">
        <v>9</v>
      </c>
      <c r="B196" t="s">
        <v>10</v>
      </c>
      <c r="C196">
        <v>368539</v>
      </c>
      <c r="D196">
        <v>241105</v>
      </c>
      <c r="F196" s="1">
        <f>DATE(
RIGHT(B196,4),
MATCH(
MID(B196,FIND("- ",B196)+2,FIND(" ",B196,FIND("- ",B196)+2)-FIND("- ",B196)-2),
{"Janvier";"Février";"Mars";"Avril";"Mai";"Juin";"Juillet";"Août";"Septembre";"Octobre";"Novembre";"Décembre"},
0),
1)</f>
        <v>45931</v>
      </c>
    </row>
    <row r="197" spans="1:6" x14ac:dyDescent="0.4">
      <c r="A197" t="s">
        <v>161</v>
      </c>
      <c r="B197" t="s">
        <v>162</v>
      </c>
      <c r="C197">
        <v>32283</v>
      </c>
      <c r="D197">
        <v>18762</v>
      </c>
      <c r="F197" s="1">
        <f>DATE(
RIGHT(B197,4),
MATCH(
MID(B197,FIND("- ",B197)+2,FIND(" ",B197,FIND("- ",B197)+2)-FIND("- ",B197)-2),
{"Janvier";"Février";"Mars";"Avril";"Mai";"Juin";"Juillet";"Août";"Septembre";"Octobre";"Novembre";"Décembre"},
0),
1)</f>
        <v>45658</v>
      </c>
    </row>
    <row r="198" spans="1:6" x14ac:dyDescent="0.4">
      <c r="A198" t="s">
        <v>17</v>
      </c>
      <c r="B198" t="s">
        <v>18</v>
      </c>
      <c r="C198">
        <v>138688</v>
      </c>
      <c r="D198">
        <v>85831</v>
      </c>
      <c r="F198" s="1">
        <f>DATE(
RIGHT(B198,4),
MATCH(
MID(B198,FIND("- ",B198)+2,FIND(" ",B198,FIND("- ",B198)+2)-FIND("- ",B198)-2),
{"Janvier";"Février";"Mars";"Avril";"Mai";"Juin";"Juillet";"Août";"Septembre";"Octobre";"Novembre";"Décembre"},
0),
1)</f>
        <v>45748</v>
      </c>
    </row>
    <row r="199" spans="1:6" x14ac:dyDescent="0.4">
      <c r="A199" t="s">
        <v>500</v>
      </c>
      <c r="B199" t="s">
        <v>501</v>
      </c>
      <c r="C199">
        <v>67286</v>
      </c>
      <c r="D199">
        <v>34691</v>
      </c>
      <c r="F199" s="1">
        <f>DATE(
RIGHT(B199,4),
MATCH(
MID(B199,FIND("- ",B199)+2,FIND(" ",B199,FIND("- ",B199)+2)-FIND("- ",B199)-2),
{"Janvier";"Février";"Mars";"Avril";"Mai";"Juin";"Juillet";"Août";"Septembre";"Octobre";"Novembre";"Décembre"},
0),
1)</f>
        <v>45689</v>
      </c>
    </row>
    <row r="200" spans="1:6" x14ac:dyDescent="0.4">
      <c r="A200" t="s">
        <v>544</v>
      </c>
      <c r="B200" t="s">
        <v>545</v>
      </c>
      <c r="C200">
        <v>332704</v>
      </c>
      <c r="D200">
        <v>211642</v>
      </c>
      <c r="F200" s="1">
        <f>DATE(
RIGHT(B200,4),
MATCH(
MID(B200,FIND("- ",B200)+2,FIND(" ",B200,FIND("- ",B200)+2)-FIND("- ",B200)-2),
{"Janvier";"Février";"Mars";"Avril";"Mai";"Juin";"Juillet";"Août";"Septembre";"Octobre";"Novembre";"Décembre"},
0),
1)</f>
        <v>45901</v>
      </c>
    </row>
    <row r="201" spans="1:6" x14ac:dyDescent="0.4">
      <c r="A201" t="s">
        <v>496</v>
      </c>
      <c r="B201" t="s">
        <v>497</v>
      </c>
      <c r="C201">
        <v>228121</v>
      </c>
      <c r="D201">
        <v>148550</v>
      </c>
      <c r="F201" s="1">
        <f>DATE(
RIGHT(B201,4),
MATCH(
MID(B201,FIND("- ",B201)+2,FIND(" ",B201,FIND("- ",B201)+2)-FIND("- ",B201)-2),
{"Janvier";"Février";"Mars";"Avril";"Mai";"Juin";"Juillet";"Août";"Septembre";"Octobre";"Novembre";"Décembre"},
0),
1)</f>
        <v>45809</v>
      </c>
    </row>
    <row r="202" spans="1:6" x14ac:dyDescent="0.4">
      <c r="A202" t="s">
        <v>372</v>
      </c>
      <c r="B202" t="s">
        <v>373</v>
      </c>
      <c r="C202">
        <v>97999</v>
      </c>
      <c r="D202">
        <v>62738</v>
      </c>
      <c r="F202" s="1">
        <f>DATE(
RIGHT(B202,4),
MATCH(
MID(B202,FIND("- ",B202)+2,FIND(" ",B202,FIND("- ",B202)+2)-FIND("- ",B202)-2),
{"Janvier";"Février";"Mars";"Avril";"Mai";"Juin";"Juillet";"Août";"Septembre";"Octobre";"Novembre";"Décembre"},
0),
1)</f>
        <v>45717</v>
      </c>
    </row>
    <row r="203" spans="1:6" x14ac:dyDescent="0.4">
      <c r="A203" t="s">
        <v>372</v>
      </c>
      <c r="B203" t="s">
        <v>788</v>
      </c>
      <c r="C203">
        <v>443413</v>
      </c>
      <c r="D203">
        <v>289467</v>
      </c>
      <c r="F203" s="1">
        <f>DATE(
RIGHT(B203,4),
MATCH(
MID(B203,FIND("- ",B203)+2,FIND(" ",B203,FIND("- ",B203)+2)-FIND("- ",B203)-2),
{"Janvier";"Février";"Mars";"Avril";"Mai";"Juin";"Juillet";"Août";"Septembre";"Octobre";"Novembre";"Décembre"},
0),
1)</f>
        <v>45627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13CB-122C-554B-848C-B93AF1C95EB2}">
  <sheetPr filterMode="1"/>
  <dimension ref="A1:G198"/>
  <sheetViews>
    <sheetView tabSelected="1" topLeftCell="A165" workbookViewId="0">
      <selection activeCell="F2" sqref="F2:F198"/>
    </sheetView>
  </sheetViews>
  <sheetFormatPr baseColWidth="10" defaultRowHeight="16" x14ac:dyDescent="0.4"/>
  <cols>
    <col min="1" max="1" width="14.83203125" bestFit="1" customWidth="1"/>
    <col min="2" max="2" width="48.5" bestFit="1" customWidth="1"/>
    <col min="3" max="3" width="30.83203125" style="4" customWidth="1"/>
    <col min="4" max="4" width="14" bestFit="1" customWidth="1"/>
    <col min="6" max="6" width="17.83203125" bestFit="1" customWidth="1"/>
    <col min="7" max="7" width="18" bestFit="1" customWidth="1"/>
  </cols>
  <sheetData>
    <row r="1" spans="1:7" x14ac:dyDescent="0.4">
      <c r="A1" t="s">
        <v>3</v>
      </c>
      <c r="B1" t="s">
        <v>4</v>
      </c>
      <c r="C1" s="4" t="s">
        <v>828</v>
      </c>
      <c r="D1" t="s">
        <v>829</v>
      </c>
      <c r="E1" t="s">
        <v>830</v>
      </c>
      <c r="F1" t="s">
        <v>831</v>
      </c>
      <c r="G1" t="s">
        <v>832</v>
      </c>
    </row>
    <row r="2" spans="1:7" x14ac:dyDescent="0.4">
      <c r="A2" t="s">
        <v>404</v>
      </c>
      <c r="B2" t="s">
        <v>405</v>
      </c>
      <c r="C2" s="5">
        <v>18220</v>
      </c>
      <c r="D2">
        <v>10902</v>
      </c>
      <c r="E2" s="1">
        <f>DATE(
RIGHT(B2,4),
MATCH(
MID(B2,FIND("- ",B2)+2,FIND(" ",B2,FIND("- ",B2)+2)-FIND("- ",B2)-2),
{"Janvier";"Février";"Mars";"Avril";"Mai";"Juin";"Juillet";"Août";"Septembre";"Octobre";"Novembre";"Décembre"},
0),
1)</f>
        <v>40179</v>
      </c>
      <c r="F2" s="6">
        <f>IF(E3=E2,#N/A,D2*1000000)</f>
        <v>10902000000</v>
      </c>
      <c r="G2" s="7">
        <f>IF(E3=E2,#N/A,C2*1000000)</f>
        <v>18220000000</v>
      </c>
    </row>
    <row r="3" spans="1:7" x14ac:dyDescent="0.4">
      <c r="A3" t="s">
        <v>61</v>
      </c>
      <c r="B3" t="s">
        <v>62</v>
      </c>
      <c r="C3" s="5">
        <v>37527</v>
      </c>
      <c r="D3">
        <v>19423</v>
      </c>
      <c r="E3" s="1">
        <f>DATE(
RIGHT(B3,4),
MATCH(
MID(B3,FIND("- ",B3)+2,FIND(" ",B3,FIND("- ",B3)+2)-FIND("- ",B3)-2),
{"Janvier";"Février";"Mars";"Avril";"Mai";"Juin";"Juillet";"Août";"Septembre";"Octobre";"Novembre";"Décembre"},
0),
1)</f>
        <v>40210</v>
      </c>
      <c r="F3" s="6">
        <f t="shared" ref="F3:F66" si="0">IF(E4=E3,#N/A,D3*1000000)</f>
        <v>19423000000</v>
      </c>
      <c r="G3" s="7">
        <f t="shared" ref="G3:G66" si="1">IF(E4=E3,#N/A,C3*1000000)</f>
        <v>37527000000</v>
      </c>
    </row>
    <row r="4" spans="1:7" x14ac:dyDescent="0.4">
      <c r="A4" t="s">
        <v>584</v>
      </c>
      <c r="B4" t="s">
        <v>585</v>
      </c>
      <c r="C4" s="5">
        <v>58278</v>
      </c>
      <c r="D4">
        <v>33677</v>
      </c>
      <c r="E4" s="1">
        <f>DATE(
RIGHT(B4,4),
MATCH(
MID(B4,FIND("- ",B4)+2,FIND(" ",B4,FIND("- ",B4)+2)-FIND("- ",B4)-2),
{"Janvier";"Février";"Mars";"Avril";"Mai";"Juin";"Juillet";"Août";"Septembre";"Octobre";"Novembre";"Décembre"},
0),
1)</f>
        <v>40238</v>
      </c>
      <c r="F4" s="6">
        <f t="shared" si="0"/>
        <v>33677000000</v>
      </c>
      <c r="G4" s="7">
        <f t="shared" si="1"/>
        <v>58278000000</v>
      </c>
    </row>
    <row r="5" spans="1:7" x14ac:dyDescent="0.4">
      <c r="A5" t="s">
        <v>648</v>
      </c>
      <c r="B5" t="s">
        <v>649</v>
      </c>
      <c r="C5" s="5">
        <v>94797</v>
      </c>
      <c r="D5">
        <v>45796</v>
      </c>
      <c r="E5" s="1">
        <f>DATE(
RIGHT(B5,4),
MATCH(
MID(B5,FIND("- ",B5)+2,FIND(" ",B5,FIND("- ",B5)+2)-FIND("- ",B5)-2),
{"Janvier";"Février";"Mars";"Avril";"Mai";"Juin";"Juillet";"Août";"Septembre";"Octobre";"Novembre";"Décembre"},
0),
1)</f>
        <v>40269</v>
      </c>
      <c r="F5" s="6">
        <f t="shared" si="0"/>
        <v>45796000000</v>
      </c>
      <c r="G5" s="7">
        <f t="shared" si="1"/>
        <v>94797000000</v>
      </c>
    </row>
    <row r="6" spans="1:7" x14ac:dyDescent="0.4">
      <c r="A6" t="s">
        <v>256</v>
      </c>
      <c r="B6" t="s">
        <v>257</v>
      </c>
      <c r="C6" s="5">
        <v>113300</v>
      </c>
      <c r="D6">
        <v>58245</v>
      </c>
      <c r="E6" s="1">
        <f>DATE(
RIGHT(B6,4),
MATCH(
MID(B6,FIND("- ",B6)+2,FIND(" ",B6,FIND("- ",B6)+2)-FIND("- ",B6)-2),
{"Janvier";"Février";"Mars";"Avril";"Mai";"Juin";"Juillet";"Août";"Septembre";"Octobre";"Novembre";"Décembre"},
0),
1)</f>
        <v>40299</v>
      </c>
      <c r="F6" s="6">
        <f t="shared" si="0"/>
        <v>58245000000</v>
      </c>
      <c r="G6" s="7">
        <f t="shared" si="1"/>
        <v>113300000000</v>
      </c>
    </row>
    <row r="7" spans="1:7" x14ac:dyDescent="0.4">
      <c r="A7" t="s">
        <v>252</v>
      </c>
      <c r="B7" t="s">
        <v>253</v>
      </c>
      <c r="C7" s="5">
        <v>137147</v>
      </c>
      <c r="D7">
        <v>89801</v>
      </c>
      <c r="E7" s="1">
        <f>DATE(
RIGHT(B7,4),
MATCH(
MID(B7,FIND("- ",B7)+2,FIND(" ",B7,FIND("- ",B7)+2)-FIND("- ",B7)-2),
{"Janvier";"Février";"Mars";"Avril";"Mai";"Juin";"Juillet";"Août";"Septembre";"Octobre";"Novembre";"Décembre"},
0),
1)</f>
        <v>40330</v>
      </c>
      <c r="F7" s="6">
        <f t="shared" si="0"/>
        <v>89801000000</v>
      </c>
      <c r="G7" s="7">
        <f t="shared" si="1"/>
        <v>137147000000</v>
      </c>
    </row>
    <row r="8" spans="1:7" x14ac:dyDescent="0.4">
      <c r="A8" t="s">
        <v>644</v>
      </c>
      <c r="B8" t="s">
        <v>645</v>
      </c>
      <c r="C8" s="5">
        <v>52793</v>
      </c>
      <c r="D8">
        <v>99386</v>
      </c>
      <c r="E8" s="1">
        <f>DATE(
RIGHT(B8,4),
MATCH(
MID(B8,FIND("- ",B8)+2,FIND(" ",B8,FIND("- ",B8)+2)-FIND("- ",B8)-2),
{"Janvier";"Février";"Mars";"Avril";"Mai";"Juin";"Juillet";"Août";"Septembre";"Octobre";"Novembre";"Décembre"},
0),
1)</f>
        <v>40360</v>
      </c>
      <c r="F8" s="6">
        <f t="shared" si="0"/>
        <v>99386000000</v>
      </c>
      <c r="G8" s="7">
        <f t="shared" si="1"/>
        <v>52793000000</v>
      </c>
    </row>
    <row r="9" spans="1:7" x14ac:dyDescent="0.4">
      <c r="A9" t="s">
        <v>576</v>
      </c>
      <c r="B9" t="s">
        <v>577</v>
      </c>
      <c r="C9" s="5">
        <v>201382</v>
      </c>
      <c r="D9">
        <v>100786</v>
      </c>
      <c r="E9" s="1">
        <f>DATE(
RIGHT(B9,4),
MATCH(
MID(B9,FIND("- ",B9)+2,FIND(" ",B9,FIND("- ",B9)+2)-FIND("- ",B9)-2),
{"Janvier";"Février";"Mars";"Avril";"Mai";"Juin";"Juillet";"Août";"Septembre";"Octobre";"Novembre";"Décembre"},
0),
1)</f>
        <v>40391</v>
      </c>
      <c r="F9" s="6">
        <f t="shared" si="0"/>
        <v>100786000000</v>
      </c>
      <c r="G9" s="7">
        <f t="shared" si="1"/>
        <v>201382000000</v>
      </c>
    </row>
    <row r="10" spans="1:7" x14ac:dyDescent="0.4">
      <c r="A10" t="s">
        <v>492</v>
      </c>
      <c r="B10" t="s">
        <v>493</v>
      </c>
      <c r="C10" s="5">
        <v>232734</v>
      </c>
      <c r="D10">
        <v>126984</v>
      </c>
      <c r="E10" s="1">
        <f>DATE(
RIGHT(B10,4),
MATCH(
MID(B10,FIND("- ",B10)+2,FIND(" ",B10,FIND("- ",B10)+2)-FIND("- ",B10)-2),
{"Janvier";"Février";"Mars";"Avril";"Mai";"Juin";"Juillet";"Août";"Septembre";"Octobre";"Novembre";"Décembre"},
0),
1)</f>
        <v>40422</v>
      </c>
      <c r="F10" s="6">
        <f t="shared" si="0"/>
        <v>126984000000</v>
      </c>
      <c r="G10" s="7">
        <f t="shared" si="1"/>
        <v>232734000000</v>
      </c>
    </row>
    <row r="11" spans="1:7" x14ac:dyDescent="0.4">
      <c r="A11" t="s">
        <v>368</v>
      </c>
      <c r="B11" t="s">
        <v>369</v>
      </c>
      <c r="C11" s="4">
        <v>268285</v>
      </c>
      <c r="D11">
        <v>137576</v>
      </c>
      <c r="E11" s="1">
        <f>DATE(
RIGHT(B11,4),
MATCH(
MID(B11,FIND("- ",B11)+2,FIND(" ",B11,FIND("- ",B11)+2)-FIND("- ",B11)-2),
{"Janvier";"Février";"Mars";"Avril";"Mai";"Juin";"Juillet";"Août";"Septembre";"Octobre";"Novembre";"Décembre"},
0),
1)</f>
        <v>40452</v>
      </c>
      <c r="F11" s="6">
        <f t="shared" si="0"/>
        <v>137576000000</v>
      </c>
      <c r="G11" s="7">
        <f t="shared" si="1"/>
        <v>268285000000</v>
      </c>
    </row>
    <row r="12" spans="1:7" x14ac:dyDescent="0.4">
      <c r="A12" t="s">
        <v>33</v>
      </c>
      <c r="B12" t="s">
        <v>34</v>
      </c>
      <c r="C12" s="4">
        <v>288420</v>
      </c>
      <c r="D12">
        <v>147318</v>
      </c>
      <c r="E12" s="1">
        <f>DATE(
RIGHT(B12,4),
MATCH(
MID(B12,FIND("- ",B12)+2,FIND(" ",B12,FIND("- ",B12)+2)-FIND("- ",B12)-2),
{"Janvier";"Février";"Mars";"Avril";"Mai";"Juin";"Juillet";"Août";"Septembre";"Octobre";"Novembre";"Décembre"},
0),
1)</f>
        <v>40483</v>
      </c>
      <c r="F12" s="6">
        <f t="shared" si="0"/>
        <v>147318000000</v>
      </c>
      <c r="G12" s="7">
        <f t="shared" si="1"/>
        <v>288420000000</v>
      </c>
    </row>
    <row r="13" spans="1:7" x14ac:dyDescent="0.4">
      <c r="A13" t="s">
        <v>133</v>
      </c>
      <c r="B13" t="s">
        <v>134</v>
      </c>
      <c r="C13" s="4">
        <v>319524</v>
      </c>
      <c r="D13">
        <v>172169</v>
      </c>
      <c r="E13" s="1">
        <f>DATE(
RIGHT(B13,4),
MATCH(
MID(B13,FIND("- ",B13)+2,FIND(" ",B13,FIND("- ",B13)+2)-FIND("- ",B13)-2),
{"Janvier";"Février";"Mars";"Avril";"Mai";"Juin";"Juillet";"Août";"Septembre";"Octobre";"Novembre";"Décembre"},
0),
1)</f>
        <v>40513</v>
      </c>
      <c r="F13" s="6">
        <f t="shared" si="0"/>
        <v>172169000000</v>
      </c>
      <c r="G13" s="7">
        <f t="shared" si="1"/>
        <v>319524000000</v>
      </c>
    </row>
    <row r="14" spans="1:7" x14ac:dyDescent="0.4">
      <c r="A14" t="s">
        <v>400</v>
      </c>
      <c r="B14" t="s">
        <v>401</v>
      </c>
      <c r="C14" s="4">
        <v>20107</v>
      </c>
      <c r="D14">
        <v>14289</v>
      </c>
      <c r="E14" s="1">
        <f>DATE(
RIGHT(B14,4),
MATCH(
MID(B14,FIND("- ",B14)+2,FIND(" ",B14,FIND("- ",B14)+2)-FIND("- ",B14)-2),
{"Janvier";"Février";"Mars";"Avril";"Mai";"Juin";"Juillet";"Août";"Septembre";"Octobre";"Novembre";"Décembre"},
0),
1)</f>
        <v>40544</v>
      </c>
      <c r="F14" s="6">
        <f t="shared" si="0"/>
        <v>14289000000</v>
      </c>
      <c r="G14" s="7">
        <f t="shared" si="1"/>
        <v>20107000000</v>
      </c>
    </row>
    <row r="15" spans="1:7" x14ac:dyDescent="0.4">
      <c r="A15" t="s">
        <v>616</v>
      </c>
      <c r="B15" t="s">
        <v>617</v>
      </c>
      <c r="C15" s="4">
        <v>41932</v>
      </c>
      <c r="D15">
        <v>25059</v>
      </c>
      <c r="E15" s="1">
        <f>DATE(
RIGHT(B15,4),
MATCH(
MID(B15,FIND("- ",B15)+2,FIND(" ",B15,FIND("- ",B15)+2)-FIND("- ",B15)-2),
{"Janvier";"Février";"Mars";"Avril";"Mai";"Juin";"Juillet";"Août";"Septembre";"Octobre";"Novembre";"Décembre"},
0),
1)</f>
        <v>40575</v>
      </c>
      <c r="F15" s="6">
        <f t="shared" si="0"/>
        <v>25059000000</v>
      </c>
      <c r="G15" s="7">
        <f t="shared" si="1"/>
        <v>41932000000</v>
      </c>
    </row>
    <row r="16" spans="1:7" x14ac:dyDescent="0.4">
      <c r="A16" t="s">
        <v>520</v>
      </c>
      <c r="B16" t="s">
        <v>521</v>
      </c>
      <c r="C16" s="4">
        <v>61642</v>
      </c>
      <c r="D16">
        <v>44545</v>
      </c>
      <c r="E16" s="1">
        <f>DATE(
RIGHT(B16,4),
MATCH(
MID(B16,FIND("- ",B16)+2,FIND(" ",B16,FIND("- ",B16)+2)-FIND("- ",B16)-2),
{"Janvier";"Février";"Mars";"Avril";"Mai";"Juin";"Juillet";"Août";"Septembre";"Octobre";"Novembre";"Décembre"},
0),
1)</f>
        <v>40603</v>
      </c>
      <c r="F16" s="6">
        <f t="shared" si="0"/>
        <v>44545000000</v>
      </c>
      <c r="G16" s="7">
        <f t="shared" si="1"/>
        <v>61642000000</v>
      </c>
    </row>
    <row r="17" spans="1:7" x14ac:dyDescent="0.4">
      <c r="A17" t="s">
        <v>300</v>
      </c>
      <c r="B17" t="s">
        <v>301</v>
      </c>
      <c r="C17" s="4">
        <v>102111</v>
      </c>
      <c r="D17">
        <v>62507</v>
      </c>
      <c r="E17" s="1">
        <f>DATE(
RIGHT(B17,4),
MATCH(
MID(B17,FIND("- ",B17)+2,FIND(" ",B17,FIND("- ",B17)+2)-FIND("- ",B17)-2),
{"Janvier";"Février";"Mars";"Avril";"Mai";"Juin";"Juillet";"Août";"Septembre";"Octobre";"Novembre";"Décembre"},
0),
1)</f>
        <v>40634</v>
      </c>
      <c r="F17" s="6">
        <f t="shared" si="0"/>
        <v>62507000000</v>
      </c>
      <c r="G17" s="7">
        <f t="shared" si="1"/>
        <v>102111000000</v>
      </c>
    </row>
    <row r="18" spans="1:7" x14ac:dyDescent="0.4">
      <c r="A18" t="s">
        <v>129</v>
      </c>
      <c r="B18" t="s">
        <v>130</v>
      </c>
      <c r="C18" s="4">
        <v>120927</v>
      </c>
      <c r="D18">
        <v>76973</v>
      </c>
      <c r="E18" s="1">
        <f>DATE(
RIGHT(B18,4),
MATCH(
MID(B18,FIND("- ",B18)+2,FIND(" ",B18,FIND("- ",B18)+2)-FIND("- ",B18)-2),
{"Janvier";"Février";"Mars";"Avril";"Mai";"Juin";"Juillet";"Août";"Septembre";"Octobre";"Novembre";"Décembre"},
0),
1)</f>
        <v>40664</v>
      </c>
      <c r="F18" s="6">
        <f t="shared" si="0"/>
        <v>76973000000</v>
      </c>
      <c r="G18" s="7">
        <f t="shared" si="1"/>
        <v>120927000000</v>
      </c>
    </row>
    <row r="19" spans="1:7" x14ac:dyDescent="0.4">
      <c r="A19" t="s">
        <v>125</v>
      </c>
      <c r="B19" t="s">
        <v>126</v>
      </c>
      <c r="C19" s="4">
        <v>141699</v>
      </c>
      <c r="D19">
        <v>102200</v>
      </c>
      <c r="E19" s="1">
        <f>DATE(
RIGHT(B19,4),
MATCH(
MID(B19,FIND("- ",B19)+2,FIND(" ",B19,FIND("- ",B19)+2)-FIND("- ",B19)-2),
{"Janvier";"Février";"Mars";"Avril";"Mai";"Juin";"Juillet";"Août";"Septembre";"Octobre";"Novembre";"Décembre"},
0),
1)</f>
        <v>40695</v>
      </c>
      <c r="F19" s="6">
        <f t="shared" si="0"/>
        <v>102200000000</v>
      </c>
      <c r="G19" s="7">
        <f t="shared" si="1"/>
        <v>141699000000</v>
      </c>
    </row>
    <row r="20" spans="1:7" x14ac:dyDescent="0.4">
      <c r="A20" t="s">
        <v>121</v>
      </c>
      <c r="B20" t="s">
        <v>122</v>
      </c>
      <c r="C20" s="4">
        <v>176330</v>
      </c>
      <c r="D20">
        <v>117235</v>
      </c>
      <c r="E20" s="1">
        <f>DATE(
RIGHT(B20,4),
MATCH(
MID(B20,FIND("- ",B20)+2,FIND(" ",B20,FIND("- ",B20)+2)-FIND("- ",B20)-2),
{"Janvier";"Février";"Mars";"Avril";"Mai";"Juin";"Juillet";"Août";"Septembre";"Octobre";"Novembre";"Décembre"},
0),
1)</f>
        <v>40725</v>
      </c>
      <c r="F20" s="6">
        <f t="shared" si="0"/>
        <v>117235000000</v>
      </c>
      <c r="G20" s="7">
        <f t="shared" si="1"/>
        <v>176330000000</v>
      </c>
    </row>
    <row r="21" spans="1:7" x14ac:dyDescent="0.4">
      <c r="A21" t="s">
        <v>640</v>
      </c>
      <c r="B21" t="s">
        <v>641</v>
      </c>
      <c r="C21" s="4">
        <v>193854</v>
      </c>
      <c r="D21">
        <v>122904</v>
      </c>
      <c r="E21" s="1">
        <f>DATE(
RIGHT(B21,4),
MATCH(
MID(B21,FIND("- ",B21)+2,FIND(" ",B21,FIND("- ",B21)+2)-FIND("- ",B21)-2),
{"Janvier";"Février";"Mars";"Avril";"Mai";"Juin";"Juillet";"Août";"Septembre";"Octobre";"Novembre";"Décembre"},
0),
1)</f>
        <v>40756</v>
      </c>
      <c r="F21" s="6">
        <f t="shared" si="0"/>
        <v>122904000000</v>
      </c>
      <c r="G21" s="7">
        <f t="shared" si="1"/>
        <v>193854000000</v>
      </c>
    </row>
    <row r="22" spans="1:7" x14ac:dyDescent="0.4">
      <c r="A22" t="s">
        <v>516</v>
      </c>
      <c r="B22" t="s">
        <v>517</v>
      </c>
      <c r="C22" s="4">
        <v>214712</v>
      </c>
      <c r="D22">
        <v>151997</v>
      </c>
      <c r="E22" s="1">
        <f>DATE(
RIGHT(B22,4),
MATCH(
MID(B22,FIND("- ",B22)+2,FIND(" ",B22,FIND("- ",B22)+2)-FIND("- ",B22)-2),
{"Janvier";"Février";"Mars";"Avril";"Mai";"Juin";"Juillet";"Août";"Septembre";"Octobre";"Novembre";"Décembre"},
0),
1)</f>
        <v>40787</v>
      </c>
      <c r="F22" s="6">
        <f t="shared" si="0"/>
        <v>151997000000</v>
      </c>
      <c r="G22" s="7">
        <f t="shared" si="1"/>
        <v>214712000000</v>
      </c>
    </row>
    <row r="23" spans="1:7" x14ac:dyDescent="0.4">
      <c r="A23" t="s">
        <v>93</v>
      </c>
      <c r="B23" t="s">
        <v>94</v>
      </c>
      <c r="C23" s="4">
        <v>249393</v>
      </c>
      <c r="D23">
        <v>167749</v>
      </c>
      <c r="E23" s="1">
        <f>DATE(
RIGHT(B23,4),
MATCH(
MID(B23,FIND("- ",B23)+2,FIND(" ",B23,FIND("- ",B23)+2)-FIND("- ",B23)-2),
{"Janvier";"Février";"Mars";"Avril";"Mai";"Juin";"Juillet";"Août";"Septembre";"Octobre";"Novembre";"Décembre"},
0),
1)</f>
        <v>40817</v>
      </c>
      <c r="F23" s="6">
        <f t="shared" si="0"/>
        <v>167749000000</v>
      </c>
      <c r="G23" s="7">
        <f t="shared" si="1"/>
        <v>249393000000</v>
      </c>
    </row>
    <row r="24" spans="1:7" x14ac:dyDescent="0.4">
      <c r="A24" t="s">
        <v>760</v>
      </c>
      <c r="B24" t="s">
        <v>761</v>
      </c>
      <c r="C24" s="4">
        <v>267951</v>
      </c>
      <c r="D24">
        <v>179663</v>
      </c>
      <c r="E24" s="1">
        <f>DATE(
RIGHT(B24,4),
MATCH(
MID(B24,FIND("- ",B24)+2,FIND(" ",B24,FIND("- ",B24)+2)-FIND("- ",B24)-2),
{"Janvier";"Février";"Mars";"Avril";"Mai";"Juin";"Juillet";"Août";"Septembre";"Octobre";"Novembre";"Décembre"},
0),
1)</f>
        <v>40848</v>
      </c>
      <c r="F24" s="6">
        <f t="shared" si="0"/>
        <v>179663000000</v>
      </c>
      <c r="G24" s="7">
        <f t="shared" si="1"/>
        <v>267951000000</v>
      </c>
    </row>
    <row r="25" spans="1:7" x14ac:dyDescent="0.4">
      <c r="A25" t="s">
        <v>540</v>
      </c>
      <c r="B25" t="s">
        <v>541</v>
      </c>
      <c r="C25" s="4">
        <v>290970</v>
      </c>
      <c r="D25">
        <v>202008</v>
      </c>
      <c r="E25" s="1">
        <f>DATE(
RIGHT(B25,4),
MATCH(
MID(B25,FIND("- ",B25)+2,FIND(" ",B25,FIND("- ",B25)+2)-FIND("- ",B25)-2),
{"Janvier";"Février";"Mars";"Avril";"Mai";"Juin";"Juillet";"Août";"Septembre";"Octobre";"Novembre";"Décembre"},
0),
1)</f>
        <v>40878</v>
      </c>
      <c r="F25" s="6">
        <f t="shared" si="0"/>
        <v>202008000000</v>
      </c>
      <c r="G25" s="7">
        <f t="shared" si="1"/>
        <v>290970000000</v>
      </c>
    </row>
    <row r="26" spans="1:7" x14ac:dyDescent="0.4">
      <c r="A26" t="s">
        <v>612</v>
      </c>
      <c r="B26" t="s">
        <v>613</v>
      </c>
      <c r="C26" s="4">
        <v>26935</v>
      </c>
      <c r="D26">
        <v>17457</v>
      </c>
      <c r="E26" s="1">
        <f>DATE(
RIGHT(B26,4),
MATCH(
MID(B26,FIND("- ",B26)+2,FIND(" ",B26,FIND("- ",B26)+2)-FIND("- ",B26)-2),
{"Janvier";"Février";"Mars";"Avril";"Mai";"Juin";"Juillet";"Août";"Septembre";"Octobre";"Novembre";"Décembre"},
0),
1)</f>
        <v>40909</v>
      </c>
      <c r="F26" s="6">
        <f t="shared" si="0"/>
        <v>17457000000</v>
      </c>
      <c r="G26" s="7">
        <f t="shared" si="1"/>
        <v>26935000000</v>
      </c>
    </row>
    <row r="27" spans="1:7" x14ac:dyDescent="0.4">
      <c r="A27" t="s">
        <v>157</v>
      </c>
      <c r="B27" t="s">
        <v>158</v>
      </c>
      <c r="C27" s="4">
        <v>49280</v>
      </c>
      <c r="D27">
        <v>31024</v>
      </c>
      <c r="E27" s="1">
        <f>DATE(
RIGHT(B27,4),
MATCH(
MID(B27,FIND("- ",B27)+2,FIND(" ",B27,FIND("- ",B27)+2)-FIND("- ",B27)-2),
{"Janvier";"Février";"Mars";"Avril";"Mai";"Juin";"Juillet";"Août";"Septembre";"Octobre";"Novembre";"Décembre"},
0),
1)</f>
        <v>40940</v>
      </c>
      <c r="F27" s="6">
        <f t="shared" si="0"/>
        <v>31024000000</v>
      </c>
      <c r="G27" s="7">
        <f t="shared" si="1"/>
        <v>49280000000</v>
      </c>
    </row>
    <row r="28" spans="1:7" x14ac:dyDescent="0.4">
      <c r="A28" t="s">
        <v>468</v>
      </c>
      <c r="B28" t="s">
        <v>469</v>
      </c>
      <c r="C28" s="4">
        <v>68156</v>
      </c>
      <c r="D28">
        <v>49115</v>
      </c>
      <c r="E28" s="1">
        <f>DATE(
RIGHT(B28,4),
MATCH(
MID(B28,FIND("- ",B28)+2,FIND(" ",B28,FIND("- ",B28)+2)-FIND("- ",B28)-2),
{"Janvier";"Février";"Mars";"Avril";"Mai";"Juin";"Juillet";"Août";"Septembre";"Octobre";"Novembre";"Décembre"},
0),
1)</f>
        <v>40969</v>
      </c>
      <c r="F28" s="6">
        <f t="shared" si="0"/>
        <v>49115000000</v>
      </c>
      <c r="G28" s="7">
        <f t="shared" si="1"/>
        <v>68156000000</v>
      </c>
    </row>
    <row r="29" spans="1:7" x14ac:dyDescent="0.4">
      <c r="A29" t="s">
        <v>684</v>
      </c>
      <c r="B29" t="s">
        <v>685</v>
      </c>
      <c r="C29" s="4">
        <v>109094</v>
      </c>
      <c r="D29">
        <v>66433</v>
      </c>
      <c r="E29" s="1">
        <f>DATE(
RIGHT(B29,4),
MATCH(
MID(B29,FIND("- ",B29)+2,FIND(" ",B29,FIND("- ",B29)+2)-FIND("- ",B29)-2),
{"Janvier";"Février";"Mars";"Avril";"Mai";"Juin";"Juillet";"Août";"Septembre";"Octobre";"Novembre";"Décembre"},
0),
1)</f>
        <v>41000</v>
      </c>
      <c r="F29" s="6">
        <f t="shared" si="0"/>
        <v>66433000000</v>
      </c>
      <c r="G29" s="7">
        <f t="shared" si="1"/>
        <v>109094000000</v>
      </c>
    </row>
    <row r="30" spans="1:7" x14ac:dyDescent="0.4">
      <c r="A30" t="s">
        <v>153</v>
      </c>
      <c r="B30" t="s">
        <v>154</v>
      </c>
      <c r="C30" s="4">
        <v>126708</v>
      </c>
      <c r="D30">
        <v>78389</v>
      </c>
      <c r="E30" s="1">
        <f>DATE(
RIGHT(B30,4),
MATCH(
MID(B30,FIND("- ",B30)+2,FIND(" ",B30,FIND("- ",B30)+2)-FIND("- ",B30)-2),
{"Janvier";"Février";"Mars";"Avril";"Mai";"Juin";"Juillet";"Août";"Septembre";"Octobre";"Novembre";"Décembre"},
0),
1)</f>
        <v>41030</v>
      </c>
      <c r="F30" s="6">
        <f t="shared" si="0"/>
        <v>78389000000</v>
      </c>
      <c r="G30" s="7">
        <f t="shared" si="1"/>
        <v>126708000000</v>
      </c>
    </row>
    <row r="31" spans="1:7" x14ac:dyDescent="0.4">
      <c r="A31" t="s">
        <v>680</v>
      </c>
      <c r="B31" t="s">
        <v>681</v>
      </c>
      <c r="C31" s="4">
        <v>146495</v>
      </c>
      <c r="D31">
        <v>106598</v>
      </c>
      <c r="E31" s="1">
        <f>DATE(
RIGHT(B31,4),
MATCH(
MID(B31,FIND("- ",B31)+2,FIND(" ",B31,FIND("- ",B31)+2)-FIND("- ",B31)-2),
{"Janvier";"Février";"Mars";"Avril";"Mai";"Juin";"Juillet";"Août";"Septembre";"Octobre";"Novembre";"Décembre"},
0),
1)</f>
        <v>41061</v>
      </c>
      <c r="F31" s="6">
        <f t="shared" si="0"/>
        <v>106598000000</v>
      </c>
      <c r="G31" s="7">
        <f t="shared" si="1"/>
        <v>146495000000</v>
      </c>
    </row>
    <row r="32" spans="1:7" x14ac:dyDescent="0.4">
      <c r="A32" t="s">
        <v>117</v>
      </c>
      <c r="B32" t="s">
        <v>118</v>
      </c>
      <c r="C32" s="4">
        <v>181191</v>
      </c>
      <c r="D32">
        <v>117432</v>
      </c>
      <c r="E32" s="1">
        <f>DATE(
RIGHT(B32,4),
MATCH(
MID(B32,FIND("- ",B32)+2,FIND(" ",B32,FIND("- ",B32)+2)-FIND("- ",B32)-2),
{"Janvier";"Février";"Mars";"Avril";"Mai";"Juin";"Juillet";"Août";"Septembre";"Octobre";"Novembre";"Décembre"},
0),
1)</f>
        <v>41091</v>
      </c>
      <c r="F32" s="6">
        <f t="shared" si="0"/>
        <v>117432000000</v>
      </c>
      <c r="G32" s="7">
        <f t="shared" si="1"/>
        <v>181191000000</v>
      </c>
    </row>
    <row r="33" spans="1:7" x14ac:dyDescent="0.4">
      <c r="A33" t="s">
        <v>756</v>
      </c>
      <c r="B33" t="s">
        <v>757</v>
      </c>
      <c r="C33" s="4">
        <v>197963</v>
      </c>
      <c r="D33">
        <v>126979</v>
      </c>
      <c r="E33" s="1">
        <f>DATE(
RIGHT(B33,4),
MATCH(
MID(B33,FIND("- ",B33)+2,FIND(" ",B33,FIND("- ",B33)+2)-FIND("- ",B33)-2),
{"Janvier";"Février";"Mars";"Avril";"Mai";"Juin";"Juillet";"Août";"Septembre";"Octobre";"Novembre";"Décembre"},
0),
1)</f>
        <v>41122</v>
      </c>
      <c r="F33" s="6">
        <f t="shared" si="0"/>
        <v>126979000000</v>
      </c>
      <c r="G33" s="7">
        <f t="shared" si="1"/>
        <v>197963000000</v>
      </c>
    </row>
    <row r="34" spans="1:7" x14ac:dyDescent="0.4">
      <c r="A34" t="s">
        <v>712</v>
      </c>
      <c r="B34" t="s">
        <v>713</v>
      </c>
      <c r="C34" s="4">
        <v>217127</v>
      </c>
      <c r="D34">
        <v>155463</v>
      </c>
      <c r="E34" s="1">
        <f>DATE(
RIGHT(B34,4),
MATCH(
MID(B34,FIND("- ",B34)+2,FIND(" ",B34,FIND("- ",B34)+2)-FIND("- ",B34)-2),
{"Janvier";"Février";"Mars";"Avril";"Mai";"Juin";"Juillet";"Août";"Septembre";"Octobre";"Novembre";"Décembre"},
0),
1)</f>
        <v>41153</v>
      </c>
      <c r="F34" s="6">
        <f t="shared" si="0"/>
        <v>155463000000</v>
      </c>
      <c r="G34" s="7">
        <f t="shared" si="1"/>
        <v>217127000000</v>
      </c>
    </row>
    <row r="35" spans="1:7" x14ac:dyDescent="0.4">
      <c r="A35" t="s">
        <v>248</v>
      </c>
      <c r="B35" t="s">
        <v>249</v>
      </c>
      <c r="C35" s="4">
        <v>258257</v>
      </c>
      <c r="D35">
        <v>169159</v>
      </c>
      <c r="E35" s="1">
        <f>DATE(
RIGHT(B35,4),
MATCH(
MID(B35,FIND("- ",B35)+2,FIND(" ",B35,FIND("- ",B35)+2)-FIND("- ",B35)-2),
{"Janvier";"Février";"Mars";"Avril";"Mai";"Juin";"Juillet";"Août";"Septembre";"Octobre";"Novembre";"Décembre"},
0),
1)</f>
        <v>41183</v>
      </c>
      <c r="F35" s="6">
        <f t="shared" si="0"/>
        <v>169159000000</v>
      </c>
      <c r="G35" s="7">
        <f t="shared" si="1"/>
        <v>258257000000</v>
      </c>
    </row>
    <row r="36" spans="1:7" x14ac:dyDescent="0.4">
      <c r="A36" t="s">
        <v>340</v>
      </c>
      <c r="B36" t="s">
        <v>341</v>
      </c>
      <c r="C36" s="4">
        <v>278934</v>
      </c>
      <c r="D36">
        <v>182067</v>
      </c>
      <c r="E36" s="1">
        <f>DATE(
RIGHT(B36,4),
MATCH(
MID(B36,FIND("- ",B36)+2,FIND(" ",B36,FIND("- ",B36)+2)-FIND("- ",B36)-2),
{"Janvier";"Février";"Mars";"Avril";"Mai";"Juin";"Juillet";"Août";"Septembre";"Octobre";"Novembre";"Décembre"},
0),
1)</f>
        <v>41214</v>
      </c>
      <c r="F36" s="6">
        <f t="shared" si="0"/>
        <v>182067000000</v>
      </c>
      <c r="G36" s="7">
        <f t="shared" si="1"/>
        <v>278934000000</v>
      </c>
    </row>
    <row r="37" spans="1:7" x14ac:dyDescent="0.4">
      <c r="A37" t="s">
        <v>57</v>
      </c>
      <c r="B37" t="s">
        <v>58</v>
      </c>
      <c r="C37" s="4">
        <v>299535</v>
      </c>
      <c r="D37">
        <v>211370</v>
      </c>
      <c r="E37" s="1">
        <f>DATE(
RIGHT(B37,4),
MATCH(
MID(B37,FIND("- ",B37)+2,FIND(" ",B37,FIND("- ",B37)+2)-FIND("- ",B37)-2),
{"Janvier";"Février";"Mars";"Avril";"Mai";"Juin";"Juillet";"Août";"Septembre";"Octobre";"Novembre";"Décembre"},
0),
1)</f>
        <v>41244</v>
      </c>
      <c r="F37" s="6">
        <f t="shared" si="0"/>
        <v>211370000000</v>
      </c>
      <c r="G37" s="7">
        <f t="shared" si="1"/>
        <v>299535000000</v>
      </c>
    </row>
    <row r="38" spans="1:7" x14ac:dyDescent="0.4">
      <c r="A38" t="s">
        <v>440</v>
      </c>
      <c r="B38" t="s">
        <v>441</v>
      </c>
      <c r="C38" s="4">
        <v>25812</v>
      </c>
      <c r="D38">
        <v>15586</v>
      </c>
      <c r="E38" s="1">
        <f>DATE(
RIGHT(B38,4),
MATCH(
MID(B38,FIND("- ",B38)+2,FIND(" ",B38,FIND("- ",B38)+2)-FIND("- ",B38)-2),
{"Janvier";"Février";"Mars";"Avril";"Mai";"Juin";"Juillet";"Août";"Septembre";"Octobre";"Novembre";"Décembre"},
0),
1)</f>
        <v>41275</v>
      </c>
      <c r="F38" s="6">
        <f t="shared" si="0"/>
        <v>15586000000</v>
      </c>
      <c r="G38" s="7">
        <f t="shared" si="1"/>
        <v>25812000000</v>
      </c>
    </row>
    <row r="39" spans="1:7" x14ac:dyDescent="0.4">
      <c r="A39" t="s">
        <v>89</v>
      </c>
      <c r="B39" t="s">
        <v>90</v>
      </c>
      <c r="C39" s="4">
        <v>49992</v>
      </c>
      <c r="D39">
        <v>29659</v>
      </c>
      <c r="E39" s="1">
        <f>DATE(
RIGHT(B39,4),
MATCH(
MID(B39,FIND("- ",B39)+2,FIND(" ",B39,FIND("- ",B39)+2)-FIND("- ",B39)-2),
{"Janvier";"Février";"Mars";"Avril";"Mai";"Juin";"Juillet";"Août";"Septembre";"Octobre";"Novembre";"Décembre"},
0),
1)</f>
        <v>41306</v>
      </c>
      <c r="F39" s="6">
        <f t="shared" si="0"/>
        <v>29659000000</v>
      </c>
      <c r="G39" s="7">
        <f t="shared" si="1"/>
        <v>49992000000</v>
      </c>
    </row>
    <row r="40" spans="1:7" x14ac:dyDescent="0.4">
      <c r="A40" t="s">
        <v>572</v>
      </c>
      <c r="B40" t="s">
        <v>573</v>
      </c>
      <c r="C40" s="4">
        <v>70405</v>
      </c>
      <c r="D40">
        <v>49783</v>
      </c>
      <c r="E40" s="1">
        <f>DATE(
RIGHT(B40,4),
MATCH(
MID(B40,FIND("- ",B40)+2,FIND(" ",B40,FIND("- ",B40)+2)-FIND("- ",B40)-2),
{"Janvier";"Février";"Mars";"Avril";"Mai";"Juin";"Juillet";"Août";"Septembre";"Octobre";"Novembre";"Décembre"},
0),
1)</f>
        <v>41334</v>
      </c>
      <c r="F40" s="6">
        <f t="shared" si="0"/>
        <v>49783000000</v>
      </c>
      <c r="G40" s="7">
        <f t="shared" si="1"/>
        <v>70405000000</v>
      </c>
    </row>
    <row r="41" spans="1:7" x14ac:dyDescent="0.4">
      <c r="A41" t="s">
        <v>708</v>
      </c>
      <c r="B41" t="s">
        <v>709</v>
      </c>
      <c r="C41" s="4">
        <v>115152</v>
      </c>
      <c r="D41">
        <v>65538</v>
      </c>
      <c r="E41" s="1">
        <f>DATE(
RIGHT(B41,4),
MATCH(
MID(B41,FIND("- ",B41)+2,FIND(" ",B41,FIND("- ",B41)+2)-FIND("- ",B41)-2),
{"Janvier";"Février";"Mars";"Avril";"Mai";"Juin";"Juillet";"Août";"Septembre";"Octobre";"Novembre";"Décembre"},
0),
1)</f>
        <v>41365</v>
      </c>
      <c r="F41" s="6">
        <f t="shared" si="0"/>
        <v>65538000000</v>
      </c>
      <c r="G41" s="7">
        <f t="shared" si="1"/>
        <v>115152000000</v>
      </c>
    </row>
    <row r="42" spans="1:7" x14ac:dyDescent="0.4">
      <c r="A42" t="s">
        <v>752</v>
      </c>
      <c r="B42" t="s">
        <v>753</v>
      </c>
      <c r="C42" s="4">
        <v>134985</v>
      </c>
      <c r="D42">
        <v>83196</v>
      </c>
      <c r="E42" s="1">
        <f>DATE(
RIGHT(B42,4),
MATCH(
MID(B42,FIND("- ",B42)+2,FIND(" ",B42,FIND("- ",B42)+2)-FIND("- ",B42)-2),
{"Janvier";"Février";"Mars";"Avril";"Mai";"Juin";"Juillet";"Août";"Septembre";"Octobre";"Novembre";"Décembre"},
0),
1)</f>
        <v>41395</v>
      </c>
      <c r="F42" s="6">
        <f t="shared" si="0"/>
        <v>83196000000</v>
      </c>
      <c r="G42" s="7">
        <f t="shared" si="1"/>
        <v>134985000000</v>
      </c>
    </row>
    <row r="43" spans="1:7" x14ac:dyDescent="0.4">
      <c r="A43" t="s">
        <v>392</v>
      </c>
      <c r="B43" t="s">
        <v>393</v>
      </c>
      <c r="C43" s="4">
        <v>155132</v>
      </c>
      <c r="D43">
        <v>111580</v>
      </c>
      <c r="E43" s="1">
        <f>DATE(
RIGHT(B43,4),
MATCH(
MID(B43,FIND("- ",B43)+2,FIND(" ",B43,FIND("- ",B43)+2)-FIND("- ",B43)-2),
{"Janvier";"Février";"Mars";"Avril";"Mai";"Juin";"Juillet";"Août";"Septembre";"Octobre";"Novembre";"Décembre"},
0),
1)</f>
        <v>41426</v>
      </c>
      <c r="F43" s="6">
        <f t="shared" si="0"/>
        <v>111580000000</v>
      </c>
      <c r="G43" s="7">
        <f t="shared" si="1"/>
        <v>155132000000</v>
      </c>
    </row>
    <row r="44" spans="1:7" x14ac:dyDescent="0.4">
      <c r="A44" t="s">
        <v>85</v>
      </c>
      <c r="B44" t="s">
        <v>86</v>
      </c>
      <c r="C44" s="4">
        <v>187656</v>
      </c>
      <c r="D44">
        <v>128653</v>
      </c>
      <c r="E44" s="1">
        <f>DATE(
RIGHT(B44,4),
MATCH(
MID(B44,FIND("- ",B44)+2,FIND(" ",B44,FIND("- ",B44)+2)-FIND("- ",B44)-2),
{"Janvier";"Février";"Mars";"Avril";"Mai";"Juin";"Juillet";"Août";"Septembre";"Octobre";"Novembre";"Décembre"},
0),
1)</f>
        <v>41456</v>
      </c>
      <c r="F44" s="6">
        <f t="shared" si="0"/>
        <v>128653000000</v>
      </c>
      <c r="G44" s="7">
        <f t="shared" si="1"/>
        <v>187656000000</v>
      </c>
    </row>
    <row r="45" spans="1:7" x14ac:dyDescent="0.4">
      <c r="A45" t="s">
        <v>488</v>
      </c>
      <c r="B45" t="s">
        <v>489</v>
      </c>
      <c r="C45" s="4">
        <v>203584</v>
      </c>
      <c r="D45">
        <v>136861</v>
      </c>
      <c r="E45" s="1">
        <f>DATE(
RIGHT(B45,4),
MATCH(
MID(B45,FIND("- ",B45)+2,FIND(" ",B45,FIND("- ",B45)+2)-FIND("- ",B45)-2),
{"Janvier";"Février";"Mars";"Avril";"Mai";"Juin";"Juillet";"Août";"Septembre";"Octobre";"Novembre";"Décembre"},
0),
1)</f>
        <v>41487</v>
      </c>
      <c r="F45" s="6">
        <f t="shared" si="0"/>
        <v>136861000000</v>
      </c>
      <c r="G45" s="7">
        <f t="shared" si="1"/>
        <v>203584000000</v>
      </c>
    </row>
    <row r="46" spans="1:7" x14ac:dyDescent="0.4">
      <c r="A46" t="s">
        <v>484</v>
      </c>
      <c r="B46" t="s">
        <v>485</v>
      </c>
      <c r="C46" s="4">
        <v>222769</v>
      </c>
      <c r="D46">
        <v>165885</v>
      </c>
      <c r="E46" s="1">
        <f>DATE(
RIGHT(B46,4),
MATCH(
MID(B46,FIND("- ",B46)+2,FIND(" ",B46,FIND("- ",B46)+2)-FIND("- ",B46)-2),
{"Janvier";"Février";"Mars";"Avril";"Mai";"Juin";"Juillet";"Août";"Septembre";"Octobre";"Novembre";"Décembre"},
0),
1)</f>
        <v>41518</v>
      </c>
      <c r="F46" s="6">
        <f t="shared" si="0"/>
        <v>165885000000</v>
      </c>
      <c r="G46" s="7">
        <f t="shared" si="1"/>
        <v>222769000000</v>
      </c>
    </row>
    <row r="47" spans="1:7" x14ac:dyDescent="0.4">
      <c r="A47" t="s">
        <v>181</v>
      </c>
      <c r="B47" t="s">
        <v>182</v>
      </c>
      <c r="C47" s="4">
        <v>259902</v>
      </c>
      <c r="D47">
        <v>178826</v>
      </c>
      <c r="E47" s="1">
        <f>DATE(
RIGHT(B47,4),
MATCH(
MID(B47,FIND("- ",B47)+2,FIND(" ",B47,FIND("- ",B47)+2)-FIND("- ",B47)-2),
{"Janvier";"Février";"Mars";"Avril";"Mai";"Juin";"Juillet";"Août";"Septembre";"Octobre";"Novembre";"Décembre"},
0),
1)</f>
        <v>41548</v>
      </c>
      <c r="F47" s="6">
        <f t="shared" si="0"/>
        <v>178826000000</v>
      </c>
      <c r="G47" s="7">
        <f t="shared" si="1"/>
        <v>259902000000</v>
      </c>
    </row>
    <row r="48" spans="1:7" x14ac:dyDescent="0.4">
      <c r="A48" t="s">
        <v>296</v>
      </c>
      <c r="B48" t="s">
        <v>297</v>
      </c>
      <c r="C48" s="4">
        <v>278124</v>
      </c>
      <c r="D48">
        <v>193075</v>
      </c>
      <c r="E48" s="1">
        <f>DATE(
RIGHT(B48,4),
MATCH(
MID(B48,FIND("- ",B48)+2,FIND(" ",B48,FIND("- ",B48)+2)-FIND("- ",B48)-2),
{"Janvier";"Février";"Mars";"Avril";"Mai";"Juin";"Juillet";"Août";"Septembre";"Octobre";"Novembre";"Décembre"},
0),
1)</f>
        <v>41579</v>
      </c>
      <c r="F48" s="6">
        <f t="shared" si="0"/>
        <v>193075000000</v>
      </c>
      <c r="G48" s="7">
        <f t="shared" si="1"/>
        <v>278124000000</v>
      </c>
    </row>
    <row r="49" spans="1:7" x14ac:dyDescent="0.4">
      <c r="A49" t="s">
        <v>388</v>
      </c>
      <c r="B49" t="s">
        <v>389</v>
      </c>
      <c r="C49" s="4">
        <v>298653</v>
      </c>
      <c r="D49">
        <v>223218</v>
      </c>
      <c r="E49" s="1">
        <f>DATE(
RIGHT(B49,4),
MATCH(
MID(B49,FIND("- ",B49)+2,FIND(" ",B49,FIND("- ",B49)+2)-FIND("- ",B49)-2),
{"Janvier";"Février";"Mars";"Avril";"Mai";"Juin";"Juillet";"Août";"Septembre";"Octobre";"Novembre";"Décembre"},
0),
1)</f>
        <v>41609</v>
      </c>
      <c r="F49" s="6">
        <f t="shared" si="0"/>
        <v>223218000000</v>
      </c>
      <c r="G49" s="7">
        <f t="shared" si="1"/>
        <v>298653000000</v>
      </c>
    </row>
    <row r="50" spans="1:7" x14ac:dyDescent="0.4">
      <c r="A50" t="s">
        <v>29</v>
      </c>
      <c r="B50" t="s">
        <v>30</v>
      </c>
      <c r="C50" s="4">
        <v>27016</v>
      </c>
      <c r="D50">
        <v>17619</v>
      </c>
      <c r="E50" s="1">
        <f>DATE(
RIGHT(B50,4),
MATCH(
MID(B50,FIND("- ",B50)+2,FIND(" ",B50,FIND("- ",B50)+2)-FIND("- ",B50)-2),
{"Janvier";"Février";"Mars";"Avril";"Mai";"Juin";"Juillet";"Août";"Septembre";"Octobre";"Novembre";"Décembre"},
0),
1)</f>
        <v>41640</v>
      </c>
      <c r="F50" s="6">
        <f t="shared" si="0"/>
        <v>17619000000</v>
      </c>
      <c r="G50" s="7">
        <f t="shared" si="1"/>
        <v>27016000000</v>
      </c>
    </row>
    <row r="51" spans="1:7" x14ac:dyDescent="0.4">
      <c r="A51" t="s">
        <v>512</v>
      </c>
      <c r="B51" t="s">
        <v>513</v>
      </c>
      <c r="C51" s="4">
        <v>50616</v>
      </c>
      <c r="D51">
        <v>32646</v>
      </c>
      <c r="E51" s="1">
        <f>DATE(
RIGHT(B51,4),
MATCH(
MID(B51,FIND("- ",B51)+2,FIND(" ",B51,FIND("- ",B51)+2)-FIND("- ",B51)-2),
{"Janvier";"Février";"Mars";"Avril";"Mai";"Juin";"Juillet";"Août";"Septembre";"Octobre";"Novembre";"Décembre"},
0),
1)</f>
        <v>41671</v>
      </c>
      <c r="F51" s="6">
        <f t="shared" si="0"/>
        <v>32646000000</v>
      </c>
      <c r="G51" s="7">
        <f t="shared" si="1"/>
        <v>50616000000</v>
      </c>
    </row>
    <row r="52" spans="1:7" x14ac:dyDescent="0.4">
      <c r="A52" t="s">
        <v>177</v>
      </c>
      <c r="B52" t="s">
        <v>178</v>
      </c>
      <c r="C52" s="4">
        <v>69133</v>
      </c>
      <c r="D52">
        <v>54141</v>
      </c>
      <c r="E52" s="1">
        <f>DATE(
RIGHT(B52,4),
MATCH(
MID(B52,FIND("- ",B52)+2,FIND(" ",B52,FIND("- ",B52)+2)-FIND("- ",B52)-2),
{"Janvier";"Février";"Mars";"Avril";"Mai";"Juin";"Juillet";"Août";"Septembre";"Octobre";"Novembre";"Décembre"},
0),
1)</f>
        <v>41699</v>
      </c>
      <c r="F52" s="6">
        <f t="shared" si="0"/>
        <v>54141000000</v>
      </c>
      <c r="G52" s="7">
        <f t="shared" si="1"/>
        <v>69133000000</v>
      </c>
    </row>
    <row r="53" spans="1:7" x14ac:dyDescent="0.4">
      <c r="A53" t="s">
        <v>464</v>
      </c>
      <c r="B53" t="s">
        <v>465</v>
      </c>
      <c r="C53" s="4">
        <v>113493</v>
      </c>
      <c r="D53">
        <v>67924</v>
      </c>
      <c r="E53" s="1">
        <f>DATE(
RIGHT(B53,4),
MATCH(
MID(B53,FIND("- ",B53)+2,FIND(" ",B53,FIND("- ",B53)+2)-FIND("- ",B53)-2),
{"Janvier";"Février";"Mars";"Avril";"Mai";"Juin";"Juillet";"Août";"Septembre";"Octobre";"Novembre";"Décembre"},
0),
1)</f>
        <v>41730</v>
      </c>
      <c r="F53" s="6">
        <f t="shared" si="0"/>
        <v>67924000000</v>
      </c>
      <c r="G53" s="7">
        <f t="shared" si="1"/>
        <v>113493000000</v>
      </c>
    </row>
    <row r="54" spans="1:7" x14ac:dyDescent="0.4">
      <c r="A54" t="s">
        <v>536</v>
      </c>
      <c r="B54" t="s">
        <v>537</v>
      </c>
      <c r="C54" s="4">
        <v>134514</v>
      </c>
      <c r="D54">
        <v>91854</v>
      </c>
      <c r="E54" s="1">
        <f>DATE(
RIGHT(B54,4),
MATCH(
MID(B54,FIND("- ",B54)+2,FIND(" ",B54,FIND("- ",B54)+2)-FIND("- ",B54)-2),
{"Janvier";"Février";"Mars";"Avril";"Mai";"Juin";"Juillet";"Août";"Septembre";"Octobre";"Novembre";"Décembre"},
0),
1)</f>
        <v>41760</v>
      </c>
      <c r="F54" s="6">
        <f t="shared" si="0"/>
        <v>91854000000</v>
      </c>
      <c r="G54" s="7">
        <f t="shared" si="1"/>
        <v>134514000000</v>
      </c>
    </row>
    <row r="55" spans="1:7" x14ac:dyDescent="0.4">
      <c r="A55" t="s">
        <v>608</v>
      </c>
      <c r="B55" t="s">
        <v>609</v>
      </c>
      <c r="C55" s="4">
        <v>153852</v>
      </c>
      <c r="D55">
        <v>111070</v>
      </c>
      <c r="E55" s="1">
        <f>DATE(
RIGHT(B55,4),
MATCH(
MID(B55,FIND("- ",B55)+2,FIND(" ",B55,FIND("- ",B55)+2)-FIND("- ",B55)-2),
{"Janvier";"Février";"Mars";"Avril";"Mai";"Juin";"Juillet";"Août";"Septembre";"Octobre";"Novembre";"Décembre"},
0),
1)</f>
        <v>41791</v>
      </c>
      <c r="F55" s="6">
        <f t="shared" si="0"/>
        <v>111070000000</v>
      </c>
      <c r="G55" s="7">
        <f t="shared" si="1"/>
        <v>153852000000</v>
      </c>
    </row>
    <row r="56" spans="1:7" x14ac:dyDescent="0.4">
      <c r="A56" t="s">
        <v>508</v>
      </c>
      <c r="B56" t="s">
        <v>509</v>
      </c>
      <c r="C56" s="4">
        <v>186563</v>
      </c>
      <c r="D56">
        <v>123167</v>
      </c>
      <c r="E56" s="1">
        <f>DATE(
RIGHT(B56,4),
MATCH(
MID(B56,FIND("- ",B56)+2,FIND(" ",B56,FIND("- ",B56)+2)-FIND("- ",B56)-2),
{"Janvier";"Février";"Mars";"Avril";"Mai";"Juin";"Juillet";"Août";"Septembre";"Octobre";"Novembre";"Décembre"},
0),
1)</f>
        <v>41821</v>
      </c>
      <c r="F56" s="6">
        <f t="shared" si="0"/>
        <v>123167000000</v>
      </c>
      <c r="G56" s="7">
        <f t="shared" si="1"/>
        <v>186563000000</v>
      </c>
    </row>
    <row r="57" spans="1:7" x14ac:dyDescent="0.4">
      <c r="A57" t="s">
        <v>460</v>
      </c>
      <c r="B57" t="s">
        <v>461</v>
      </c>
      <c r="C57" s="4">
        <v>201570</v>
      </c>
      <c r="D57">
        <v>133805</v>
      </c>
      <c r="E57" s="1">
        <f>DATE(
RIGHT(B57,4),
MATCH(
MID(B57,FIND("- ",B57)+2,FIND(" ",B57,FIND("- ",B57)+2)-FIND("- ",B57)-2),
{"Janvier";"Février";"Mars";"Avril";"Mai";"Juin";"Juillet";"Août";"Septembre";"Octobre";"Novembre";"Décembre"},
0),
1)</f>
        <v>41852</v>
      </c>
      <c r="F57" s="6">
        <f t="shared" si="0"/>
        <v>133805000000</v>
      </c>
      <c r="G57" s="7">
        <f t="shared" si="1"/>
        <v>201570000000</v>
      </c>
    </row>
    <row r="58" spans="1:7" x14ac:dyDescent="0.4">
      <c r="A58" t="s">
        <v>504</v>
      </c>
      <c r="B58" t="s">
        <v>505</v>
      </c>
      <c r="C58" s="4">
        <v>220977</v>
      </c>
      <c r="D58">
        <v>163738</v>
      </c>
      <c r="E58" s="1">
        <f>DATE(
RIGHT(B58,4),
MATCH(
MID(B58,FIND("- ",B58)+2,FIND(" ",B58,FIND("- ",B58)+2)-FIND("- ",B58)-2),
{"Janvier";"Février";"Mars";"Avril";"Mai";"Juin";"Juillet";"Août";"Septembre";"Octobre";"Novembre";"Décembre"},
0),
1)</f>
        <v>41883</v>
      </c>
      <c r="F58" s="6">
        <f t="shared" si="0"/>
        <v>163738000000</v>
      </c>
      <c r="G58" s="7">
        <f t="shared" si="1"/>
        <v>220977000000</v>
      </c>
    </row>
    <row r="59" spans="1:7" x14ac:dyDescent="0.4">
      <c r="A59" t="s">
        <v>292</v>
      </c>
      <c r="B59" t="s">
        <v>293</v>
      </c>
      <c r="C59" s="4">
        <v>255523</v>
      </c>
      <c r="D59">
        <v>175263</v>
      </c>
      <c r="E59" s="1">
        <f>DATE(
RIGHT(B59,4),
MATCH(
MID(B59,FIND("- ",B59)+2,FIND(" ",B59,FIND("- ",B59)+2)-FIND("- ",B59)-2),
{"Janvier";"Février";"Mars";"Avril";"Mai";"Juin";"Juillet";"Août";"Septembre";"Octobre";"Novembre";"Décembre"},
0),
1)</f>
        <v>41913</v>
      </c>
      <c r="F59" s="6">
        <f t="shared" si="0"/>
        <v>175263000000</v>
      </c>
      <c r="G59" s="7">
        <f t="shared" si="1"/>
        <v>255523000000</v>
      </c>
    </row>
    <row r="60" spans="1:7" x14ac:dyDescent="0.4">
      <c r="A60" t="s">
        <v>811</v>
      </c>
      <c r="B60" t="s">
        <v>812</v>
      </c>
      <c r="C60" s="4">
        <v>273952</v>
      </c>
      <c r="D60">
        <v>186987</v>
      </c>
      <c r="E60" s="1">
        <f>DATE(
RIGHT(B60,4),
MATCH(
MID(B60,FIND("- ",B60)+2,FIND(" ",B60,FIND("- ",B60)+2)-FIND("- ",B60)-2),
{"Janvier";"Février";"Mars";"Avril";"Mai";"Juin";"Juillet";"Août";"Septembre";"Octobre";"Novembre";"Décembre"},
0),
1)</f>
        <v>41944</v>
      </c>
      <c r="F60" s="6">
        <f t="shared" si="0"/>
        <v>186987000000</v>
      </c>
      <c r="G60" s="7">
        <f t="shared" si="1"/>
        <v>273952000000</v>
      </c>
    </row>
    <row r="61" spans="1:7" x14ac:dyDescent="0.4">
      <c r="A61" t="s">
        <v>205</v>
      </c>
      <c r="B61" t="s">
        <v>206</v>
      </c>
      <c r="C61" s="4">
        <v>302883</v>
      </c>
      <c r="D61">
        <v>217197</v>
      </c>
      <c r="E61" s="1">
        <f>DATE(
RIGHT(B61,4),
MATCH(
MID(B61,FIND("- ",B61)+2,FIND(" ",B61,FIND("- ",B61)+2)-FIND("- ",B61)-2),
{"Janvier";"Février";"Mars";"Avril";"Mai";"Juin";"Juillet";"Août";"Septembre";"Octobre";"Novembre";"Décembre"},
0),
1)</f>
        <v>41974</v>
      </c>
      <c r="F61" s="6">
        <f t="shared" si="0"/>
        <v>217197000000</v>
      </c>
      <c r="G61" s="7">
        <f t="shared" si="1"/>
        <v>302883000000</v>
      </c>
    </row>
    <row r="62" spans="1:7" x14ac:dyDescent="0.4">
      <c r="A62" t="s">
        <v>288</v>
      </c>
      <c r="B62" t="s">
        <v>289</v>
      </c>
      <c r="C62" s="4">
        <v>25905</v>
      </c>
      <c r="D62">
        <v>19579</v>
      </c>
      <c r="E62" s="1">
        <f>DATE(
RIGHT(B62,4),
MATCH(
MID(B62,FIND("- ",B62)+2,FIND(" ",B62,FIND("- ",B62)+2)-FIND("- ",B62)-2),
{"Janvier";"Février";"Mars";"Avril";"Mai";"Juin";"Juillet";"Août";"Septembre";"Octobre";"Novembre";"Décembre"},
0),
1)</f>
        <v>42005</v>
      </c>
      <c r="F62" s="6">
        <f t="shared" si="0"/>
        <v>19579000000</v>
      </c>
      <c r="G62" s="7">
        <f t="shared" si="1"/>
        <v>25905000000</v>
      </c>
    </row>
    <row r="63" spans="1:7" x14ac:dyDescent="0.4">
      <c r="A63" t="s">
        <v>532</v>
      </c>
      <c r="B63" t="s">
        <v>533</v>
      </c>
      <c r="C63" s="4">
        <v>50720</v>
      </c>
      <c r="D63">
        <v>34457</v>
      </c>
      <c r="E63" s="1">
        <f>DATE(
RIGHT(B63,4),
MATCH(
MID(B63,FIND("- ",B63)+2,FIND(" ",B63,FIND("- ",B63)+2)-FIND("- ",B63)-2),
{"Janvier";"Février";"Mars";"Avril";"Mai";"Juin";"Juillet";"Août";"Septembre";"Octobre";"Novembre";"Décembre"},
0),
1)</f>
        <v>42036</v>
      </c>
      <c r="F63" s="6">
        <f t="shared" si="0"/>
        <v>34457000000</v>
      </c>
      <c r="G63" s="7">
        <f t="shared" si="1"/>
        <v>50720000000</v>
      </c>
    </row>
    <row r="64" spans="1:7" x14ac:dyDescent="0.4">
      <c r="A64" t="s">
        <v>25</v>
      </c>
      <c r="B64" t="s">
        <v>26</v>
      </c>
      <c r="C64" s="4">
        <v>69629</v>
      </c>
      <c r="D64">
        <v>55350</v>
      </c>
      <c r="E64" s="1">
        <f>DATE(
RIGHT(B64,4),
MATCH(
MID(B64,FIND("- ",B64)+2,FIND(" ",B64,FIND("- ",B64)+2)-FIND("- ",B64)-2),
{"Janvier";"Février";"Mars";"Avril";"Mai";"Juin";"Juillet";"Août";"Septembre";"Octobre";"Novembre";"Décembre"},
0),
1)</f>
        <v>42064</v>
      </c>
      <c r="F64" s="6">
        <f t="shared" si="0"/>
        <v>55350000000</v>
      </c>
      <c r="G64" s="7">
        <f t="shared" si="1"/>
        <v>69629000000</v>
      </c>
    </row>
    <row r="65" spans="1:7" x14ac:dyDescent="0.4">
      <c r="A65" t="s">
        <v>336</v>
      </c>
      <c r="B65" t="s">
        <v>337</v>
      </c>
      <c r="C65" s="4">
        <v>110749</v>
      </c>
      <c r="D65">
        <v>69099</v>
      </c>
      <c r="E65" s="1">
        <f>DATE(
RIGHT(B65,4),
MATCH(
MID(B65,FIND("- ",B65)+2,FIND(" ",B65,FIND("- ",B65)+2)-FIND("- ",B65)-2),
{"Janvier";"Février";"Mars";"Avril";"Mai";"Juin";"Juillet";"Août";"Septembre";"Octobre";"Novembre";"Décembre"},
0),
1)</f>
        <v>42095</v>
      </c>
      <c r="F65" s="6">
        <f t="shared" si="0"/>
        <v>69099000000</v>
      </c>
      <c r="G65" s="7">
        <f t="shared" si="1"/>
        <v>110749000000</v>
      </c>
    </row>
    <row r="66" spans="1:7" x14ac:dyDescent="0.4">
      <c r="A66" t="s">
        <v>332</v>
      </c>
      <c r="B66" t="s">
        <v>333</v>
      </c>
      <c r="C66" s="4">
        <v>134861</v>
      </c>
      <c r="D66">
        <v>92623</v>
      </c>
      <c r="E66" s="1">
        <f>DATE(
RIGHT(B66,4),
MATCH(
MID(B66,FIND("- ",B66)+2,FIND(" ",B66,FIND("- ",B66)+2)-FIND("- ",B66)-2),
{"Janvier";"Février";"Mars";"Avril";"Mai";"Juin";"Juillet";"Août";"Septembre";"Octobre";"Novembre";"Décembre"},
0),
1)</f>
        <v>42125</v>
      </c>
      <c r="F66" s="6">
        <f t="shared" si="0"/>
        <v>92623000000</v>
      </c>
      <c r="G66" s="7">
        <f t="shared" si="1"/>
        <v>134861000000</v>
      </c>
    </row>
    <row r="67" spans="1:7" x14ac:dyDescent="0.4">
      <c r="A67" t="s">
        <v>229</v>
      </c>
      <c r="B67" t="s">
        <v>230</v>
      </c>
      <c r="C67" s="4">
        <v>155839</v>
      </c>
      <c r="D67">
        <v>114421</v>
      </c>
      <c r="E67" s="1">
        <f>DATE(
RIGHT(B67,4),
MATCH(
MID(B67,FIND("- ",B67)+2,FIND(" ",B67,FIND("- ",B67)+2)-FIND("- ",B67)-2),
{"Janvier";"Février";"Mars";"Avril";"Mai";"Juin";"Juillet";"Août";"Septembre";"Octobre";"Novembre";"Décembre"},
0),
1)</f>
        <v>42156</v>
      </c>
      <c r="F67" s="6">
        <f t="shared" ref="F67:F96" si="2">IF(E68=E67,#N/A,D67*1000000)</f>
        <v>114421000000</v>
      </c>
      <c r="G67" s="7">
        <f t="shared" ref="G67:G96" si="3">IF(E68=E67,#N/A,C67*1000000)</f>
        <v>155839000000</v>
      </c>
    </row>
    <row r="68" spans="1:7" x14ac:dyDescent="0.4">
      <c r="A68" t="s">
        <v>636</v>
      </c>
      <c r="B68" t="s">
        <v>637</v>
      </c>
      <c r="C68" s="4">
        <v>185067</v>
      </c>
      <c r="D68">
        <v>128781</v>
      </c>
      <c r="E68" s="1">
        <f>DATE(
RIGHT(B68,4),
MATCH(
MID(B68,FIND("- ",B68)+2,FIND(" ",B68,FIND("- ",B68)+2)-FIND("- ",B68)-2),
{"Janvier";"Février";"Mars";"Avril";"Mai";"Juin";"Juillet";"Août";"Septembre";"Octobre";"Novembre";"Décembre"},
0),
1)</f>
        <v>42186</v>
      </c>
      <c r="F68" s="6">
        <f t="shared" si="2"/>
        <v>128781000000</v>
      </c>
      <c r="G68" s="7">
        <f t="shared" si="3"/>
        <v>185067000000</v>
      </c>
    </row>
    <row r="69" spans="1:7" x14ac:dyDescent="0.4">
      <c r="A69" t="s">
        <v>173</v>
      </c>
      <c r="B69" t="s">
        <v>174</v>
      </c>
      <c r="C69" s="4">
        <v>200360</v>
      </c>
      <c r="D69">
        <v>139586</v>
      </c>
      <c r="E69" s="1">
        <f>DATE(
RIGHT(B69,4),
MATCH(
MID(B69,FIND("- ",B69)+2,FIND(" ",B69,FIND("- ",B69)+2)-FIND("- ",B69)-2),
{"Janvier";"Février";"Mars";"Avril";"Mai";"Juin";"Juillet";"Août";"Septembre";"Octobre";"Novembre";"Décembre"},
0),
1)</f>
        <v>42217</v>
      </c>
      <c r="F69" s="6">
        <f t="shared" si="2"/>
        <v>139586000000</v>
      </c>
      <c r="G69" s="7">
        <f t="shared" si="3"/>
        <v>200360000000</v>
      </c>
    </row>
    <row r="70" spans="1:7" x14ac:dyDescent="0.4">
      <c r="A70" t="s">
        <v>364</v>
      </c>
      <c r="B70" t="s">
        <v>365</v>
      </c>
      <c r="C70" s="4">
        <v>221333</v>
      </c>
      <c r="D70">
        <v>172519</v>
      </c>
      <c r="E70" s="1">
        <f>DATE(
RIGHT(B70,4),
MATCH(
MID(B70,FIND("- ",B70)+2,FIND(" ",B70,FIND("- ",B70)+2)-FIND("- ",B70)-2),
{"Janvier";"Février";"Mars";"Avril";"Mai";"Juin";"Juillet";"Août";"Septembre";"Octobre";"Novembre";"Décembre"},
0),
1)</f>
        <v>42248</v>
      </c>
      <c r="F70" s="6">
        <f t="shared" si="2"/>
        <v>172519000000</v>
      </c>
      <c r="G70" s="7">
        <f t="shared" si="3"/>
        <v>221333000000</v>
      </c>
    </row>
    <row r="71" spans="1:7" x14ac:dyDescent="0.4">
      <c r="A71" t="s">
        <v>284</v>
      </c>
      <c r="B71" t="s">
        <v>285</v>
      </c>
      <c r="C71" s="4">
        <v>255567</v>
      </c>
      <c r="D71">
        <v>183856</v>
      </c>
      <c r="E71" s="1">
        <f>DATE(
RIGHT(B71,4),
MATCH(
MID(B71,FIND("- ",B71)+2,FIND(" ",B71,FIND("- ",B71)+2)-FIND("- ",B71)-2),
{"Janvier";"Février";"Mars";"Avril";"Mai";"Juin";"Juillet";"Août";"Septembre";"Octobre";"Novembre";"Décembre"},
0),
1)</f>
        <v>42278</v>
      </c>
      <c r="F71" s="6">
        <f t="shared" si="2"/>
        <v>183856000000</v>
      </c>
      <c r="G71" s="7">
        <f t="shared" si="3"/>
        <v>255567000000</v>
      </c>
    </row>
    <row r="72" spans="1:7" x14ac:dyDescent="0.4">
      <c r="A72" t="s">
        <v>740</v>
      </c>
      <c r="B72" t="s">
        <v>741</v>
      </c>
      <c r="C72" s="4">
        <v>274026</v>
      </c>
      <c r="D72">
        <v>195742</v>
      </c>
      <c r="E72" s="1">
        <f>DATE(
RIGHT(B72,4),
MATCH(
MID(B72,FIND("- ",B72)+2,FIND(" ",B72,FIND("- ",B72)+2)-FIND("- ",B72)-2),
{"Janvier";"Février";"Mars";"Avril";"Mai";"Juin";"Juillet";"Août";"Septembre";"Octobre";"Novembre";"Décembre"},
0),
1)</f>
        <v>42309</v>
      </c>
      <c r="F72" s="6">
        <f t="shared" si="2"/>
        <v>195742000000</v>
      </c>
      <c r="G72" s="7">
        <f t="shared" si="3"/>
        <v>274026000000</v>
      </c>
    </row>
    <row r="73" spans="1:7" x14ac:dyDescent="0.4">
      <c r="A73" t="s">
        <v>632</v>
      </c>
      <c r="B73" t="s">
        <v>633</v>
      </c>
      <c r="C73" s="4">
        <v>301575</v>
      </c>
      <c r="D73">
        <v>229426</v>
      </c>
      <c r="E73" s="1">
        <f>DATE(
RIGHT(B73,4),
MATCH(
MID(B73,FIND("- ",B73)+2,FIND(" ",B73,FIND("- ",B73)+2)-FIND("- ",B73)-2),
{"Janvier";"Février";"Mars";"Avril";"Mai";"Juin";"Juillet";"Août";"Septembre";"Octobre";"Novembre";"Décembre"},
0),
1)</f>
        <v>42339</v>
      </c>
      <c r="F73" s="6">
        <f t="shared" si="2"/>
        <v>229426000000</v>
      </c>
      <c r="G73" s="7">
        <f t="shared" si="3"/>
        <v>301575000000</v>
      </c>
    </row>
    <row r="74" spans="1:7" x14ac:dyDescent="0.4">
      <c r="A74" t="s">
        <v>568</v>
      </c>
      <c r="B74" t="s">
        <v>569</v>
      </c>
      <c r="C74" s="4">
        <v>28246</v>
      </c>
      <c r="D74">
        <v>23083</v>
      </c>
      <c r="E74" s="1">
        <f>DATE(
RIGHT(B74,4),
MATCH(
MID(B74,FIND("- ",B74)+2,FIND(" ",B74,FIND("- ",B74)+2)-FIND("- ",B74)-2),
{"Janvier";"Février";"Mars";"Avril";"Mai";"Juin";"Juillet";"Août";"Septembre";"Octobre";"Novembre";"Décembre"},
0),
1)</f>
        <v>42370</v>
      </c>
      <c r="F74" s="6">
        <f t="shared" si="2"/>
        <v>23083000000</v>
      </c>
      <c r="G74" s="7">
        <f t="shared" si="3"/>
        <v>28246000000</v>
      </c>
    </row>
    <row r="75" spans="1:7" x14ac:dyDescent="0.4">
      <c r="A75" t="s">
        <v>676</v>
      </c>
      <c r="B75" t="s">
        <v>677</v>
      </c>
      <c r="C75" s="4">
        <v>50101</v>
      </c>
      <c r="D75">
        <v>37951</v>
      </c>
      <c r="E75" s="1">
        <f>DATE(
RIGHT(B75,4),
MATCH(
MID(B75,FIND("- ",B75)+2,FIND(" ",B75,FIND("- ",B75)+2)-FIND("- ",B75)-2),
{"Janvier";"Février";"Mars";"Avril";"Mai";"Juin";"Juillet";"Août";"Septembre";"Octobre";"Novembre";"Décembre"},
0),
1)</f>
        <v>42401</v>
      </c>
      <c r="F75" s="6">
        <f t="shared" si="2"/>
        <v>37951000000</v>
      </c>
      <c r="G75" s="7">
        <f t="shared" si="3"/>
        <v>50101000000</v>
      </c>
    </row>
    <row r="76" spans="1:7" x14ac:dyDescent="0.4">
      <c r="A76" t="s">
        <v>328</v>
      </c>
      <c r="B76" t="s">
        <v>329</v>
      </c>
      <c r="C76" s="4">
        <v>70273</v>
      </c>
      <c r="D76">
        <v>61263</v>
      </c>
      <c r="E76" s="1">
        <f>DATE(
RIGHT(B76,4),
MATCH(
MID(B76,FIND("- ",B76)+2,FIND(" ",B76,FIND("- ",B76)+2)-FIND("- ",B76)-2),
{"Janvier";"Février";"Mars";"Avril";"Mai";"Juin";"Juillet";"Août";"Septembre";"Octobre";"Novembre";"Décembre"},
0),
1)</f>
        <v>42430</v>
      </c>
      <c r="F76" s="6">
        <f t="shared" si="2"/>
        <v>61263000000</v>
      </c>
      <c r="G76" s="7">
        <f t="shared" si="3"/>
        <v>70273000000</v>
      </c>
    </row>
    <row r="77" spans="1:7" x14ac:dyDescent="0.4">
      <c r="A77" t="s">
        <v>528</v>
      </c>
      <c r="B77" t="s">
        <v>529</v>
      </c>
      <c r="C77" s="4">
        <v>111704</v>
      </c>
      <c r="D77">
        <v>78888</v>
      </c>
      <c r="E77" s="1">
        <f>DATE(
RIGHT(B77,4),
MATCH(
MID(B77,FIND("- ",B77)+2,FIND(" ",B77,FIND("- ",B77)+2)-FIND("- ",B77)-2),
{"Janvier";"Février";"Mars";"Avril";"Mai";"Juin";"Juillet";"Août";"Septembre";"Octobre";"Novembre";"Décembre"},
0),
1)</f>
        <v>42461</v>
      </c>
      <c r="F77" s="6">
        <f t="shared" si="2"/>
        <v>78888000000</v>
      </c>
      <c r="G77" s="7">
        <f t="shared" si="3"/>
        <v>111704000000</v>
      </c>
    </row>
    <row r="78" spans="1:7" x14ac:dyDescent="0.4">
      <c r="A78" t="s">
        <v>628</v>
      </c>
      <c r="B78" t="s">
        <v>629</v>
      </c>
      <c r="C78" s="4">
        <v>137601</v>
      </c>
      <c r="D78">
        <v>98668</v>
      </c>
      <c r="E78" s="1">
        <f>DATE(
RIGHT(B78,4),
MATCH(
MID(B78,FIND("- ",B78)+2,FIND(" ",B78,FIND("- ",B78)+2)-FIND("- ",B78)-2),
{"Janvier";"Février";"Mars";"Avril";"Mai";"Juin";"Juillet";"Août";"Septembre";"Octobre";"Novembre";"Décembre"},
0),
1)</f>
        <v>42491</v>
      </c>
      <c r="F78" s="6">
        <f t="shared" si="2"/>
        <v>98668000000</v>
      </c>
      <c r="G78" s="7">
        <f t="shared" si="3"/>
        <v>137601000000</v>
      </c>
    </row>
    <row r="79" spans="1:7" x14ac:dyDescent="0.4">
      <c r="A79" t="s">
        <v>736</v>
      </c>
      <c r="B79" t="s">
        <v>737</v>
      </c>
      <c r="C79" s="4">
        <v>161642</v>
      </c>
      <c r="D79">
        <v>122849</v>
      </c>
      <c r="E79" s="1">
        <f>DATE(
RIGHT(B79,4),
MATCH(
MID(B79,FIND("- ",B79)+2,FIND(" ",B79,FIND("- ",B79)+2)-FIND("- ",B79)-2),
{"Janvier";"Février";"Mars";"Avril";"Mai";"Juin";"Juillet";"Août";"Septembre";"Octobre";"Novembre";"Décembre"},
0),
1)</f>
        <v>42522</v>
      </c>
      <c r="F79" s="6">
        <f t="shared" si="2"/>
        <v>122849000000</v>
      </c>
      <c r="G79" s="7">
        <f t="shared" si="3"/>
        <v>161642000000</v>
      </c>
    </row>
    <row r="80" spans="1:7" x14ac:dyDescent="0.4">
      <c r="A80" t="s">
        <v>672</v>
      </c>
      <c r="B80" t="s">
        <v>673</v>
      </c>
      <c r="C80" s="4">
        <v>190140</v>
      </c>
      <c r="D80">
        <v>139403</v>
      </c>
      <c r="E80" s="1">
        <f>DATE(
RIGHT(B80,4),
MATCH(
MID(B80,FIND("- ",B80)+2,FIND(" ",B80,FIND("- ",B80)+2)-FIND("- ",B80)-2),
{"Janvier";"Février";"Mars";"Avril";"Mai";"Juin";"Juillet";"Août";"Septembre";"Octobre";"Novembre";"Décembre"},
0),
1)</f>
        <v>42552</v>
      </c>
      <c r="F80" s="6">
        <f t="shared" si="2"/>
        <v>139403000000</v>
      </c>
      <c r="G80" s="7">
        <f t="shared" si="3"/>
        <v>190140000000</v>
      </c>
    </row>
    <row r="81" spans="1:7" x14ac:dyDescent="0.4">
      <c r="A81" t="s">
        <v>564</v>
      </c>
      <c r="B81" t="s">
        <v>565</v>
      </c>
      <c r="C81" s="4">
        <v>209406</v>
      </c>
      <c r="D81">
        <v>149567</v>
      </c>
      <c r="E81" s="1">
        <f>DATE(
RIGHT(B81,4),
MATCH(
MID(B81,FIND("- ",B81)+2,FIND(" ",B81,FIND("- ",B81)+2)-FIND("- ",B81)-2),
{"Janvier";"Février";"Mars";"Avril";"Mai";"Juin";"Juillet";"Août";"Septembre";"Octobre";"Novembre";"Décembre"},
0),
1)</f>
        <v>42583</v>
      </c>
      <c r="F81" s="6">
        <f t="shared" si="2"/>
        <v>149567000000</v>
      </c>
      <c r="G81" s="7">
        <f t="shared" si="3"/>
        <v>209406000000</v>
      </c>
    </row>
    <row r="82" spans="1:7" x14ac:dyDescent="0.4">
      <c r="A82" t="s">
        <v>324</v>
      </c>
      <c r="B82" t="s">
        <v>325</v>
      </c>
      <c r="C82" s="4">
        <v>228730</v>
      </c>
      <c r="D82">
        <v>180388</v>
      </c>
      <c r="E82" s="1">
        <f>DATE(
RIGHT(B82,4),
MATCH(
MID(B82,FIND("- ",B82)+2,FIND(" ",B82,FIND("- ",B82)+2)-FIND("- ",B82)-2),
{"Janvier";"Février";"Mars";"Avril";"Mai";"Juin";"Juillet";"Août";"Septembre";"Octobre";"Novembre";"Décembre"},
0),
1)</f>
        <v>42614</v>
      </c>
      <c r="F82" s="6">
        <f t="shared" si="2"/>
        <v>180388000000</v>
      </c>
      <c r="G82" s="7">
        <f t="shared" si="3"/>
        <v>228730000000</v>
      </c>
    </row>
    <row r="83" spans="1:7" x14ac:dyDescent="0.4">
      <c r="A83" t="s">
        <v>436</v>
      </c>
      <c r="B83" t="s">
        <v>437</v>
      </c>
      <c r="C83" s="4">
        <v>264395</v>
      </c>
      <c r="D83">
        <v>197835</v>
      </c>
      <c r="E83" s="1">
        <f>DATE(
RIGHT(B83,4),
MATCH(
MID(B83,FIND("- ",B83)+2,FIND(" ",B83,FIND("- ",B83)+2)-FIND("- ",B83)-2),
{"Janvier";"Février";"Mars";"Avril";"Mai";"Juin";"Juillet";"Août";"Septembre";"Octobre";"Novembre";"Décembre"},
0),
1)</f>
        <v>42644</v>
      </c>
      <c r="F83" s="6">
        <f t="shared" si="2"/>
        <v>197835000000</v>
      </c>
      <c r="G83" s="7">
        <f t="shared" si="3"/>
        <v>264395000000</v>
      </c>
    </row>
    <row r="84" spans="1:7" x14ac:dyDescent="0.4">
      <c r="A84" t="s">
        <v>360</v>
      </c>
      <c r="B84" t="s">
        <v>361</v>
      </c>
      <c r="C84" s="4">
        <v>285017</v>
      </c>
      <c r="D84">
        <v>205024</v>
      </c>
      <c r="E84" s="1">
        <f>DATE(
RIGHT(B84,4),
MATCH(
MID(B84,FIND("- ",B84)+2,FIND(" ",B84,FIND("- ",B84)+2)-FIND("- ",B84)-2),
{"Janvier";"Février";"Mars";"Avril";"Mai";"Juin";"Juillet";"Août";"Septembre";"Octobre";"Novembre";"Décembre"},
0),
1)</f>
        <v>42675</v>
      </c>
      <c r="F84" s="6">
        <f t="shared" si="2"/>
        <v>205024000000</v>
      </c>
      <c r="G84" s="7">
        <f t="shared" si="3"/>
        <v>285017000000</v>
      </c>
    </row>
    <row r="85" spans="1:7" x14ac:dyDescent="0.4">
      <c r="A85" t="s">
        <v>384</v>
      </c>
      <c r="B85" t="s">
        <v>385</v>
      </c>
      <c r="C85" s="4">
        <v>314361</v>
      </c>
      <c r="D85">
        <v>238510</v>
      </c>
      <c r="E85" s="1">
        <f>DATE(
RIGHT(B85,4),
MATCH(
MID(B85,FIND("- ",B85)+2,FIND(" ",B85,FIND("- ",B85)+2)-FIND("- ",B85)-2),
{"Janvier";"Février";"Mars";"Avril";"Mai";"Juin";"Juillet";"Août";"Septembre";"Octobre";"Novembre";"Décembre"},
0),
1)</f>
        <v>42705</v>
      </c>
      <c r="F85" s="6">
        <f t="shared" si="2"/>
        <v>238510000000</v>
      </c>
      <c r="G85" s="7">
        <f t="shared" si="3"/>
        <v>314361000000</v>
      </c>
    </row>
    <row r="86" spans="1:7" x14ac:dyDescent="0.4">
      <c r="A86" t="s">
        <v>604</v>
      </c>
      <c r="B86" t="s">
        <v>605</v>
      </c>
      <c r="C86" s="4">
        <v>28899</v>
      </c>
      <c r="D86">
        <v>20934</v>
      </c>
      <c r="E86" s="1">
        <f>DATE(
RIGHT(B86,4),
MATCH(
MID(B86,FIND("- ",B86)+2,FIND(" ",B86,FIND("- ",B86)+2)-FIND("- ",B86)-2),
{"Janvier";"Février";"Mars";"Avril";"Mai";"Juin";"Juillet";"Août";"Septembre";"Octobre";"Novembre";"Décembre"},
0),
1)</f>
        <v>42736</v>
      </c>
      <c r="F86" s="6">
        <f t="shared" si="2"/>
        <v>20934000000</v>
      </c>
      <c r="G86" s="7">
        <f t="shared" si="3"/>
        <v>28899000000</v>
      </c>
    </row>
    <row r="87" spans="1:7" x14ac:dyDescent="0.4">
      <c r="A87" t="s">
        <v>280</v>
      </c>
      <c r="B87" t="s">
        <v>281</v>
      </c>
      <c r="C87" s="4">
        <v>53336</v>
      </c>
      <c r="D87">
        <v>41348</v>
      </c>
      <c r="E87" s="1">
        <f>DATE(
RIGHT(B87,4),
MATCH(
MID(B87,FIND("- ",B87)+2,FIND(" ",B87,FIND("- ",B87)+2)-FIND("- ",B87)-2),
{"Janvier";"Février";"Mars";"Avril";"Mai";"Juin";"Juillet";"Août";"Septembre";"Octobre";"Novembre";"Décembre"},
0),
1)</f>
        <v>42767</v>
      </c>
      <c r="F87" s="6">
        <f t="shared" si="2"/>
        <v>41348000000</v>
      </c>
      <c r="G87" s="7">
        <f t="shared" si="3"/>
        <v>53336000000</v>
      </c>
    </row>
    <row r="88" spans="1:7" x14ac:dyDescent="0.4">
      <c r="A88" t="s">
        <v>600</v>
      </c>
      <c r="B88" t="s">
        <v>601</v>
      </c>
      <c r="C88" s="4">
        <v>74733</v>
      </c>
      <c r="D88">
        <v>64618</v>
      </c>
      <c r="E88" s="1">
        <f>DATE(
RIGHT(B88,4),
MATCH(
MID(B88,FIND("- ",B88)+2,FIND(" ",B88,FIND("- ",B88)+2)-FIND("- ",B88)-2),
{"Janvier";"Février";"Mars";"Avril";"Mai";"Juin";"Juillet";"Août";"Septembre";"Octobre";"Novembre";"Décembre"},
0),
1)</f>
        <v>42795</v>
      </c>
      <c r="F88" s="6">
        <f t="shared" si="2"/>
        <v>64618000000</v>
      </c>
      <c r="G88" s="7">
        <f t="shared" si="3"/>
        <v>74733000000</v>
      </c>
    </row>
    <row r="89" spans="1:7" x14ac:dyDescent="0.4">
      <c r="A89" t="s">
        <v>53</v>
      </c>
      <c r="B89" t="s">
        <v>54</v>
      </c>
      <c r="C89" s="4">
        <v>116205</v>
      </c>
      <c r="D89">
        <v>81946</v>
      </c>
      <c r="E89" s="1">
        <f>DATE(
RIGHT(B89,4),
MATCH(
MID(B89,FIND("- ",B89)+2,FIND(" ",B89,FIND("- ",B89)+2)-FIND("- ",B89)-2),
{"Janvier";"Février";"Mars";"Avril";"Mai";"Juin";"Juillet";"Août";"Septembre";"Octobre";"Novembre";"Décembre"},
0),
1)</f>
        <v>42826</v>
      </c>
      <c r="F89" s="6">
        <f t="shared" si="2"/>
        <v>81946000000</v>
      </c>
      <c r="G89" s="7">
        <f t="shared" si="3"/>
        <v>116205000000</v>
      </c>
    </row>
    <row r="90" spans="1:7" x14ac:dyDescent="0.4">
      <c r="A90" t="s">
        <v>560</v>
      </c>
      <c r="B90" t="s">
        <v>561</v>
      </c>
      <c r="C90" s="4">
        <v>142555</v>
      </c>
      <c r="D90">
        <v>103076</v>
      </c>
      <c r="E90" s="1">
        <f>DATE(
RIGHT(B90,4),
MATCH(
MID(B90,FIND("- ",B90)+2,FIND(" ",B90,FIND("- ",B90)+2)-FIND("- ",B90)-2),
{"Janvier";"Février";"Mars";"Avril";"Mai";"Juin";"Juillet";"Août";"Septembre";"Octobre";"Novembre";"Décembre"},
0),
1)</f>
        <v>42856</v>
      </c>
      <c r="F90" s="6">
        <f t="shared" si="2"/>
        <v>103076000000</v>
      </c>
      <c r="G90" s="7">
        <f t="shared" si="3"/>
        <v>142555000000</v>
      </c>
    </row>
    <row r="91" spans="1:7" x14ac:dyDescent="0.4">
      <c r="A91" t="s">
        <v>81</v>
      </c>
      <c r="B91" t="s">
        <v>82</v>
      </c>
      <c r="C91" s="4">
        <v>171951</v>
      </c>
      <c r="D91">
        <v>130602</v>
      </c>
      <c r="E91" s="1">
        <f>DATE(
RIGHT(B91,4),
MATCH(
MID(B91,FIND("- ",B91)+2,FIND(" ",B91,FIND("- ",B91)+2)-FIND("- ",B91)-2),
{"Janvier";"Février";"Mars";"Avril";"Mai";"Juin";"Juillet";"Août";"Septembre";"Octobre";"Novembre";"Décembre"},
0),
1)</f>
        <v>42887</v>
      </c>
      <c r="F91" s="6">
        <f t="shared" si="2"/>
        <v>130602000000</v>
      </c>
      <c r="G91" s="7">
        <f t="shared" si="3"/>
        <v>171951000000</v>
      </c>
    </row>
    <row r="92" spans="1:7" x14ac:dyDescent="0.4">
      <c r="A92" t="s">
        <v>432</v>
      </c>
      <c r="B92" t="s">
        <v>433</v>
      </c>
      <c r="C92" s="4">
        <v>200695</v>
      </c>
      <c r="D92">
        <v>145524</v>
      </c>
      <c r="E92" s="1">
        <f>DATE(
RIGHT(B92,4),
MATCH(
MID(B92,FIND("- ",B92)+2,FIND(" ",B92,FIND("- ",B92)+2)-FIND("- ",B92)-2),
{"Janvier";"Février";"Mars";"Avril";"Mai";"Juin";"Juillet";"Août";"Septembre";"Octobre";"Novembre";"Décembre"},
0),
1)</f>
        <v>42917</v>
      </c>
      <c r="F92" s="6">
        <f t="shared" si="2"/>
        <v>145524000000</v>
      </c>
      <c r="G92" s="7">
        <f t="shared" si="3"/>
        <v>200695000000</v>
      </c>
    </row>
    <row r="93" spans="1:7" x14ac:dyDescent="0.4">
      <c r="A93" t="s">
        <v>456</v>
      </c>
      <c r="B93" t="s">
        <v>457</v>
      </c>
      <c r="C93" s="4">
        <v>221752</v>
      </c>
      <c r="D93">
        <v>160861</v>
      </c>
      <c r="E93" s="1">
        <f>DATE(
RIGHT(B93,4),
MATCH(
MID(B93,FIND("- ",B93)+2,FIND(" ",B93,FIND("- ",B93)+2)-FIND("- ",B93)-2),
{"Janvier";"Février";"Mars";"Avril";"Mai";"Juin";"Juillet";"Août";"Septembre";"Octobre";"Novembre";"Décembre"},
0),
1)</f>
        <v>42948</v>
      </c>
      <c r="F93" s="6">
        <f t="shared" si="2"/>
        <v>160861000000</v>
      </c>
      <c r="G93" s="7">
        <f t="shared" si="3"/>
        <v>221752000000</v>
      </c>
    </row>
    <row r="94" spans="1:7" x14ac:dyDescent="0.4">
      <c r="A94" t="s">
        <v>380</v>
      </c>
      <c r="B94" t="s">
        <v>381</v>
      </c>
      <c r="C94" s="4">
        <v>242363</v>
      </c>
      <c r="D94">
        <v>192720</v>
      </c>
      <c r="E94" s="1">
        <f>DATE(
RIGHT(B94,4),
MATCH(
MID(B94,FIND("- ",B94)+2,FIND(" ",B94,FIND("- ",B94)+2)-FIND("- ",B94)-2),
{"Janvier";"Février";"Mars";"Avril";"Mai";"Juin";"Juillet";"Août";"Septembre";"Octobre";"Novembre";"Décembre"},
0),
1)</f>
        <v>42979</v>
      </c>
      <c r="F94" s="6">
        <f t="shared" si="2"/>
        <v>192720000000</v>
      </c>
      <c r="G94" s="7">
        <f t="shared" si="3"/>
        <v>242363000000</v>
      </c>
    </row>
    <row r="95" spans="1:7" x14ac:dyDescent="0.4">
      <c r="A95" t="s">
        <v>428</v>
      </c>
      <c r="B95" t="s">
        <v>429</v>
      </c>
      <c r="C95" s="4">
        <v>277871</v>
      </c>
      <c r="D95">
        <v>209612</v>
      </c>
      <c r="E95" s="1">
        <f>DATE(
RIGHT(B95,4),
MATCH(
MID(B95,FIND("- ",B95)+2,FIND(" ",B95,FIND("- ",B95)+2)-FIND("- ",B95)-2),
{"Janvier";"Février";"Mars";"Avril";"Mai";"Juin";"Juillet";"Août";"Septembre";"Octobre";"Novembre";"Décembre"},
0),
1)</f>
        <v>43009</v>
      </c>
      <c r="F95" s="6">
        <f t="shared" si="2"/>
        <v>209612000000</v>
      </c>
      <c r="G95" s="7">
        <f t="shared" si="3"/>
        <v>277871000000</v>
      </c>
    </row>
    <row r="96" spans="1:7" x14ac:dyDescent="0.4">
      <c r="A96" t="s">
        <v>320</v>
      </c>
      <c r="B96" t="s">
        <v>321</v>
      </c>
      <c r="C96" s="4">
        <v>298631</v>
      </c>
      <c r="D96">
        <v>223865</v>
      </c>
      <c r="E96" s="1">
        <f>DATE(
RIGHT(B96,4),
MATCH(
MID(B96,FIND("- ",B96)+2,FIND(" ",B96,FIND("- ",B96)+2)-FIND("- ",B96)-2),
{"Janvier";"Février";"Mars";"Avril";"Mai";"Juin";"Juillet";"Août";"Septembre";"Octobre";"Novembre";"Décembre"},
0),
1)</f>
        <v>43040</v>
      </c>
      <c r="F96" s="6">
        <f t="shared" si="2"/>
        <v>223865000000</v>
      </c>
      <c r="G96" s="7">
        <f t="shared" si="3"/>
        <v>298631000000</v>
      </c>
    </row>
    <row r="97" spans="1:7" hidden="1" x14ac:dyDescent="0.4">
      <c r="A97" t="s">
        <v>225</v>
      </c>
      <c r="B97" t="s">
        <v>226</v>
      </c>
      <c r="C97" s="4">
        <v>326775</v>
      </c>
      <c r="D97">
        <v>253428</v>
      </c>
      <c r="E97" s="1">
        <f>DATE(
RIGHT(B97,4),
MATCH(
MID(B97,FIND("- ",B97)+2,FIND(" ",B97,FIND("- ",B97)+2)-FIND("- ",B97)-2),
{"Janvier";"Février";"Mars";"Avril";"Mai";"Juin";"Juillet";"Août";"Septembre";"Octobre";"Novembre";"Décembre"},
0),
1)</f>
        <v>43070</v>
      </c>
      <c r="F97" t="e">
        <f t="shared" ref="F67:F130" si="4">IF(E98=E97,#N/A,D97)</f>
        <v>#N/A</v>
      </c>
    </row>
    <row r="98" spans="1:7" x14ac:dyDescent="0.4">
      <c r="A98" t="s">
        <v>49</v>
      </c>
      <c r="B98" t="s">
        <v>245</v>
      </c>
      <c r="C98" s="4">
        <v>326775</v>
      </c>
      <c r="D98">
        <v>253427</v>
      </c>
      <c r="E98" s="1">
        <f>DATE(
RIGHT(B98,4),
MATCH(
MID(B98,FIND("- ",B98)+2,FIND(" ",B98,FIND("- ",B98)+2)-FIND("- ",B98)-2),
{"Janvier";"Février";"Mars";"Avril";"Mai";"Juin";"Juillet";"Août";"Septembre";"Octobre";"Novembre";"Décembre"},
0),
1)</f>
        <v>43070</v>
      </c>
      <c r="F98" s="6">
        <f t="shared" ref="F98:F109" si="5">IF(E99=E98,#N/A,D98*1000000)</f>
        <v>253427000000</v>
      </c>
      <c r="G98" s="7">
        <f t="shared" ref="G98:G109" si="6">IF(E99=E98,#N/A,C98*1000000)</f>
        <v>326775000000</v>
      </c>
    </row>
    <row r="99" spans="1:7" x14ac:dyDescent="0.4">
      <c r="A99" t="s">
        <v>276</v>
      </c>
      <c r="B99" t="s">
        <v>277</v>
      </c>
      <c r="C99" s="4">
        <v>29518</v>
      </c>
      <c r="D99">
        <v>21557</v>
      </c>
      <c r="E99" s="1">
        <f>DATE(
RIGHT(B99,4),
MATCH(
MID(B99,FIND("- ",B99)+2,FIND(" ",B99,FIND("- ",B99)+2)-FIND("- ",B99)-2),
{"Janvier";"Février";"Mars";"Avril";"Mai";"Juin";"Juillet";"Août";"Septembre";"Octobre";"Novembre";"Décembre"},
0),
1)</f>
        <v>43101</v>
      </c>
      <c r="F99" s="6">
        <f t="shared" si="5"/>
        <v>21557000000</v>
      </c>
      <c r="G99" s="7">
        <f t="shared" si="6"/>
        <v>29518000000</v>
      </c>
    </row>
    <row r="100" spans="1:7" x14ac:dyDescent="0.4">
      <c r="A100" t="s">
        <v>744</v>
      </c>
      <c r="B100" t="s">
        <v>745</v>
      </c>
      <c r="C100" s="4">
        <v>53767</v>
      </c>
      <c r="D100">
        <v>39425</v>
      </c>
      <c r="E100" s="1">
        <f>DATE(
RIGHT(B100,4),
MATCH(
MID(B100,FIND("- ",B100)+2,FIND(" ",B100,FIND("- ",B100)+2)-FIND("- ",B100)-2),
{"Janvier";"Février";"Mars";"Avril";"Mai";"Juin";"Juillet";"Août";"Septembre";"Octobre";"Novembre";"Décembre"},
0),
1)</f>
        <v>43132</v>
      </c>
      <c r="F100" s="6">
        <f t="shared" si="5"/>
        <v>39425000000</v>
      </c>
      <c r="G100" s="7">
        <f t="shared" si="6"/>
        <v>53767000000</v>
      </c>
    </row>
    <row r="101" spans="1:7" x14ac:dyDescent="0.4">
      <c r="A101" t="s">
        <v>49</v>
      </c>
      <c r="B101" t="s">
        <v>50</v>
      </c>
      <c r="C101" s="4">
        <v>74804</v>
      </c>
      <c r="D101">
        <v>62483</v>
      </c>
      <c r="E101" s="1">
        <f>DATE(
RIGHT(B101,4),
MATCH(
MID(B101,FIND("- ",B101)+2,FIND(" ",B101,FIND("- ",B101)+2)-FIND("- ",B101)-2),
{"Janvier";"Février";"Mars";"Avril";"Mai";"Juin";"Juillet";"Août";"Septembre";"Octobre";"Novembre";"Décembre"},
0),
1)</f>
        <v>43160</v>
      </c>
      <c r="F101" s="6">
        <f t="shared" si="5"/>
        <v>62483000000</v>
      </c>
      <c r="G101" s="7">
        <f t="shared" si="6"/>
        <v>74804000000</v>
      </c>
    </row>
    <row r="102" spans="1:7" x14ac:dyDescent="0.4">
      <c r="A102" t="s">
        <v>596</v>
      </c>
      <c r="B102" t="s">
        <v>597</v>
      </c>
      <c r="C102" s="4">
        <v>115258</v>
      </c>
      <c r="D102">
        <v>80249</v>
      </c>
      <c r="E102" s="1">
        <f>DATE(
RIGHT(B102,4),
MATCH(
MID(B102,FIND("- ",B102)+2,FIND(" ",B102,FIND("- ",B102)+2)-FIND("- ",B102)-2),
{"Janvier";"Février";"Mars";"Avril";"Mai";"Juin";"Juillet";"Août";"Septembre";"Octobre";"Novembre";"Décembre"},
0),
1)</f>
        <v>43191</v>
      </c>
      <c r="F102" s="6">
        <f t="shared" si="5"/>
        <v>80249000000</v>
      </c>
      <c r="G102" s="7">
        <f t="shared" si="6"/>
        <v>115258000000</v>
      </c>
    </row>
    <row r="103" spans="1:7" x14ac:dyDescent="0.4">
      <c r="A103" t="s">
        <v>113</v>
      </c>
      <c r="B103" t="s">
        <v>114</v>
      </c>
      <c r="C103" s="4">
        <v>142963</v>
      </c>
      <c r="D103">
        <v>110777</v>
      </c>
      <c r="E103" s="1">
        <f>DATE(
RIGHT(B103,4),
MATCH(
MID(B103,FIND("- ",B103)+2,FIND(" ",B103,FIND("- ",B103)+2)-FIND("- ",B103)-2),
{"Janvier";"Février";"Mars";"Avril";"Mai";"Juin";"Juillet";"Août";"Septembre";"Octobre";"Novembre";"Décembre"},
0),
1)</f>
        <v>43221</v>
      </c>
      <c r="F103" s="6">
        <f t="shared" si="5"/>
        <v>110777000000</v>
      </c>
      <c r="G103" s="7">
        <f t="shared" si="6"/>
        <v>142963000000</v>
      </c>
    </row>
    <row r="104" spans="1:7" x14ac:dyDescent="0.4">
      <c r="A104" t="s">
        <v>316</v>
      </c>
      <c r="B104" t="s">
        <v>317</v>
      </c>
      <c r="C104" s="4">
        <v>171577</v>
      </c>
      <c r="D104">
        <v>131113</v>
      </c>
      <c r="E104" s="1">
        <f>DATE(
RIGHT(B104,4),
MATCH(
MID(B104,FIND("- ",B104)+2,FIND(" ",B104,FIND("- ",B104)+2)-FIND("- ",B104)-2),
{"Janvier";"Février";"Mars";"Avril";"Mai";"Juin";"Juillet";"Août";"Septembre";"Octobre";"Novembre";"Décembre"},
0),
1)</f>
        <v>43252</v>
      </c>
      <c r="F104" s="6">
        <f t="shared" si="5"/>
        <v>131113000000</v>
      </c>
      <c r="G104" s="7">
        <f t="shared" si="6"/>
        <v>171577000000</v>
      </c>
    </row>
    <row r="105" spans="1:7" x14ac:dyDescent="0.4">
      <c r="A105" t="s">
        <v>221</v>
      </c>
      <c r="B105" t="s">
        <v>222</v>
      </c>
      <c r="C105" s="4">
        <v>204978</v>
      </c>
      <c r="D105">
        <v>147973</v>
      </c>
      <c r="E105" s="1">
        <f>DATE(
RIGHT(B105,4),
MATCH(
MID(B105,FIND("- ",B105)+2,FIND(" ",B105,FIND("- ",B105)+2)-FIND("- ",B105)-2),
{"Janvier";"Février";"Mars";"Avril";"Mai";"Juin";"Juillet";"Août";"Septembre";"Octobre";"Novembre";"Décembre"},
0),
1)</f>
        <v>43282</v>
      </c>
      <c r="F105" s="6">
        <f t="shared" si="5"/>
        <v>147973000000</v>
      </c>
      <c r="G105" s="7">
        <f t="shared" si="6"/>
        <v>204978000000</v>
      </c>
    </row>
    <row r="106" spans="1:7" x14ac:dyDescent="0.4">
      <c r="A106" t="s">
        <v>592</v>
      </c>
      <c r="B106" t="s">
        <v>593</v>
      </c>
      <c r="C106" s="4">
        <v>224058</v>
      </c>
      <c r="D106">
        <v>158070</v>
      </c>
      <c r="E106" s="1">
        <f>DATE(
RIGHT(B106,4),
MATCH(
MID(B106,FIND("- ",B106)+2,FIND(" ",B106,FIND("- ",B106)+2)-FIND("- ",B106)-2),
{"Janvier";"Février";"Mars";"Avril";"Mai";"Juin";"Juillet";"Août";"Septembre";"Octobre";"Novembre";"Décembre"},
0),
1)</f>
        <v>43313</v>
      </c>
      <c r="F106" s="6">
        <f t="shared" si="5"/>
        <v>158070000000</v>
      </c>
      <c r="G106" s="7">
        <f t="shared" si="6"/>
        <v>224058000000</v>
      </c>
    </row>
    <row r="107" spans="1:7" x14ac:dyDescent="0.4">
      <c r="A107" t="s">
        <v>452</v>
      </c>
      <c r="B107" t="s">
        <v>453</v>
      </c>
      <c r="C107" s="4">
        <v>246475</v>
      </c>
      <c r="D107">
        <v>187345</v>
      </c>
      <c r="E107" s="1">
        <f>DATE(
RIGHT(B107,4),
MATCH(
MID(B107,FIND("- ",B107)+2,FIND(" ",B107,FIND("- ",B107)+2)-FIND("- ",B107)-2),
{"Janvier";"Février";"Mars";"Avril";"Mai";"Juin";"Juillet";"Août";"Septembre";"Octobre";"Novembre";"Décembre"},
0),
1)</f>
        <v>43344</v>
      </c>
      <c r="F107" s="6">
        <f t="shared" si="5"/>
        <v>187345000000</v>
      </c>
      <c r="G107" s="7">
        <f t="shared" si="6"/>
        <v>246475000000</v>
      </c>
    </row>
    <row r="108" spans="1:7" x14ac:dyDescent="0.4">
      <c r="A108" t="s">
        <v>169</v>
      </c>
      <c r="B108" t="s">
        <v>170</v>
      </c>
      <c r="C108" s="4">
        <v>282753</v>
      </c>
      <c r="D108">
        <v>204385</v>
      </c>
      <c r="E108" s="1">
        <f>DATE(
RIGHT(B108,4),
MATCH(
MID(B108,FIND("- ",B108)+2,FIND(" ",B108,FIND("- ",B108)+2)-FIND("- ",B108)-2),
{"Janvier";"Février";"Mars";"Avril";"Mai";"Juin";"Juillet";"Août";"Septembre";"Octobre";"Novembre";"Décembre"},
0),
1)</f>
        <v>43374</v>
      </c>
      <c r="F108" s="6">
        <f t="shared" si="5"/>
        <v>204385000000</v>
      </c>
      <c r="G108" s="7">
        <f t="shared" si="6"/>
        <v>282753000000</v>
      </c>
    </row>
    <row r="109" spans="1:7" x14ac:dyDescent="0.4">
      <c r="A109" t="s">
        <v>696</v>
      </c>
      <c r="B109" t="s">
        <v>697</v>
      </c>
      <c r="C109" s="4">
        <v>305453</v>
      </c>
      <c r="D109">
        <v>216570</v>
      </c>
      <c r="E109" s="1">
        <f>DATE(
RIGHT(B109,4),
MATCH(
MID(B109,FIND("- ",B109)+2,FIND(" ",B109,FIND("- ",B109)+2)-FIND("- ",B109)-2),
{"Janvier";"Février";"Mars";"Avril";"Mai";"Juin";"Juillet";"Août";"Septembre";"Octobre";"Novembre";"Décembre"},
0),
1)</f>
        <v>43405</v>
      </c>
      <c r="F109" s="6">
        <f t="shared" si="5"/>
        <v>216570000000</v>
      </c>
      <c r="G109" s="7">
        <f t="shared" si="6"/>
        <v>305453000000</v>
      </c>
    </row>
    <row r="110" spans="1:7" hidden="1" x14ac:dyDescent="0.4">
      <c r="A110" t="s">
        <v>241</v>
      </c>
      <c r="B110" t="s">
        <v>242</v>
      </c>
      <c r="C110" s="4">
        <v>329722</v>
      </c>
      <c r="D110">
        <v>252845</v>
      </c>
      <c r="E110" s="1">
        <f>DATE(
RIGHT(B110,4),
MATCH(
MID(B110,FIND("- ",B110)+2,FIND(" ",B110,FIND("- ",B110)+2)-FIND("- ",B110)-2),
{"Janvier";"Février";"Mars";"Avril";"Mai";"Juin";"Juillet";"Août";"Septembre";"Octobre";"Novembre";"Décembre"},
0),
1)</f>
        <v>43435</v>
      </c>
      <c r="F110" t="e">
        <f t="shared" si="4"/>
        <v>#N/A</v>
      </c>
    </row>
    <row r="111" spans="1:7" x14ac:dyDescent="0.4">
      <c r="A111" t="s">
        <v>480</v>
      </c>
      <c r="B111" t="s">
        <v>481</v>
      </c>
      <c r="C111" s="4">
        <v>329722</v>
      </c>
      <c r="D111">
        <v>252816</v>
      </c>
      <c r="E111" s="1">
        <f>DATE(
RIGHT(B111,4),
MATCH(
MID(B111,FIND("- ",B111)+2,FIND(" ",B111,FIND("- ",B111)+2)-FIND("- ",B111)-2),
{"Janvier";"Février";"Mars";"Avril";"Mai";"Juin";"Juillet";"Août";"Septembre";"Octobre";"Novembre";"Décembre"},
0),
1)</f>
        <v>43435</v>
      </c>
      <c r="F111" s="6">
        <f t="shared" ref="F111:F134" si="7">IF(E112=E111,#N/A,D111*1000000)</f>
        <v>252816000000</v>
      </c>
      <c r="G111" s="7">
        <f t="shared" ref="G111:G134" si="8">IF(E112=E111,#N/A,C111*1000000)</f>
        <v>329722000000</v>
      </c>
    </row>
    <row r="112" spans="1:7" x14ac:dyDescent="0.4">
      <c r="A112" t="s">
        <v>732</v>
      </c>
      <c r="B112" t="s">
        <v>733</v>
      </c>
      <c r="C112" s="4">
        <v>27588</v>
      </c>
      <c r="D112">
        <v>15020</v>
      </c>
      <c r="E112" s="1">
        <f>DATE(
RIGHT(B112,4),
MATCH(
MID(B112,FIND("- ",B112)+2,FIND(" ",B112,FIND("- ",B112)+2)-FIND("- ",B112)-2),
{"Janvier";"Février";"Mars";"Avril";"Mai";"Juin";"Juillet";"Août";"Septembre";"Octobre";"Novembre";"Décembre"},
0),
1)</f>
        <v>43466</v>
      </c>
      <c r="F112" s="6">
        <f t="shared" si="7"/>
        <v>15020000000</v>
      </c>
      <c r="G112" s="7">
        <f t="shared" si="8"/>
        <v>27588000000</v>
      </c>
    </row>
    <row r="113" spans="1:7" x14ac:dyDescent="0.4">
      <c r="A113" t="s">
        <v>588</v>
      </c>
      <c r="B113" t="s">
        <v>589</v>
      </c>
      <c r="C113" s="4">
        <v>52688</v>
      </c>
      <c r="D113">
        <v>25245</v>
      </c>
      <c r="E113" s="1">
        <f>DATE(
RIGHT(B113,4),
MATCH(
MID(B113,FIND("- ",B113)+2,FIND(" ",B113,FIND("- ",B113)+2)-FIND("- ",B113)-2),
{"Janvier";"Février";"Mars";"Avril";"Mai";"Juin";"Juillet";"Août";"Septembre";"Octobre";"Novembre";"Décembre"},
0),
1)</f>
        <v>43497</v>
      </c>
      <c r="F113" s="6">
        <f t="shared" si="7"/>
        <v>25245000000</v>
      </c>
      <c r="G113" s="7">
        <f t="shared" si="8"/>
        <v>52688000000</v>
      </c>
    </row>
    <row r="114" spans="1:7" x14ac:dyDescent="0.4">
      <c r="A114" t="s">
        <v>784</v>
      </c>
      <c r="B114" t="s">
        <v>785</v>
      </c>
      <c r="C114" s="4">
        <v>75161</v>
      </c>
      <c r="D114">
        <v>49978</v>
      </c>
      <c r="E114" s="1">
        <f>DATE(
RIGHT(B114,4),
MATCH(
MID(B114,FIND("- ",B114)+2,FIND(" ",B114,FIND("- ",B114)+2)-FIND("- ",B114)-2),
{"Janvier";"Février";"Mars";"Avril";"Mai";"Juin";"Juillet";"Août";"Septembre";"Octobre";"Novembre";"Décembre"},
0),
1)</f>
        <v>43525</v>
      </c>
      <c r="F114" s="6">
        <f t="shared" si="7"/>
        <v>49978000000</v>
      </c>
      <c r="G114" s="7">
        <f t="shared" si="8"/>
        <v>75161000000</v>
      </c>
    </row>
    <row r="115" spans="1:7" x14ac:dyDescent="0.4">
      <c r="A115" t="s">
        <v>424</v>
      </c>
      <c r="B115" t="s">
        <v>425</v>
      </c>
      <c r="C115" s="4">
        <v>116674</v>
      </c>
      <c r="D115">
        <v>69210</v>
      </c>
      <c r="E115" s="1">
        <f>DATE(
RIGHT(B115,4),
MATCH(
MID(B115,FIND("- ",B115)+2,FIND(" ",B115,FIND("- ",B115)+2)-FIND("- ",B115)-2),
{"Janvier";"Février";"Mars";"Avril";"Mai";"Juin";"Juillet";"Août";"Septembre";"Octobre";"Novembre";"Décembre"},
0),
1)</f>
        <v>43556</v>
      </c>
      <c r="F115" s="6">
        <f t="shared" si="7"/>
        <v>69210000000</v>
      </c>
      <c r="G115" s="7">
        <f t="shared" si="8"/>
        <v>116674000000</v>
      </c>
    </row>
    <row r="116" spans="1:7" x14ac:dyDescent="0.4">
      <c r="A116" t="s">
        <v>780</v>
      </c>
      <c r="B116" t="s">
        <v>781</v>
      </c>
      <c r="C116" s="4">
        <v>148134</v>
      </c>
      <c r="D116">
        <v>86739</v>
      </c>
      <c r="E116" s="1">
        <f>DATE(
RIGHT(B116,4),
MATCH(
MID(B116,FIND("- ",B116)+2,FIND(" ",B116,FIND("- ",B116)+2)-FIND("- ",B116)-2),
{"Janvier";"Février";"Mars";"Avril";"Mai";"Juin";"Juillet";"Août";"Septembre";"Octobre";"Novembre";"Décembre"},
0),
1)</f>
        <v>43586</v>
      </c>
      <c r="F116" s="6">
        <f t="shared" si="7"/>
        <v>86739000000</v>
      </c>
      <c r="G116" s="7">
        <f t="shared" si="8"/>
        <v>148134000000</v>
      </c>
    </row>
    <row r="117" spans="1:7" x14ac:dyDescent="0.4">
      <c r="A117" t="s">
        <v>201</v>
      </c>
      <c r="B117" t="s">
        <v>202</v>
      </c>
      <c r="C117" s="4">
        <v>174173</v>
      </c>
      <c r="D117">
        <v>113563</v>
      </c>
      <c r="E117" s="1">
        <f>DATE(
RIGHT(B117,4),
MATCH(
MID(B117,FIND("- ",B117)+2,FIND(" ",B117,FIND("- ",B117)+2)-FIND("- ",B117)-2),
{"Janvier";"Février";"Mars";"Avril";"Mai";"Juin";"Juillet";"Août";"Septembre";"Octobre";"Novembre";"Décembre"},
0),
1)</f>
        <v>43617</v>
      </c>
      <c r="F117" s="6">
        <f t="shared" si="7"/>
        <v>113563000000</v>
      </c>
      <c r="G117" s="7">
        <f t="shared" si="8"/>
        <v>174173000000</v>
      </c>
    </row>
    <row r="118" spans="1:7" x14ac:dyDescent="0.4">
      <c r="A118" t="s">
        <v>668</v>
      </c>
      <c r="B118" t="s">
        <v>669</v>
      </c>
      <c r="C118" s="4">
        <v>207790</v>
      </c>
      <c r="D118">
        <v>123035</v>
      </c>
      <c r="E118" s="1">
        <f>DATE(
RIGHT(B118,4),
MATCH(
MID(B118,FIND("- ",B118)+2,FIND(" ",B118,FIND("- ",B118)+2)-FIND("- ",B118)-2),
{"Janvier";"Février";"Mars";"Avril";"Mai";"Juin";"Juillet";"Août";"Septembre";"Octobre";"Novembre";"Décembre"},
0),
1)</f>
        <v>43647</v>
      </c>
      <c r="F118" s="6">
        <f t="shared" si="7"/>
        <v>123035000000</v>
      </c>
      <c r="G118" s="7">
        <f t="shared" si="8"/>
        <v>207790000000</v>
      </c>
    </row>
    <row r="119" spans="1:7" x14ac:dyDescent="0.4">
      <c r="A119" t="s">
        <v>109</v>
      </c>
      <c r="B119" t="s">
        <v>110</v>
      </c>
      <c r="C119" s="4">
        <v>230642</v>
      </c>
      <c r="D119">
        <v>138353</v>
      </c>
      <c r="E119" s="1">
        <f>DATE(
RIGHT(B119,4),
MATCH(
MID(B119,FIND("- ",B119)+2,FIND(" ",B119,FIND("- ",B119)+2)-FIND("- ",B119)-2),
{"Janvier";"Février";"Mars";"Avril";"Mai";"Juin";"Juillet";"Août";"Septembre";"Octobre";"Novembre";"Décembre"},
0),
1)</f>
        <v>43678</v>
      </c>
      <c r="F119" s="6">
        <f t="shared" si="7"/>
        <v>138353000000</v>
      </c>
      <c r="G119" s="7">
        <f t="shared" si="8"/>
        <v>230642000000</v>
      </c>
    </row>
    <row r="120" spans="1:7" x14ac:dyDescent="0.4">
      <c r="A120" t="s">
        <v>420</v>
      </c>
      <c r="B120" t="s">
        <v>421</v>
      </c>
      <c r="C120" s="4">
        <v>251442</v>
      </c>
      <c r="D120">
        <v>165280</v>
      </c>
      <c r="E120" s="1">
        <f>DATE(
RIGHT(B120,4),
MATCH(
MID(B120,FIND("- ",B120)+2,FIND(" ",B120,FIND("- ",B120)+2)-FIND("- ",B120)-2),
{"Janvier";"Février";"Mars";"Avril";"Mai";"Juin";"Juillet";"Août";"Septembre";"Octobre";"Novembre";"Décembre"},
0),
1)</f>
        <v>43709</v>
      </c>
      <c r="F120" s="6">
        <f t="shared" si="7"/>
        <v>165280000000</v>
      </c>
      <c r="G120" s="7">
        <f t="shared" si="8"/>
        <v>251442000000</v>
      </c>
    </row>
    <row r="121" spans="1:7" x14ac:dyDescent="0.4">
      <c r="A121" t="s">
        <v>556</v>
      </c>
      <c r="B121" t="s">
        <v>557</v>
      </c>
      <c r="C121" s="4">
        <v>287835</v>
      </c>
      <c r="D121">
        <v>185369</v>
      </c>
      <c r="E121" s="1">
        <f>DATE(
RIGHT(B121,4),
MATCH(
MID(B121,FIND("- ",B121)+2,FIND(" ",B121,FIND("- ",B121)+2)-FIND("- ",B121)-2),
{"Janvier";"Février";"Mars";"Avril";"Mai";"Juin";"Juillet";"Août";"Septembre";"Octobre";"Novembre";"Décembre"},
0),
1)</f>
        <v>43739</v>
      </c>
      <c r="F121" s="6">
        <f t="shared" si="7"/>
        <v>185369000000</v>
      </c>
      <c r="G121" s="7">
        <f t="shared" si="8"/>
        <v>287835000000</v>
      </c>
    </row>
    <row r="122" spans="1:7" x14ac:dyDescent="0.4">
      <c r="A122" t="s">
        <v>145</v>
      </c>
      <c r="B122" t="s">
        <v>146</v>
      </c>
      <c r="C122" s="4">
        <v>308660</v>
      </c>
      <c r="D122">
        <v>198944</v>
      </c>
      <c r="E122" s="1">
        <f>DATE(
RIGHT(B122,4),
MATCH(
MID(B122,FIND("- ",B122)+2,FIND(" ",B122,FIND("- ",B122)+2)-FIND("- ",B122)-2),
{"Janvier";"Février";"Mars";"Avril";"Mai";"Juin";"Juillet";"Août";"Septembre";"Octobre";"Novembre";"Décembre"},
0),
1)</f>
        <v>43770</v>
      </c>
      <c r="F122" s="6">
        <f t="shared" si="7"/>
        <v>198944000000</v>
      </c>
      <c r="G122" s="7">
        <f t="shared" si="8"/>
        <v>308660000000</v>
      </c>
    </row>
    <row r="123" spans="1:7" x14ac:dyDescent="0.4">
      <c r="A123" t="s">
        <v>580</v>
      </c>
      <c r="B123" t="s">
        <v>581</v>
      </c>
      <c r="C123" s="4">
        <v>336069</v>
      </c>
      <c r="D123">
        <v>239156</v>
      </c>
      <c r="E123" s="1">
        <f>DATE(
RIGHT(B123,4),
MATCH(
MID(B123,FIND("- ",B123)+2,FIND(" ",B123,FIND("- ",B123)+2)-FIND("- ",B123)-2),
{"Janvier";"Février";"Mars";"Avril";"Mai";"Juin";"Juillet";"Août";"Septembre";"Octobre";"Novembre";"Décembre"},
0),
1)</f>
        <v>43800</v>
      </c>
      <c r="F123" s="6">
        <f t="shared" si="7"/>
        <v>239156000000</v>
      </c>
      <c r="G123" s="7">
        <f t="shared" si="8"/>
        <v>336069000000</v>
      </c>
    </row>
    <row r="124" spans="1:7" x14ac:dyDescent="0.4">
      <c r="A124" t="s">
        <v>664</v>
      </c>
      <c r="B124" t="s">
        <v>665</v>
      </c>
      <c r="C124" s="4">
        <v>29191</v>
      </c>
      <c r="D124">
        <v>15042</v>
      </c>
      <c r="E124" s="1">
        <f>DATE(
RIGHT(B124,4),
MATCH(
MID(B124,FIND("- ",B124)+2,FIND(" ",B124,FIND("- ",B124)+2)-FIND("- ",B124)-2),
{"Janvier";"Février";"Mars";"Avril";"Mai";"Juin";"Juillet";"Août";"Septembre";"Octobre";"Novembre";"Décembre"},
0),
1)</f>
        <v>43831</v>
      </c>
      <c r="F124" s="6">
        <f t="shared" si="7"/>
        <v>15042000000</v>
      </c>
      <c r="G124" s="7">
        <f t="shared" si="8"/>
        <v>29191000000</v>
      </c>
    </row>
    <row r="125" spans="1:7" x14ac:dyDescent="0.4">
      <c r="A125" t="s">
        <v>45</v>
      </c>
      <c r="B125" t="s">
        <v>46</v>
      </c>
      <c r="C125" s="4">
        <v>54058</v>
      </c>
      <c r="D125">
        <v>29231</v>
      </c>
      <c r="E125" s="1">
        <f>DATE(
RIGHT(B125,4),
MATCH(
MID(B125,FIND("- ",B125)+2,FIND(" ",B125,FIND("- ",B125)+2)-FIND("- ",B125)-2),
{"Janvier";"Février";"Mars";"Avril";"Mai";"Juin";"Juillet";"Août";"Septembre";"Octobre";"Novembre";"Décembre"},
0),
1)</f>
        <v>43862</v>
      </c>
      <c r="F125" s="6">
        <f t="shared" si="7"/>
        <v>29231000000</v>
      </c>
      <c r="G125" s="7">
        <f t="shared" si="8"/>
        <v>54058000000</v>
      </c>
    </row>
    <row r="126" spans="1:7" x14ac:dyDescent="0.4">
      <c r="A126" t="s">
        <v>776</v>
      </c>
      <c r="B126" t="s">
        <v>777</v>
      </c>
      <c r="C126" s="4">
        <v>84605</v>
      </c>
      <c r="D126">
        <v>47489</v>
      </c>
      <c r="E126" s="1">
        <f>DATE(
RIGHT(B126,4),
MATCH(
MID(B126,FIND("- ",B126)+2,FIND(" ",B126,FIND("- ",B126)+2)-FIND("- ",B126)-2),
{"Janvier";"Février";"Mars";"Avril";"Mai";"Juin";"Juillet";"Août";"Septembre";"Octobre";"Novembre";"Décembre"},
0),
1)</f>
        <v>43891</v>
      </c>
      <c r="F126" s="6">
        <f t="shared" si="7"/>
        <v>47489000000</v>
      </c>
      <c r="G126" s="7">
        <f t="shared" si="8"/>
        <v>84605000000</v>
      </c>
    </row>
    <row r="127" spans="1:7" x14ac:dyDescent="0.4">
      <c r="A127" t="s">
        <v>624</v>
      </c>
      <c r="B127" t="s">
        <v>625</v>
      </c>
      <c r="C127" s="4">
        <v>130899</v>
      </c>
      <c r="D127">
        <v>61232</v>
      </c>
      <c r="E127" s="1">
        <f>DATE(
RIGHT(B127,4),
MATCH(
MID(B127,FIND("- ",B127)+2,FIND(" ",B127,FIND("- ",B127)+2)-FIND("- ",B127)-2),
{"Janvier";"Février";"Mars";"Avril";"Mai";"Juin";"Juillet";"Août";"Septembre";"Octobre";"Novembre";"Décembre"},
0),
1)</f>
        <v>43922</v>
      </c>
      <c r="F127" s="6">
        <f t="shared" si="7"/>
        <v>61232000000</v>
      </c>
      <c r="G127" s="7">
        <f t="shared" si="8"/>
        <v>130899000000</v>
      </c>
    </row>
    <row r="128" spans="1:7" x14ac:dyDescent="0.4">
      <c r="A128" t="s">
        <v>552</v>
      </c>
      <c r="B128" t="s">
        <v>553</v>
      </c>
      <c r="C128" s="4">
        <v>165522</v>
      </c>
      <c r="D128">
        <v>75171</v>
      </c>
      <c r="E128" s="1">
        <f>DATE(
RIGHT(B128,4),
MATCH(
MID(B128,FIND("- ",B128)+2,FIND(" ",B128,FIND("- ",B128)+2)-FIND("- ",B128)-2),
{"Janvier";"Février";"Mars";"Avril";"Mai";"Juin";"Juillet";"Août";"Septembre";"Octobre";"Novembre";"Décembre"},
0),
1)</f>
        <v>43952</v>
      </c>
      <c r="F128" s="6">
        <f t="shared" si="7"/>
        <v>75171000000</v>
      </c>
      <c r="G128" s="7">
        <f t="shared" si="8"/>
        <v>165522000000</v>
      </c>
    </row>
    <row r="129" spans="1:7" x14ac:dyDescent="0.4">
      <c r="A129" t="s">
        <v>807</v>
      </c>
      <c r="B129" t="s">
        <v>808</v>
      </c>
      <c r="C129" s="4">
        <v>198529</v>
      </c>
      <c r="D129">
        <v>97241</v>
      </c>
      <c r="E129" s="1">
        <f>DATE(
RIGHT(B129,4),
MATCH(
MID(B129,FIND("- ",B129)+2,FIND(" ",B129,FIND("- ",B129)+2)-FIND("- ",B129)-2),
{"Janvier";"Février";"Mars";"Avril";"Mai";"Juin";"Juillet";"Août";"Septembre";"Octobre";"Novembre";"Décembre"},
0),
1)</f>
        <v>43983</v>
      </c>
      <c r="F129" s="6">
        <f t="shared" si="7"/>
        <v>97241000000</v>
      </c>
      <c r="G129" s="7">
        <f t="shared" si="8"/>
        <v>198529000000</v>
      </c>
    </row>
    <row r="130" spans="1:7" x14ac:dyDescent="0.4">
      <c r="A130" t="s">
        <v>312</v>
      </c>
      <c r="B130" t="s">
        <v>313</v>
      </c>
      <c r="C130" s="4">
        <v>231666</v>
      </c>
      <c r="D130">
        <v>111617</v>
      </c>
      <c r="E130" s="1">
        <f>DATE(
RIGHT(B130,4),
MATCH(
MID(B130,FIND("- ",B130)+2,FIND(" ",B130,FIND("- ",B130)+2)-FIND("- ",B130)-2),
{"Janvier";"Février";"Mars";"Avril";"Mai";"Juin";"Juillet";"Août";"Septembre";"Octobre";"Novembre";"Décembre"},
0),
1)</f>
        <v>44013</v>
      </c>
      <c r="F130" s="6">
        <f t="shared" si="7"/>
        <v>111617000000</v>
      </c>
      <c r="G130" s="7">
        <f t="shared" si="8"/>
        <v>231666000000</v>
      </c>
    </row>
    <row r="131" spans="1:7" x14ac:dyDescent="0.4">
      <c r="A131" t="s">
        <v>803</v>
      </c>
      <c r="B131" t="s">
        <v>804</v>
      </c>
      <c r="C131" s="4">
        <v>257627</v>
      </c>
      <c r="D131">
        <v>126379</v>
      </c>
      <c r="E131" s="1">
        <f>DATE(
RIGHT(B131,4),
MATCH(
MID(B131,FIND("- ",B131)+2,FIND(" ",B131,FIND("- ",B131)+2)-FIND("- ",B131)-2),
{"Janvier";"Février";"Mars";"Avril";"Mai";"Juin";"Juillet";"Août";"Septembre";"Octobre";"Novembre";"Décembre"},
0),
1)</f>
        <v>44044</v>
      </c>
      <c r="F131" s="6">
        <f t="shared" si="7"/>
        <v>126379000000</v>
      </c>
      <c r="G131" s="7">
        <f t="shared" si="8"/>
        <v>257627000000</v>
      </c>
    </row>
    <row r="132" spans="1:7" x14ac:dyDescent="0.4">
      <c r="A132" t="s">
        <v>524</v>
      </c>
      <c r="B132" t="s">
        <v>525</v>
      </c>
      <c r="C132" s="4">
        <v>282052</v>
      </c>
      <c r="D132">
        <v>144391</v>
      </c>
      <c r="E132" s="1">
        <f>DATE(
RIGHT(B132,4),
MATCH(
MID(B132,FIND("- ",B132)+2,FIND(" ",B132,FIND("- ",B132)+2)-FIND("- ",B132)-2),
{"Janvier";"Février";"Mars";"Avril";"Mai";"Juin";"Juillet";"Août";"Septembre";"Octobre";"Novembre";"Décembre"},
0),
1)</f>
        <v>44075</v>
      </c>
      <c r="F132" s="6">
        <f t="shared" si="7"/>
        <v>144391000000</v>
      </c>
      <c r="G132" s="7">
        <f t="shared" si="8"/>
        <v>282052000000</v>
      </c>
    </row>
    <row r="133" spans="1:7" x14ac:dyDescent="0.4">
      <c r="A133" t="s">
        <v>308</v>
      </c>
      <c r="B133" t="s">
        <v>309</v>
      </c>
      <c r="C133" s="4">
        <v>319395</v>
      </c>
      <c r="D133">
        <v>167158</v>
      </c>
      <c r="E133" s="1">
        <f>DATE(
RIGHT(B133,4),
MATCH(
MID(B133,FIND("- ",B133)+2,FIND(" ",B133,FIND("- ",B133)+2)-FIND("- ",B133)-2),
{"Janvier";"Février";"Mars";"Avril";"Mai";"Juin";"Juillet";"Août";"Septembre";"Octobre";"Novembre";"Décembre"},
0),
1)</f>
        <v>44105</v>
      </c>
      <c r="F133" s="6">
        <f t="shared" si="7"/>
        <v>167158000000</v>
      </c>
      <c r="G133" s="7">
        <f t="shared" si="8"/>
        <v>319395000000</v>
      </c>
    </row>
    <row r="134" spans="1:7" x14ac:dyDescent="0.4">
      <c r="A134" t="s">
        <v>41</v>
      </c>
      <c r="B134" t="s">
        <v>42</v>
      </c>
      <c r="C134" s="4">
        <v>350806</v>
      </c>
      <c r="D134">
        <v>179422</v>
      </c>
      <c r="E134" s="1">
        <f>DATE(
RIGHT(B134,4),
MATCH(
MID(B134,FIND("- ",B134)+2,FIND(" ",B134,FIND("- ",B134)+2)-FIND("- ",B134)-2),
{"Janvier";"Février";"Mars";"Avril";"Mai";"Juin";"Juillet";"Août";"Septembre";"Octobre";"Novembre";"Décembre"},
0),
1)</f>
        <v>44136</v>
      </c>
      <c r="F134" s="6">
        <f t="shared" si="7"/>
        <v>179422000000</v>
      </c>
      <c r="G134" s="7">
        <f t="shared" si="8"/>
        <v>350806000000</v>
      </c>
    </row>
    <row r="135" spans="1:7" hidden="1" x14ac:dyDescent="0.4">
      <c r="A135" t="s">
        <v>476</v>
      </c>
      <c r="B135" t="s">
        <v>477</v>
      </c>
      <c r="C135" s="4">
        <v>389678</v>
      </c>
      <c r="D135">
        <v>217000</v>
      </c>
      <c r="E135" s="1">
        <f>DATE(
RIGHT(B135,4),
MATCH(
MID(B135,FIND("- ",B135)+2,FIND(" ",B135,FIND("- ",B135)+2)-FIND("- ",B135)-2),
{"Janvier";"Février";"Mars";"Avril";"Mai";"Juin";"Juillet";"Août";"Septembre";"Octobre";"Novembre";"Décembre"},
0),
1)</f>
        <v>44166</v>
      </c>
      <c r="F135" t="e">
        <f t="shared" ref="F131:F194" si="9">IF(E136=E135,#N/A,D135)</f>
        <v>#N/A</v>
      </c>
    </row>
    <row r="136" spans="1:7" x14ac:dyDescent="0.4">
      <c r="A136" t="s">
        <v>105</v>
      </c>
      <c r="B136" t="s">
        <v>106</v>
      </c>
      <c r="C136" s="4">
        <v>389678</v>
      </c>
      <c r="D136">
        <v>217000</v>
      </c>
      <c r="E136" s="1">
        <f>DATE(
RIGHT(B136,4),
MATCH(
MID(B136,FIND("- ",B136)+2,FIND(" ",B136,FIND("- ",B136)+2)-FIND("- ",B136)-2),
{"Janvier";"Février";"Mars";"Avril";"Mai";"Juin";"Juillet";"Août";"Septembre";"Octobre";"Novembre";"Décembre"},
0),
1)</f>
        <v>44166</v>
      </c>
      <c r="F136" s="6">
        <f t="shared" ref="F136:F147" si="10">IF(E137=E136,#N/A,D136*1000000)</f>
        <v>217000000000</v>
      </c>
      <c r="G136" s="7">
        <f t="shared" ref="G136:G147" si="11">IF(E137=E136,#N/A,C136*1000000)</f>
        <v>389678000000</v>
      </c>
    </row>
    <row r="137" spans="1:7" x14ac:dyDescent="0.4">
      <c r="A137" t="s">
        <v>77</v>
      </c>
      <c r="B137" t="s">
        <v>78</v>
      </c>
      <c r="C137" s="4">
        <v>32800</v>
      </c>
      <c r="D137">
        <v>17332</v>
      </c>
      <c r="E137" s="1">
        <f>DATE(
RIGHT(B137,4),
MATCH(
MID(B137,FIND("- ",B137)+2,FIND(" ",B137,FIND("- ",B137)+2)-FIND("- ",B137)-2),
{"Janvier";"Février";"Mars";"Avril";"Mai";"Juin";"Juillet";"Août";"Septembre";"Octobre";"Novembre";"Décembre"},
0),
1)</f>
        <v>44197</v>
      </c>
      <c r="F137" s="6">
        <f t="shared" si="10"/>
        <v>17332000000</v>
      </c>
      <c r="G137" s="7">
        <f t="shared" si="11"/>
        <v>32800000000</v>
      </c>
    </row>
    <row r="138" spans="1:7" x14ac:dyDescent="0.4">
      <c r="A138" t="s">
        <v>416</v>
      </c>
      <c r="B138" t="s">
        <v>417</v>
      </c>
      <c r="C138" s="4">
        <v>63328</v>
      </c>
      <c r="D138">
        <v>27842</v>
      </c>
      <c r="E138" s="1">
        <f>DATE(
RIGHT(B138,4),
MATCH(
MID(B138,FIND("- ",B138)+2,FIND(" ",B138,FIND("- ",B138)+2)-FIND("- ",B138)-2),
{"Janvier";"Février";"Mars";"Avril";"Mai";"Juin";"Juillet";"Août";"Septembre";"Octobre";"Novembre";"Décembre"},
0),
1)</f>
        <v>44228</v>
      </c>
      <c r="F138" s="6">
        <f t="shared" si="10"/>
        <v>27842000000</v>
      </c>
      <c r="G138" s="7">
        <f t="shared" si="11"/>
        <v>63328000000</v>
      </c>
    </row>
    <row r="139" spans="1:7" x14ac:dyDescent="0.4">
      <c r="A139" t="s">
        <v>772</v>
      </c>
      <c r="B139" t="s">
        <v>773</v>
      </c>
      <c r="C139" s="4">
        <v>96117</v>
      </c>
      <c r="D139">
        <v>47260</v>
      </c>
      <c r="E139" s="1">
        <f>DATE(
RIGHT(B139,4),
MATCH(
MID(B139,FIND("- ",B139)+2,FIND(" ",B139,FIND("- ",B139)+2)-FIND("- ",B139)-2),
{"Janvier";"Février";"Mars";"Avril";"Mai";"Juin";"Juillet";"Août";"Septembre";"Octobre";"Novembre";"Décembre"},
0),
1)</f>
        <v>44256</v>
      </c>
      <c r="F139" s="6">
        <f t="shared" si="10"/>
        <v>47260000000</v>
      </c>
      <c r="G139" s="7">
        <f t="shared" si="11"/>
        <v>96117000000</v>
      </c>
    </row>
    <row r="140" spans="1:7" x14ac:dyDescent="0.4">
      <c r="A140" t="s">
        <v>272</v>
      </c>
      <c r="B140" t="s">
        <v>273</v>
      </c>
      <c r="C140" s="4">
        <v>142890</v>
      </c>
      <c r="D140">
        <v>65657</v>
      </c>
      <c r="E140" s="1">
        <f>DATE(
RIGHT(B140,4),
MATCH(
MID(B140,FIND("- ",B140)+2,FIND(" ",B140,FIND("- ",B140)+2)-FIND("- ",B140)-2),
{"Janvier";"Février";"Mars";"Avril";"Mai";"Juin";"Juillet";"Août";"Septembre";"Octobre";"Novembre";"Décembre"},
0),
1)</f>
        <v>44287</v>
      </c>
      <c r="F140" s="6">
        <f t="shared" si="10"/>
        <v>65657000000</v>
      </c>
      <c r="G140" s="7">
        <f t="shared" si="11"/>
        <v>142890000000</v>
      </c>
    </row>
    <row r="141" spans="1:7" x14ac:dyDescent="0.4">
      <c r="A141" t="s">
        <v>768</v>
      </c>
      <c r="B141" t="s">
        <v>769</v>
      </c>
      <c r="C141" s="4">
        <v>184464</v>
      </c>
      <c r="D141">
        <v>83525</v>
      </c>
      <c r="E141" s="1">
        <f>DATE(
RIGHT(B141,4),
MATCH(
MID(B141,FIND("- ",B141)+2,FIND(" ",B141,FIND("- ",B141)+2)-FIND("- ",B141)-2),
{"Janvier";"Février";"Mars";"Avril";"Mai";"Juin";"Juillet";"Août";"Septembre";"Octobre";"Novembre";"Décembre"},
0),
1)</f>
        <v>44317</v>
      </c>
      <c r="F141" s="6">
        <f t="shared" si="10"/>
        <v>83525000000</v>
      </c>
      <c r="G141" s="7">
        <f t="shared" si="11"/>
        <v>184464000000</v>
      </c>
    </row>
    <row r="142" spans="1:7" x14ac:dyDescent="0.4">
      <c r="A142" t="s">
        <v>448</v>
      </c>
      <c r="B142" t="s">
        <v>449</v>
      </c>
      <c r="C142" s="4">
        <v>224245</v>
      </c>
      <c r="D142">
        <v>106123</v>
      </c>
      <c r="E142" s="1">
        <f>DATE(
RIGHT(B142,4),
MATCH(
MID(B142,FIND("- ",B142)+2,FIND(" ",B142,FIND("- ",B142)+2)-FIND("- ",B142)-2),
{"Janvier";"Février";"Mars";"Avril";"Mai";"Juin";"Juillet";"Août";"Septembre";"Octobre";"Novembre";"Décembre"},
0),
1)</f>
        <v>44348</v>
      </c>
      <c r="F142" s="6">
        <f t="shared" si="10"/>
        <v>106123000000</v>
      </c>
      <c r="G142" s="7">
        <f t="shared" si="11"/>
        <v>224245000000</v>
      </c>
    </row>
    <row r="143" spans="1:7" x14ac:dyDescent="0.4">
      <c r="A143" t="s">
        <v>21</v>
      </c>
      <c r="B143" t="s">
        <v>22</v>
      </c>
      <c r="C143" s="4">
        <v>264364</v>
      </c>
      <c r="D143">
        <v>115856</v>
      </c>
      <c r="E143" s="1">
        <f>DATE(
RIGHT(B143,4),
MATCH(
MID(B143,FIND("- ",B143)+2,FIND(" ",B143,FIND("- ",B143)+2)-FIND("- ",B143)-2),
{"Janvier";"Février";"Mars";"Avril";"Mai";"Juin";"Juillet";"Août";"Septembre";"Octobre";"Novembre";"Décembre"},
0),
1)</f>
        <v>44378</v>
      </c>
      <c r="F143" s="6">
        <f t="shared" si="10"/>
        <v>115856000000</v>
      </c>
      <c r="G143" s="7">
        <f t="shared" si="11"/>
        <v>264364000000</v>
      </c>
    </row>
    <row r="144" spans="1:7" x14ac:dyDescent="0.4">
      <c r="A144" t="s">
        <v>237</v>
      </c>
      <c r="B144" t="s">
        <v>238</v>
      </c>
      <c r="C144" s="4">
        <v>292819</v>
      </c>
      <c r="D144">
        <v>135618</v>
      </c>
      <c r="E144" s="1">
        <f>DATE(
RIGHT(B144,4),
MATCH(
MID(B144,FIND("- ",B144)+2,FIND(" ",B144,FIND("- ",B144)+2)-FIND("- ",B144)-2),
{"Janvier";"Février";"Mars";"Avril";"Mai";"Juin";"Juillet";"Août";"Septembre";"Octobre";"Novembre";"Décembre"},
0),
1)</f>
        <v>44409</v>
      </c>
      <c r="F144" s="6">
        <f t="shared" si="10"/>
        <v>135618000000</v>
      </c>
      <c r="G144" s="7">
        <f t="shared" si="11"/>
        <v>292819000000</v>
      </c>
    </row>
    <row r="145" spans="1:7" x14ac:dyDescent="0.4">
      <c r="A145" t="s">
        <v>548</v>
      </c>
      <c r="B145" t="s">
        <v>549</v>
      </c>
      <c r="C145" s="4">
        <v>316329</v>
      </c>
      <c r="D145">
        <v>164136</v>
      </c>
      <c r="E145" s="1">
        <f>DATE(
RIGHT(B145,4),
MATCH(
MID(B145,FIND("- ",B145)+2,FIND(" ",B145,FIND("- ",B145)+2)-FIND("- ",B145)-2),
{"Janvier";"Février";"Mars";"Avril";"Mai";"Juin";"Juillet";"Août";"Septembre";"Octobre";"Novembre";"Décembre"},
0),
1)</f>
        <v>44440</v>
      </c>
      <c r="F145" s="6">
        <f t="shared" si="10"/>
        <v>164136000000</v>
      </c>
      <c r="G145" s="7">
        <f t="shared" si="11"/>
        <v>316329000000</v>
      </c>
    </row>
    <row r="146" spans="1:7" x14ac:dyDescent="0.4">
      <c r="A146" t="s">
        <v>620</v>
      </c>
      <c r="B146" t="s">
        <v>621</v>
      </c>
      <c r="C146" s="4">
        <v>356004</v>
      </c>
      <c r="D146">
        <v>187110</v>
      </c>
      <c r="E146" s="1">
        <f>DATE(
RIGHT(B146,4),
MATCH(
MID(B146,FIND("- ",B146)+2,FIND(" ",B146,FIND("- ",B146)+2)-FIND("- ",B146)-2),
{"Janvier";"Février";"Mars";"Avril";"Mai";"Juin";"Juillet";"Août";"Septembre";"Octobre";"Novembre";"Décembre"},
0),
1)</f>
        <v>44470</v>
      </c>
      <c r="F146" s="6">
        <f t="shared" si="10"/>
        <v>187110000000</v>
      </c>
      <c r="G146" s="7">
        <f t="shared" si="11"/>
        <v>356004000000</v>
      </c>
    </row>
    <row r="147" spans="1:7" x14ac:dyDescent="0.4">
      <c r="A147" t="s">
        <v>101</v>
      </c>
      <c r="B147" t="s">
        <v>102</v>
      </c>
      <c r="C147" s="4">
        <v>384499</v>
      </c>
      <c r="D147">
        <v>209372</v>
      </c>
      <c r="E147" s="1">
        <f>DATE(
RIGHT(B147,4),
MATCH(
MID(B147,FIND("- ",B147)+2,FIND(" ",B147,FIND("- ",B147)+2)-FIND("- ",B147)-2),
{"Janvier";"Février";"Mars";"Avril";"Mai";"Juin";"Juillet";"Août";"Septembre";"Octobre";"Novembre";"Décembre"},
0),
1)</f>
        <v>44501</v>
      </c>
      <c r="F147" s="6">
        <f t="shared" si="10"/>
        <v>209372000000</v>
      </c>
      <c r="G147" s="7">
        <f t="shared" si="11"/>
        <v>384499000000</v>
      </c>
    </row>
    <row r="148" spans="1:7" hidden="1" x14ac:dyDescent="0.4">
      <c r="A148" t="s">
        <v>73</v>
      </c>
      <c r="B148" t="s">
        <v>74</v>
      </c>
      <c r="C148" s="4">
        <v>426732</v>
      </c>
      <c r="D148">
        <v>255215</v>
      </c>
      <c r="E148" s="1">
        <f>DATE(
RIGHT(B148,4),
MATCH(
MID(B148,FIND("- ",B148)+2,FIND(" ",B148,FIND("- ",B148)+2)-FIND("- ",B148)-2),
{"Janvier";"Février";"Mars";"Avril";"Mai";"Juin";"Juillet";"Août";"Septembre";"Octobre";"Novembre";"Décembre"},
0),
1)</f>
        <v>44531</v>
      </c>
      <c r="F148" t="e">
        <f t="shared" si="9"/>
        <v>#N/A</v>
      </c>
    </row>
    <row r="149" spans="1:7" x14ac:dyDescent="0.4">
      <c r="A149" t="s">
        <v>356</v>
      </c>
      <c r="B149" t="s">
        <v>357</v>
      </c>
      <c r="C149" s="4">
        <v>426732</v>
      </c>
      <c r="D149">
        <v>255215</v>
      </c>
      <c r="E149" s="1">
        <f>DATE(
RIGHT(B149,4),
MATCH(
MID(B149,FIND("- ",B149)+2,FIND(" ",B149,FIND("- ",B149)+2)-FIND("- ",B149)-2),
{"Janvier";"Février";"Mars";"Avril";"Mai";"Juin";"Juillet";"Août";"Septembre";"Octobre";"Novembre";"Décembre"},
0),
1)</f>
        <v>44531</v>
      </c>
      <c r="F149" s="6">
        <f t="shared" ref="F149:F160" si="12">IF(E150=E149,#N/A,D149*1000000)</f>
        <v>255215000000</v>
      </c>
      <c r="G149" s="7">
        <f t="shared" ref="G149:G160" si="13">IF(E150=E149,#N/A,C149*1000000)</f>
        <v>426732000000</v>
      </c>
    </row>
    <row r="150" spans="1:7" x14ac:dyDescent="0.4">
      <c r="A150" t="s">
        <v>799</v>
      </c>
      <c r="B150" t="s">
        <v>800</v>
      </c>
      <c r="C150" s="4">
        <v>30612</v>
      </c>
      <c r="D150">
        <v>18725</v>
      </c>
      <c r="E150" s="1">
        <f>DATE(
RIGHT(B150,4),
MATCH(
MID(B150,FIND("- ",B150)+2,FIND(" ",B150,FIND("- ",B150)+2)-FIND("- ",B150)-2),
{"Janvier";"Février";"Mars";"Avril";"Mai";"Juin";"Juillet";"Août";"Septembre";"Octobre";"Novembre";"Décembre"},
0),
1)</f>
        <v>44562</v>
      </c>
      <c r="F150" s="6">
        <f t="shared" si="12"/>
        <v>18725000000</v>
      </c>
      <c r="G150" s="7">
        <f t="shared" si="13"/>
        <v>30612000000</v>
      </c>
    </row>
    <row r="151" spans="1:7" x14ac:dyDescent="0.4">
      <c r="A151" t="s">
        <v>764</v>
      </c>
      <c r="B151" t="s">
        <v>765</v>
      </c>
      <c r="C151" s="4">
        <v>58369</v>
      </c>
      <c r="D151">
        <v>28123</v>
      </c>
      <c r="E151" s="1">
        <f>DATE(
RIGHT(B151,4),
MATCH(
MID(B151,FIND("- ",B151)+2,FIND(" ",B151,FIND("- ",B151)+2)-FIND("- ",B151)-2),
{"Janvier";"Février";"Mars";"Avril";"Mai";"Juin";"Juillet";"Août";"Septembre";"Octobre";"Novembre";"Décembre"},
0),
1)</f>
        <v>44593</v>
      </c>
      <c r="F151" s="6">
        <f t="shared" si="12"/>
        <v>28123000000</v>
      </c>
      <c r="G151" s="7">
        <f t="shared" si="13"/>
        <v>58369000000</v>
      </c>
    </row>
    <row r="152" spans="1:7" x14ac:dyDescent="0.4">
      <c r="A152" t="s">
        <v>352</v>
      </c>
      <c r="B152" t="s">
        <v>353</v>
      </c>
      <c r="C152" s="4">
        <v>92890</v>
      </c>
      <c r="D152">
        <v>65082</v>
      </c>
      <c r="E152" s="1">
        <f>DATE(
RIGHT(B152,4),
MATCH(
MID(B152,FIND("- ",B152)+2,FIND(" ",B152,FIND("- ",B152)+2)-FIND("- ",B152)-2),
{"Janvier";"Février";"Mars";"Avril";"Mai";"Juin";"Juillet";"Août";"Septembre";"Octobre";"Novembre";"Décembre"},
0),
1)</f>
        <v>44621</v>
      </c>
      <c r="F152" s="6">
        <f t="shared" si="12"/>
        <v>65082000000</v>
      </c>
      <c r="G152" s="7">
        <f t="shared" si="13"/>
        <v>92890000000</v>
      </c>
    </row>
    <row r="153" spans="1:7" x14ac:dyDescent="0.4">
      <c r="A153" t="s">
        <v>304</v>
      </c>
      <c r="B153" t="s">
        <v>305</v>
      </c>
      <c r="C153" s="4">
        <v>135505</v>
      </c>
      <c r="D153">
        <v>84438</v>
      </c>
      <c r="E153" s="1">
        <f>DATE(
RIGHT(B153,4),
MATCH(
MID(B153,FIND("- ",B153)+2,FIND(" ",B153,FIND("- ",B153)+2)-FIND("- ",B153)-2),
{"Janvier";"Février";"Mars";"Avril";"Mai";"Juin";"Juillet";"Août";"Septembre";"Octobre";"Novembre";"Décembre"},
0),
1)</f>
        <v>44652</v>
      </c>
      <c r="F153" s="6">
        <f t="shared" si="12"/>
        <v>84438000000</v>
      </c>
      <c r="G153" s="7">
        <f t="shared" si="13"/>
        <v>135505000000</v>
      </c>
    </row>
    <row r="154" spans="1:7" x14ac:dyDescent="0.4">
      <c r="A154" t="s">
        <v>37</v>
      </c>
      <c r="B154" t="s">
        <v>38</v>
      </c>
      <c r="C154" s="4">
        <v>173505</v>
      </c>
      <c r="D154">
        <v>110583</v>
      </c>
      <c r="E154" s="1">
        <f>DATE(
RIGHT(B154,4),
MATCH(
MID(B154,FIND("- ",B154)+2,FIND(" ",B154,FIND("- ",B154)+2)-FIND("- ",B154)-2),
{"Janvier";"Février";"Mars";"Avril";"Mai";"Juin";"Juillet";"Août";"Septembre";"Octobre";"Novembre";"Décembre"},
0),
1)</f>
        <v>44682</v>
      </c>
      <c r="F154" s="6">
        <f t="shared" si="12"/>
        <v>110583000000</v>
      </c>
      <c r="G154" s="7">
        <f t="shared" si="13"/>
        <v>173505000000</v>
      </c>
    </row>
    <row r="155" spans="1:7" x14ac:dyDescent="0.4">
      <c r="A155" t="s">
        <v>660</v>
      </c>
      <c r="B155" t="s">
        <v>661</v>
      </c>
      <c r="C155" s="4">
        <v>205988</v>
      </c>
      <c r="D155">
        <v>144660</v>
      </c>
      <c r="E155" s="1">
        <f>DATE(
RIGHT(B155,4),
MATCH(
MID(B155,FIND("- ",B155)+2,FIND(" ",B155,FIND("- ",B155)+2)-FIND("- ",B155)-2),
{"Janvier";"Février";"Mars";"Avril";"Mai";"Juin";"Juillet";"Août";"Septembre";"Octobre";"Novembre";"Décembre"},
0),
1)</f>
        <v>44713</v>
      </c>
      <c r="F155" s="6">
        <f t="shared" si="12"/>
        <v>144660000000</v>
      </c>
      <c r="G155" s="7">
        <f t="shared" si="13"/>
        <v>205988000000</v>
      </c>
    </row>
    <row r="156" spans="1:7" x14ac:dyDescent="0.4">
      <c r="A156" t="s">
        <v>165</v>
      </c>
      <c r="B156" t="s">
        <v>166</v>
      </c>
      <c r="C156" s="4">
        <v>261413</v>
      </c>
      <c r="D156">
        <v>151307</v>
      </c>
      <c r="E156" s="1">
        <f>DATE(
RIGHT(B156,4),
MATCH(
MID(B156,FIND("- ",B156)+2,FIND(" ",B156,FIND("- ",B156)+2)-FIND("- ",B156)-2),
{"Janvier";"Février";"Mars";"Avril";"Mai";"Juin";"Juillet";"Août";"Septembre";"Octobre";"Novembre";"Décembre"},
0),
1)</f>
        <v>44743</v>
      </c>
      <c r="F156" s="6">
        <f t="shared" si="12"/>
        <v>151307000000</v>
      </c>
      <c r="G156" s="7">
        <f t="shared" si="13"/>
        <v>261413000000</v>
      </c>
    </row>
    <row r="157" spans="1:7" x14ac:dyDescent="0.4">
      <c r="A157" t="s">
        <v>728</v>
      </c>
      <c r="B157" t="s">
        <v>729</v>
      </c>
      <c r="C157" s="4">
        <v>287947</v>
      </c>
      <c r="D157">
        <v>163429</v>
      </c>
      <c r="E157" s="1">
        <f>DATE(
RIGHT(B157,4),
MATCH(
MID(B157,FIND("- ",B157)+2,FIND(" ",B157,FIND("- ",B157)+2)-FIND("- ",B157)-2),
{"Janvier";"Février";"Mars";"Avril";"Mai";"Juin";"Juillet";"Août";"Septembre";"Octobre";"Novembre";"Décembre"},
0),
1)</f>
        <v>44774</v>
      </c>
      <c r="F157" s="6">
        <f t="shared" si="12"/>
        <v>163429000000</v>
      </c>
      <c r="G157" s="7">
        <f t="shared" si="13"/>
        <v>287947000000</v>
      </c>
    </row>
    <row r="158" spans="1:7" x14ac:dyDescent="0.4">
      <c r="A158" t="s">
        <v>268</v>
      </c>
      <c r="B158" t="s">
        <v>269</v>
      </c>
      <c r="C158" s="4">
        <v>317410</v>
      </c>
      <c r="D158">
        <v>198133</v>
      </c>
      <c r="E158" s="1">
        <f>DATE(
RIGHT(B158,4),
MATCH(
MID(B158,FIND("- ",B158)+2,FIND(" ",B158,FIND("- ",B158)+2)-FIND("- ",B158)-2),
{"Janvier";"Février";"Mars";"Avril";"Mai";"Juin";"Juillet";"Août";"Septembre";"Octobre";"Novembre";"Décembre"},
0),
1)</f>
        <v>44805</v>
      </c>
      <c r="F158" s="6">
        <f t="shared" si="12"/>
        <v>198133000000</v>
      </c>
      <c r="G158" s="7">
        <f t="shared" si="13"/>
        <v>317410000000</v>
      </c>
    </row>
    <row r="159" spans="1:7" x14ac:dyDescent="0.4">
      <c r="A159" t="s">
        <v>795</v>
      </c>
      <c r="B159" t="s">
        <v>796</v>
      </c>
      <c r="C159" s="4">
        <v>367078</v>
      </c>
      <c r="D159">
        <v>223407</v>
      </c>
      <c r="E159" s="1">
        <f>DATE(
RIGHT(B159,4),
MATCH(
MID(B159,FIND("- ",B159)+2,FIND(" ",B159,FIND("- ",B159)+2)-FIND("- ",B159)-2),
{"Janvier";"Février";"Mars";"Avril";"Mai";"Juin";"Juillet";"Août";"Septembre";"Octobre";"Novembre";"Décembre"},
0),
1)</f>
        <v>44835</v>
      </c>
      <c r="F159" s="6">
        <f t="shared" si="12"/>
        <v>223407000000</v>
      </c>
      <c r="G159" s="7">
        <f t="shared" si="13"/>
        <v>367078000000</v>
      </c>
    </row>
    <row r="160" spans="1:7" x14ac:dyDescent="0.4">
      <c r="A160" t="s">
        <v>69</v>
      </c>
      <c r="B160" t="s">
        <v>70</v>
      </c>
      <c r="C160" s="4">
        <v>397932</v>
      </c>
      <c r="D160">
        <v>245395</v>
      </c>
      <c r="E160" s="1">
        <f>DATE(
RIGHT(B160,4),
MATCH(
MID(B160,FIND("- ",B160)+2,FIND(" ",B160,FIND("- ",B160)+2)-FIND("- ",B160)-2),
{"Janvier";"Février";"Mars";"Avril";"Mai";"Juin";"Juillet";"Août";"Septembre";"Octobre";"Novembre";"Décembre"},
0),
1)</f>
        <v>44866</v>
      </c>
      <c r="F160" s="6">
        <f t="shared" si="12"/>
        <v>245395000000</v>
      </c>
      <c r="G160" s="7">
        <f t="shared" si="13"/>
        <v>397932000000</v>
      </c>
    </row>
    <row r="161" spans="1:7" hidden="1" x14ac:dyDescent="0.4">
      <c r="A161" t="s">
        <v>141</v>
      </c>
      <c r="B161" t="s">
        <v>142</v>
      </c>
      <c r="C161" s="4">
        <v>445672</v>
      </c>
      <c r="D161">
        <v>287477</v>
      </c>
      <c r="E161" s="1">
        <f>DATE(
RIGHT(B161,4),
MATCH(
MID(B161,FIND("- ",B161)+2,FIND(" ",B161,FIND("- ",B161)+2)-FIND("- ",B161)-2),
{"Janvier";"Février";"Mars";"Avril";"Mai";"Juin";"Juillet";"Août";"Septembre";"Octobre";"Novembre";"Décembre"},
0),
1)</f>
        <v>44896</v>
      </c>
      <c r="F161" t="e">
        <f t="shared" si="9"/>
        <v>#N/A</v>
      </c>
    </row>
    <row r="162" spans="1:7" x14ac:dyDescent="0.4">
      <c r="A162" t="s">
        <v>65</v>
      </c>
      <c r="B162" t="s">
        <v>66</v>
      </c>
      <c r="C162" s="4">
        <v>445672</v>
      </c>
      <c r="D162">
        <v>287477</v>
      </c>
      <c r="E162" s="1">
        <f>DATE(
RIGHT(B162,4),
MATCH(
MID(B162,FIND("- ",B162)+2,FIND(" ",B162,FIND("- ",B162)+2)-FIND("- ",B162)-2),
{"Janvier";"Février";"Mars";"Avril";"Mai";"Juin";"Juillet";"Août";"Septembre";"Octobre";"Novembre";"Décembre"},
0),
1)</f>
        <v>44896</v>
      </c>
      <c r="F162" s="6">
        <f t="shared" ref="F162:F173" si="14">IF(E163=E162,#N/A,D162*1000000)</f>
        <v>287477000000</v>
      </c>
      <c r="G162" s="7">
        <f t="shared" ref="G162:G173" si="15">IF(E163=E162,#N/A,C162*1000000)</f>
        <v>445672000000</v>
      </c>
    </row>
    <row r="163" spans="1:7" x14ac:dyDescent="0.4">
      <c r="A163" t="s">
        <v>444</v>
      </c>
      <c r="B163" t="s">
        <v>445</v>
      </c>
      <c r="C163" s="4">
        <v>34490</v>
      </c>
      <c r="D163">
        <v>18139</v>
      </c>
      <c r="E163" s="1">
        <f>DATE(
RIGHT(B163,4),
MATCH(
MID(B163,FIND("- ",B163)+2,FIND(" ",B163,FIND("- ",B163)+2)-FIND("- ",B163)-2),
{"Janvier";"Février";"Mars";"Avril";"Mai";"Juin";"Juillet";"Août";"Septembre";"Octobre";"Novembre";"Décembre"},
0),
1)</f>
        <v>44927</v>
      </c>
      <c r="F163" s="6">
        <f t="shared" si="14"/>
        <v>18139000000</v>
      </c>
      <c r="G163" s="7">
        <f t="shared" si="15"/>
        <v>34490000000</v>
      </c>
    </row>
    <row r="164" spans="1:7" x14ac:dyDescent="0.4">
      <c r="A164" t="s">
        <v>720</v>
      </c>
      <c r="B164" t="s">
        <v>721</v>
      </c>
      <c r="C164" s="4">
        <v>64096</v>
      </c>
      <c r="D164">
        <v>22150</v>
      </c>
      <c r="E164" s="1">
        <f>DATE(
RIGHT(B164,4),
MATCH(
MID(B164,FIND("- ",B164)+2,FIND(" ",B164,FIND("- ",B164)+2)-FIND("- ",B164)-2),
{"Janvier";"Février";"Mars";"Avril";"Mai";"Juin";"Juillet";"Août";"Septembre";"Octobre";"Novembre";"Décembre"},
0),
1)</f>
        <v>44958</v>
      </c>
      <c r="F164" s="6">
        <f t="shared" si="14"/>
        <v>22150000000</v>
      </c>
      <c r="G164" s="7">
        <f t="shared" si="15"/>
        <v>64096000000</v>
      </c>
    </row>
    <row r="165" spans="1:7" x14ac:dyDescent="0.4">
      <c r="A165" t="s">
        <v>137</v>
      </c>
      <c r="B165" t="s">
        <v>138</v>
      </c>
      <c r="C165" s="4">
        <v>100485</v>
      </c>
      <c r="D165">
        <v>58008</v>
      </c>
      <c r="E165" s="1">
        <f>DATE(
RIGHT(B165,4),
MATCH(
MID(B165,FIND("- ",B165)+2,FIND(" ",B165,FIND("- ",B165)+2)-FIND("- ",B165)-2),
{"Janvier";"Février";"Mars";"Avril";"Mai";"Juin";"Juillet";"Août";"Septembre";"Octobre";"Novembre";"Décembre"},
0),
1)</f>
        <v>44986</v>
      </c>
      <c r="F165" s="6">
        <f t="shared" si="14"/>
        <v>58008000000</v>
      </c>
      <c r="G165" s="7">
        <f t="shared" si="15"/>
        <v>100485000000</v>
      </c>
    </row>
    <row r="166" spans="1:7" x14ac:dyDescent="0.4">
      <c r="A166" t="s">
        <v>97</v>
      </c>
      <c r="B166" t="s">
        <v>98</v>
      </c>
      <c r="C166" s="4">
        <v>147992</v>
      </c>
      <c r="D166">
        <v>79200</v>
      </c>
      <c r="E166" s="1">
        <f>DATE(
RIGHT(B166,4),
MATCH(
MID(B166,FIND("- ",B166)+2,FIND(" ",B166,FIND("- ",B166)+2)-FIND("- ",B166)-2),
{"Janvier";"Février";"Mars";"Avril";"Mai";"Juin";"Juillet";"Août";"Septembre";"Octobre";"Novembre";"Décembre"},
0),
1)</f>
        <v>45017</v>
      </c>
      <c r="F166" s="6">
        <f t="shared" si="14"/>
        <v>79200000000</v>
      </c>
      <c r="G166" s="7">
        <f t="shared" si="15"/>
        <v>147992000000</v>
      </c>
    </row>
    <row r="167" spans="1:7" x14ac:dyDescent="0.4">
      <c r="A167" t="s">
        <v>217</v>
      </c>
      <c r="B167" t="s">
        <v>218</v>
      </c>
      <c r="C167" s="4">
        <v>191043</v>
      </c>
      <c r="D167">
        <v>103292</v>
      </c>
      <c r="E167" s="1">
        <f>DATE(
RIGHT(B167,4),
MATCH(
MID(B167,FIND("- ",B167)+2,FIND(" ",B167,FIND("- ",B167)+2)-FIND("- ",B167)-2),
{"Janvier";"Février";"Mars";"Avril";"Mai";"Juin";"Juillet";"Août";"Septembre";"Octobre";"Novembre";"Décembre"},
0),
1)</f>
        <v>45047</v>
      </c>
      <c r="F167" s="6">
        <f t="shared" si="14"/>
        <v>103292000000</v>
      </c>
      <c r="G167" s="7">
        <f t="shared" si="15"/>
        <v>191043000000</v>
      </c>
    </row>
    <row r="168" spans="1:7" x14ac:dyDescent="0.4">
      <c r="A168" t="s">
        <v>656</v>
      </c>
      <c r="B168" t="s">
        <v>657</v>
      </c>
      <c r="C168" s="4">
        <v>225840</v>
      </c>
      <c r="D168">
        <v>129468</v>
      </c>
      <c r="E168" s="1">
        <f>DATE(
RIGHT(B168,4),
MATCH(
MID(B168,FIND("- ",B168)+2,FIND(" ",B168,FIND("- ",B168)+2)-FIND("- ",B168)-2),
{"Janvier";"Février";"Mars";"Avril";"Mai";"Juin";"Juillet";"Août";"Septembre";"Octobre";"Novembre";"Décembre"},
0),
1)</f>
        <v>45078</v>
      </c>
      <c r="F168" s="6">
        <f t="shared" si="14"/>
        <v>129468000000</v>
      </c>
      <c r="G168" s="7">
        <f t="shared" si="15"/>
        <v>225840000000</v>
      </c>
    </row>
    <row r="169" spans="1:7" x14ac:dyDescent="0.4">
      <c r="A169" t="s">
        <v>348</v>
      </c>
      <c r="B169" t="s">
        <v>349</v>
      </c>
      <c r="C169" s="4">
        <v>277222</v>
      </c>
      <c r="D169">
        <v>136020</v>
      </c>
      <c r="E169" s="1">
        <f>DATE(
RIGHT(B169,4),
MATCH(
MID(B169,FIND("- ",B169)+2,FIND(" ",B169,FIND("- ",B169)+2)-FIND("- ",B169)-2),
{"Janvier";"Février";"Mars";"Avril";"Mai";"Juin";"Juillet";"Août";"Septembre";"Octobre";"Novembre";"Décembre"},
0),
1)</f>
        <v>45108</v>
      </c>
      <c r="F169" s="6">
        <f t="shared" si="14"/>
        <v>136020000000</v>
      </c>
      <c r="G169" s="7">
        <f t="shared" si="15"/>
        <v>277222000000</v>
      </c>
    </row>
    <row r="170" spans="1:7" x14ac:dyDescent="0.4">
      <c r="A170" t="s">
        <v>412</v>
      </c>
      <c r="B170" t="s">
        <v>413</v>
      </c>
      <c r="C170" s="4">
        <v>306062</v>
      </c>
      <c r="D170">
        <v>150251</v>
      </c>
      <c r="E170" s="1">
        <f>DATE(
RIGHT(B170,4),
MATCH(
MID(B170,FIND("- ",B170)+2,FIND(" ",B170,FIND("- ",B170)+2)-FIND("- ",B170)-2),
{"Janvier";"Février";"Mars";"Avril";"Mai";"Juin";"Juillet";"Août";"Septembre";"Octobre";"Novembre";"Décembre"},
0),
1)</f>
        <v>45139</v>
      </c>
      <c r="F170" s="6">
        <f t="shared" si="14"/>
        <v>150251000000</v>
      </c>
      <c r="G170" s="7">
        <f t="shared" si="15"/>
        <v>306062000000</v>
      </c>
    </row>
    <row r="171" spans="1:7" x14ac:dyDescent="0.4">
      <c r="A171" t="s">
        <v>233</v>
      </c>
      <c r="B171" t="s">
        <v>234</v>
      </c>
      <c r="C171" s="4">
        <v>335695</v>
      </c>
      <c r="D171">
        <v>187011</v>
      </c>
      <c r="E171" s="1">
        <f>DATE(
RIGHT(B171,4),
MATCH(
MID(B171,FIND("- ",B171)+2,FIND(" ",B171,FIND("- ",B171)+2)-FIND("- ",B171)-2),
{"Janvier";"Février";"Mars";"Avril";"Mai";"Juin";"Juillet";"Août";"Septembre";"Octobre";"Novembre";"Décembre"},
0),
1)</f>
        <v>45170</v>
      </c>
      <c r="F171" s="6">
        <f t="shared" si="14"/>
        <v>187011000000</v>
      </c>
      <c r="G171" s="7">
        <f t="shared" si="15"/>
        <v>335695000000</v>
      </c>
    </row>
    <row r="172" spans="1:7" x14ac:dyDescent="0.4">
      <c r="A172" t="s">
        <v>724</v>
      </c>
      <c r="B172" t="s">
        <v>725</v>
      </c>
      <c r="C172" s="4">
        <v>376535</v>
      </c>
      <c r="D172">
        <v>211956</v>
      </c>
      <c r="E172" s="1">
        <f>DATE(
RIGHT(B172,4),
MATCH(
MID(B172,FIND("- ",B172)+2,FIND(" ",B172,FIND("- ",B172)+2)-FIND("- ",B172)-2),
{"Janvier";"Février";"Mars";"Avril";"Mai";"Juin";"Juillet";"Août";"Septembre";"Octobre";"Novembre";"Décembre"},
0),
1)</f>
        <v>45200</v>
      </c>
      <c r="F172" s="6">
        <f t="shared" si="14"/>
        <v>211956000000</v>
      </c>
      <c r="G172" s="7">
        <f t="shared" si="15"/>
        <v>376535000000</v>
      </c>
    </row>
    <row r="173" spans="1:7" x14ac:dyDescent="0.4">
      <c r="A173" t="s">
        <v>344</v>
      </c>
      <c r="B173" t="s">
        <v>345</v>
      </c>
      <c r="C173" s="4">
        <v>409287</v>
      </c>
      <c r="D173">
        <v>233194</v>
      </c>
      <c r="E173" s="1">
        <f>DATE(
RIGHT(B173,4),
MATCH(
MID(B173,FIND("- ",B173)+2,FIND(" ",B173,FIND("- ",B173)+2)-FIND("- ",B173)-2),
{"Janvier";"Février";"Mars";"Avril";"Mai";"Juin";"Juillet";"Août";"Septembre";"Octobre";"Novembre";"Décembre"},
0),
1)</f>
        <v>45231</v>
      </c>
      <c r="F173" s="6">
        <f t="shared" si="14"/>
        <v>233194000000</v>
      </c>
      <c r="G173" s="7">
        <f t="shared" si="15"/>
        <v>409287000000</v>
      </c>
    </row>
    <row r="174" spans="1:7" hidden="1" x14ac:dyDescent="0.4">
      <c r="A174" t="s">
        <v>791</v>
      </c>
      <c r="B174" t="s">
        <v>792</v>
      </c>
      <c r="C174" s="4">
        <v>454565</v>
      </c>
      <c r="D174">
        <v>286406</v>
      </c>
      <c r="E174" s="1">
        <f>DATE(
RIGHT(B174,4),
MATCH(
MID(B174,FIND("- ",B174)+2,FIND(" ",B174,FIND("- ",B174)+2)-FIND("- ",B174)-2),
{"Janvier";"Février";"Mars";"Avril";"Mai";"Juin";"Juillet";"Août";"Septembre";"Octobre";"Novembre";"Décembre"},
0),
1)</f>
        <v>45261</v>
      </c>
      <c r="F174" t="e">
        <f t="shared" si="9"/>
        <v>#N/A</v>
      </c>
    </row>
    <row r="175" spans="1:7" x14ac:dyDescent="0.4">
      <c r="A175" t="s">
        <v>472</v>
      </c>
      <c r="B175" t="s">
        <v>473</v>
      </c>
      <c r="C175" s="4">
        <v>454565</v>
      </c>
      <c r="D175">
        <v>286406</v>
      </c>
      <c r="E175" s="1">
        <f>DATE(
RIGHT(B175,4),
MATCH(
MID(B175,FIND("- ",B175)+2,FIND(" ",B175,FIND("- ",B175)+2)-FIND("- ",B175)-2),
{"Janvier";"Février";"Mars";"Avril";"Mai";"Juin";"Juillet";"Août";"Septembre";"Octobre";"Novembre";"Décembre"},
0),
1)</f>
        <v>45261</v>
      </c>
      <c r="F175" s="6">
        <f t="shared" ref="F175:F186" si="16">IF(E176=E175,#N/A,D175*1000000)</f>
        <v>286406000000</v>
      </c>
      <c r="G175" s="7">
        <f t="shared" ref="G175:G186" si="17">IF(E176=E175,#N/A,C175*1000000)</f>
        <v>454565000000</v>
      </c>
    </row>
    <row r="176" spans="1:7" x14ac:dyDescent="0.4">
      <c r="A176" t="s">
        <v>716</v>
      </c>
      <c r="B176" t="s">
        <v>717</v>
      </c>
      <c r="C176" s="4">
        <v>38478</v>
      </c>
      <c r="D176">
        <v>15874</v>
      </c>
      <c r="E176" s="1">
        <f>DATE(
RIGHT(B176,4),
MATCH(
MID(B176,FIND("- ",B176)+2,FIND(" ",B176,FIND("- ",B176)+2)-FIND("- ",B176)-2),
{"Janvier";"Février";"Mars";"Avril";"Mai";"Juin";"Juillet";"Août";"Septembre";"Octobre";"Novembre";"Décembre"},
0),
1)</f>
        <v>45292</v>
      </c>
      <c r="F176" s="6">
        <f t="shared" si="16"/>
        <v>15874000000</v>
      </c>
      <c r="G176" s="7">
        <f t="shared" si="17"/>
        <v>38478000000</v>
      </c>
    </row>
    <row r="177" spans="1:7" x14ac:dyDescent="0.4">
      <c r="A177" t="s">
        <v>264</v>
      </c>
      <c r="B177" t="s">
        <v>265</v>
      </c>
      <c r="C177" s="4">
        <v>65146</v>
      </c>
      <c r="D177">
        <v>30207</v>
      </c>
      <c r="E177" s="1">
        <f>DATE(
RIGHT(B177,4),
MATCH(
MID(B177,FIND("- ",B177)+2,FIND(" ",B177,FIND("- ",B177)+2)-FIND("- ",B177)-2),
{"Janvier";"Février";"Mars";"Avril";"Mai";"Juin";"Juillet";"Août";"Septembre";"Octobre";"Novembre";"Décembre"},
0),
1)</f>
        <v>45323</v>
      </c>
      <c r="F177" s="6">
        <f t="shared" si="16"/>
        <v>30207000000</v>
      </c>
      <c r="G177" s="7">
        <f t="shared" si="17"/>
        <v>65146000000</v>
      </c>
    </row>
    <row r="178" spans="1:7" x14ac:dyDescent="0.4">
      <c r="A178" t="s">
        <v>197</v>
      </c>
      <c r="B178" t="s">
        <v>198</v>
      </c>
      <c r="C178" s="4">
        <v>98048</v>
      </c>
      <c r="D178">
        <v>57862</v>
      </c>
      <c r="E178" s="1">
        <f>DATE(
RIGHT(B178,4),
MATCH(
MID(B178,FIND("- ",B178)+2,FIND(" ",B178,FIND("- ",B178)+2)-FIND("- ",B178)-2),
{"Janvier";"Février";"Mars";"Avril";"Mai";"Juin";"Juillet";"Août";"Septembre";"Octobre";"Novembre";"Décembre"},
0),
1)</f>
        <v>45352</v>
      </c>
      <c r="F178" s="6">
        <f t="shared" si="16"/>
        <v>57862000000</v>
      </c>
      <c r="G178" s="7">
        <f t="shared" si="17"/>
        <v>98048000000</v>
      </c>
    </row>
    <row r="179" spans="1:7" x14ac:dyDescent="0.4">
      <c r="A179" t="s">
        <v>193</v>
      </c>
      <c r="B179" t="s">
        <v>194</v>
      </c>
      <c r="C179" s="4">
        <v>134225</v>
      </c>
      <c r="D179">
        <v>55109</v>
      </c>
      <c r="E179" s="1">
        <f>DATE(
RIGHT(B179,4),
MATCH(
MID(B179,FIND("- ",B179)+2,FIND(" ",B179,FIND("- ",B179)+2)-FIND("- ",B179)-2),
{"Janvier";"Février";"Mars";"Avril";"Mai";"Juin";"Juillet";"Août";"Septembre";"Octobre";"Novembre";"Décembre"},
0),
1)</f>
        <v>45383</v>
      </c>
      <c r="F179" s="6">
        <f t="shared" si="16"/>
        <v>55109000000</v>
      </c>
      <c r="G179" s="7">
        <f t="shared" si="17"/>
        <v>134225000000</v>
      </c>
    </row>
    <row r="180" spans="1:7" x14ac:dyDescent="0.4">
      <c r="A180" t="s">
        <v>652</v>
      </c>
      <c r="B180" t="s">
        <v>653</v>
      </c>
      <c r="C180" s="4">
        <v>197637</v>
      </c>
      <c r="D180">
        <v>105460</v>
      </c>
      <c r="E180" s="1">
        <f>DATE(
RIGHT(B180,4),
MATCH(
MID(B180,FIND("- ",B180)+2,FIND(" ",B180,FIND("- ",B180)+2)-FIND("- ",B180)-2),
{"Janvier";"Février";"Mars";"Avril";"Mai";"Juin";"Juillet";"Août";"Septembre";"Octobre";"Novembre";"Décembre"},
0),
1)</f>
        <v>45413</v>
      </c>
      <c r="F180" s="6">
        <f t="shared" si="16"/>
        <v>105460000000</v>
      </c>
      <c r="G180" s="7">
        <f t="shared" si="17"/>
        <v>197637000000</v>
      </c>
    </row>
    <row r="181" spans="1:7" x14ac:dyDescent="0.4">
      <c r="A181" t="s">
        <v>692</v>
      </c>
      <c r="B181" t="s">
        <v>693</v>
      </c>
      <c r="C181" s="4">
        <v>230570</v>
      </c>
      <c r="D181">
        <v>141997</v>
      </c>
      <c r="E181" s="1">
        <f>DATE(
RIGHT(B181,4),
MATCH(
MID(B181,FIND("- ",B181)+2,FIND(" ",B181,FIND("- ",B181)+2)-FIND("- ",B181)-2),
{"Janvier";"Février";"Mars";"Avril";"Mai";"Juin";"Juillet";"Août";"Septembre";"Octobre";"Novembre";"Décembre"},
0),
1)</f>
        <v>45444</v>
      </c>
      <c r="F181" s="6">
        <f t="shared" si="16"/>
        <v>141997000000</v>
      </c>
      <c r="G181" s="7">
        <f t="shared" si="17"/>
        <v>230570000000</v>
      </c>
    </row>
    <row r="182" spans="1:7" x14ac:dyDescent="0.4">
      <c r="A182" t="s">
        <v>260</v>
      </c>
      <c r="B182" t="s">
        <v>261</v>
      </c>
      <c r="C182" s="4">
        <v>276795</v>
      </c>
      <c r="D182">
        <v>147189</v>
      </c>
      <c r="E182" s="1">
        <f>DATE(
RIGHT(B182,4),
MATCH(
MID(B182,FIND("- ",B182)+2,FIND(" ",B182,FIND("- ",B182)+2)-FIND("- ",B182)-2),
{"Janvier";"Février";"Mars";"Avril";"Mai";"Juin";"Juillet";"Août";"Septembre";"Octobre";"Novembre";"Décembre"},
0),
1)</f>
        <v>45474</v>
      </c>
      <c r="F182" s="6">
        <f t="shared" si="16"/>
        <v>147189000000</v>
      </c>
      <c r="G182" s="7">
        <f t="shared" si="17"/>
        <v>276795000000</v>
      </c>
    </row>
    <row r="183" spans="1:7" x14ac:dyDescent="0.4">
      <c r="A183" t="s">
        <v>189</v>
      </c>
      <c r="B183" t="s">
        <v>190</v>
      </c>
      <c r="C183" s="4">
        <v>304109</v>
      </c>
      <c r="D183">
        <v>164055</v>
      </c>
      <c r="E183" s="1">
        <f>DATE(
RIGHT(B183,4),
MATCH(
MID(B183,FIND("- ",B183)+2,FIND(" ",B183,FIND("- ",B183)+2)-FIND("- ",B183)-2),
{"Janvier";"Février";"Mars";"Avril";"Mai";"Juin";"Juillet";"Août";"Septembre";"Octobre";"Novembre";"Décembre"},
0),
1)</f>
        <v>45505</v>
      </c>
      <c r="F183" s="6">
        <f t="shared" si="16"/>
        <v>164055000000</v>
      </c>
      <c r="G183" s="7">
        <f t="shared" si="17"/>
        <v>304109000000</v>
      </c>
    </row>
    <row r="184" spans="1:7" x14ac:dyDescent="0.4">
      <c r="A184" t="s">
        <v>408</v>
      </c>
      <c r="B184" t="s">
        <v>409</v>
      </c>
      <c r="C184" s="4">
        <v>335893</v>
      </c>
      <c r="D184">
        <v>200522</v>
      </c>
      <c r="E184" s="1">
        <f>DATE(
RIGHT(B184,4),
MATCH(
MID(B184,FIND("- ",B184)+2,FIND(" ",B184,FIND("- ",B184)+2)-FIND("- ",B184)-2),
{"Janvier";"Février";"Mars";"Avril";"Mai";"Juin";"Juillet";"Août";"Septembre";"Octobre";"Novembre";"Décembre"},
0),
1)</f>
        <v>45536</v>
      </c>
      <c r="F184" s="6">
        <f t="shared" si="16"/>
        <v>200522000000</v>
      </c>
      <c r="G184" s="7">
        <f t="shared" si="17"/>
        <v>335893000000</v>
      </c>
    </row>
    <row r="185" spans="1:7" x14ac:dyDescent="0.4">
      <c r="A185" t="s">
        <v>213</v>
      </c>
      <c r="B185" t="s">
        <v>214</v>
      </c>
      <c r="C185" s="4">
        <v>371417</v>
      </c>
      <c r="D185">
        <v>224357</v>
      </c>
      <c r="E185" s="1">
        <f>DATE(
RIGHT(B185,4),
MATCH(
MID(B185,FIND("- ",B185)+2,FIND(" ",B185,FIND("- ",B185)+2)-FIND("- ",B185)-2),
{"Janvier";"Février";"Mars";"Avril";"Mai";"Juin";"Juillet";"Août";"Septembre";"Octobre";"Novembre";"Décembre"},
0),
1)</f>
        <v>45566</v>
      </c>
      <c r="F185" s="6">
        <f t="shared" si="16"/>
        <v>224357000000</v>
      </c>
      <c r="G185" s="7">
        <f t="shared" si="17"/>
        <v>371417000000</v>
      </c>
    </row>
    <row r="186" spans="1:7" x14ac:dyDescent="0.4">
      <c r="A186" t="s">
        <v>209</v>
      </c>
      <c r="B186" t="s">
        <v>210</v>
      </c>
      <c r="C186" s="4">
        <v>400776</v>
      </c>
      <c r="D186">
        <v>250759</v>
      </c>
      <c r="E186" s="1">
        <f>DATE(
RIGHT(B186,4),
MATCH(
MID(B186,FIND("- ",B186)+2,FIND(" ",B186,FIND("- ",B186)+2)-FIND("- ",B186)-2),
{"Janvier";"Février";"Mars";"Avril";"Mai";"Juin";"Juillet";"Août";"Septembre";"Octobre";"Novembre";"Décembre"},
0),
1)</f>
        <v>45597</v>
      </c>
      <c r="F186" s="6">
        <f t="shared" si="16"/>
        <v>250759000000</v>
      </c>
      <c r="G186" s="7">
        <f t="shared" si="17"/>
        <v>400776000000</v>
      </c>
    </row>
    <row r="187" spans="1:7" hidden="1" x14ac:dyDescent="0.4">
      <c r="A187" t="s">
        <v>376</v>
      </c>
      <c r="B187" t="s">
        <v>377</v>
      </c>
      <c r="C187" s="4">
        <v>443413</v>
      </c>
      <c r="D187">
        <v>289467</v>
      </c>
      <c r="E187" s="1">
        <f>DATE(
RIGHT(B187,4),
MATCH(
MID(B187,FIND("- ",B187)+2,FIND(" ",B187,FIND("- ",B187)+2)-FIND("- ",B187)-2),
{"Janvier";"Février";"Mars";"Avril";"Mai";"Juin";"Juillet";"Août";"Septembre";"Octobre";"Novembre";"Décembre"},
0),
1)</f>
        <v>45627</v>
      </c>
      <c r="F187" t="e">
        <f t="shared" si="9"/>
        <v>#N/A</v>
      </c>
    </row>
    <row r="188" spans="1:7" x14ac:dyDescent="0.4">
      <c r="A188" t="s">
        <v>372</v>
      </c>
      <c r="B188" t="s">
        <v>788</v>
      </c>
      <c r="C188" s="4">
        <v>443413</v>
      </c>
      <c r="D188">
        <v>289467</v>
      </c>
      <c r="E188" s="1">
        <f>DATE(
RIGHT(B188,4),
MATCH(
MID(B188,FIND("- ",B188)+2,FIND(" ",B188,FIND("- ",B188)+2)-FIND("- ",B188)-2),
{"Janvier";"Février";"Mars";"Avril";"Mai";"Juin";"Juillet";"Août";"Septembre";"Octobre";"Novembre";"Décembre"},
0),
1)</f>
        <v>45627</v>
      </c>
      <c r="F188" s="6">
        <f t="shared" ref="F188:F198" si="18">IF(E189=E188,#N/A,D188*1000000)</f>
        <v>289467000000</v>
      </c>
      <c r="G188" s="7">
        <f t="shared" ref="G188:G198" si="19">IF(E189=E188,#N/A,C188*1000000)</f>
        <v>443413000000</v>
      </c>
    </row>
    <row r="189" spans="1:7" x14ac:dyDescent="0.4">
      <c r="A189" t="s">
        <v>161</v>
      </c>
      <c r="B189" t="s">
        <v>162</v>
      </c>
      <c r="C189" s="4">
        <v>32283</v>
      </c>
      <c r="D189">
        <v>18762</v>
      </c>
      <c r="E189" s="1">
        <f>DATE(
RIGHT(B189,4),
MATCH(
MID(B189,FIND("- ",B189)+2,FIND(" ",B189,FIND("- ",B189)+2)-FIND("- ",B189)-2),
{"Janvier";"Février";"Mars";"Avril";"Mai";"Juin";"Juillet";"Août";"Septembre";"Octobre";"Novembre";"Décembre"},
0),
1)</f>
        <v>45658</v>
      </c>
      <c r="F189" s="6">
        <f t="shared" si="18"/>
        <v>18762000000</v>
      </c>
      <c r="G189" s="7">
        <f t="shared" si="19"/>
        <v>32283000000</v>
      </c>
    </row>
    <row r="190" spans="1:7" x14ac:dyDescent="0.4">
      <c r="A190" t="s">
        <v>500</v>
      </c>
      <c r="B190" t="s">
        <v>501</v>
      </c>
      <c r="C190" s="4">
        <v>67286</v>
      </c>
      <c r="D190">
        <v>34691</v>
      </c>
      <c r="E190" s="1">
        <f>DATE(
RIGHT(B190,4),
MATCH(
MID(B190,FIND("- ",B190)+2,FIND(" ",B190,FIND("- ",B190)+2)-FIND("- ",B190)-2),
{"Janvier";"Février";"Mars";"Avril";"Mai";"Juin";"Juillet";"Août";"Septembre";"Octobre";"Novembre";"Décembre"},
0),
1)</f>
        <v>45689</v>
      </c>
      <c r="F190" s="6">
        <f t="shared" si="18"/>
        <v>34691000000</v>
      </c>
      <c r="G190" s="7">
        <f t="shared" si="19"/>
        <v>67286000000</v>
      </c>
    </row>
    <row r="191" spans="1:7" x14ac:dyDescent="0.4">
      <c r="A191" t="s">
        <v>372</v>
      </c>
      <c r="B191" t="s">
        <v>373</v>
      </c>
      <c r="C191" s="4">
        <v>97999</v>
      </c>
      <c r="D191">
        <v>62738</v>
      </c>
      <c r="E191" s="1">
        <f>DATE(
RIGHT(B191,4),
MATCH(
MID(B191,FIND("- ",B191)+2,FIND(" ",B191,FIND("- ",B191)+2)-FIND("- ",B191)-2),
{"Janvier";"Février";"Mars";"Avril";"Mai";"Juin";"Juillet";"Août";"Septembre";"Octobre";"Novembre";"Décembre"},
0),
1)</f>
        <v>45717</v>
      </c>
      <c r="F191" s="6">
        <f t="shared" si="18"/>
        <v>62738000000</v>
      </c>
      <c r="G191" s="7">
        <f t="shared" si="19"/>
        <v>97999000000</v>
      </c>
    </row>
    <row r="192" spans="1:7" x14ac:dyDescent="0.4">
      <c r="A192" t="s">
        <v>17</v>
      </c>
      <c r="B192" t="s">
        <v>18</v>
      </c>
      <c r="C192" s="4">
        <v>138688</v>
      </c>
      <c r="D192">
        <v>85831</v>
      </c>
      <c r="E192" s="1">
        <f>DATE(
RIGHT(B192,4),
MATCH(
MID(B192,FIND("- ",B192)+2,FIND(" ",B192,FIND("- ",B192)+2)-FIND("- ",B192)-2),
{"Janvier";"Février";"Mars";"Avril";"Mai";"Juin";"Juillet";"Août";"Septembre";"Octobre";"Novembre";"Décembre"},
0),
1)</f>
        <v>45748</v>
      </c>
      <c r="F192" s="6">
        <f t="shared" si="18"/>
        <v>85831000000</v>
      </c>
      <c r="G192" s="7">
        <f t="shared" si="19"/>
        <v>138688000000</v>
      </c>
    </row>
    <row r="193" spans="1:7" x14ac:dyDescent="0.4">
      <c r="A193" t="s">
        <v>13</v>
      </c>
      <c r="B193" t="s">
        <v>14</v>
      </c>
      <c r="C193" s="4">
        <v>189554</v>
      </c>
      <c r="D193">
        <v>116081</v>
      </c>
      <c r="E193" s="1">
        <f>DATE(
RIGHT(B193,4),
MATCH(
MID(B193,FIND("- ",B193)+2,FIND(" ",B193,FIND("- ",B193)+2)-FIND("- ",B193)-2),
{"Janvier";"Février";"Mars";"Avril";"Mai";"Juin";"Juillet";"Août";"Septembre";"Octobre";"Novembre";"Décembre"},
0),
1)</f>
        <v>45778</v>
      </c>
      <c r="F193" s="6">
        <f t="shared" si="18"/>
        <v>116081000000</v>
      </c>
      <c r="G193" s="7">
        <f t="shared" si="19"/>
        <v>189554000000</v>
      </c>
    </row>
    <row r="194" spans="1:7" x14ac:dyDescent="0.4">
      <c r="A194" t="s">
        <v>496</v>
      </c>
      <c r="B194" t="s">
        <v>497</v>
      </c>
      <c r="C194" s="4">
        <v>228121</v>
      </c>
      <c r="D194">
        <v>148550</v>
      </c>
      <c r="E194" s="1">
        <f>DATE(
RIGHT(B194,4),
MATCH(
MID(B194,FIND("- ",B194)+2,FIND(" ",B194,FIND("- ",B194)+2)-FIND("- ",B194)-2),
{"Janvier";"Février";"Mars";"Avril";"Mai";"Juin";"Juillet";"Août";"Septembre";"Octobre";"Novembre";"Décembre"},
0),
1)</f>
        <v>45809</v>
      </c>
      <c r="F194" s="6">
        <f t="shared" si="18"/>
        <v>148550000000</v>
      </c>
      <c r="G194" s="7">
        <f t="shared" si="19"/>
        <v>228121000000</v>
      </c>
    </row>
    <row r="195" spans="1:7" x14ac:dyDescent="0.4">
      <c r="A195" t="s">
        <v>185</v>
      </c>
      <c r="B195" t="s">
        <v>186</v>
      </c>
      <c r="C195" s="4">
        <v>271833</v>
      </c>
      <c r="D195">
        <v>156939</v>
      </c>
      <c r="E195" s="1">
        <f>DATE(
RIGHT(B195,4),
MATCH(
MID(B195,FIND("- ",B195)+2,FIND(" ",B195,FIND("- ",B195)+2)-FIND("- ",B195)-2),
{"Janvier";"Février";"Mars";"Avril";"Mai";"Juin";"Juillet";"Août";"Septembre";"Octobre";"Novembre";"Décembre"},
0),
1)</f>
        <v>45839</v>
      </c>
      <c r="F195" s="6">
        <f t="shared" si="18"/>
        <v>156939000000</v>
      </c>
      <c r="G195" s="7">
        <f t="shared" si="19"/>
        <v>271833000000</v>
      </c>
    </row>
    <row r="196" spans="1:7" x14ac:dyDescent="0.4">
      <c r="A196" t="s">
        <v>688</v>
      </c>
      <c r="B196" t="s">
        <v>689</v>
      </c>
      <c r="C196" s="4">
        <v>300384</v>
      </c>
      <c r="D196">
        <v>174450</v>
      </c>
      <c r="E196" s="1">
        <f>DATE(
RIGHT(B196,4),
MATCH(
MID(B196,FIND("- ",B196)+2,FIND(" ",B196,FIND("- ",B196)+2)-FIND("- ",B196)-2),
{"Janvier";"Février";"Mars";"Avril";"Mai";"Juin";"Juillet";"Août";"Septembre";"Octobre";"Novembre";"Décembre"},
0),
1)</f>
        <v>45870</v>
      </c>
      <c r="F196" s="6">
        <f t="shared" si="18"/>
        <v>174450000000</v>
      </c>
      <c r="G196" s="7">
        <f t="shared" si="19"/>
        <v>300384000000</v>
      </c>
    </row>
    <row r="197" spans="1:7" x14ac:dyDescent="0.4">
      <c r="A197" t="s">
        <v>544</v>
      </c>
      <c r="B197" t="s">
        <v>545</v>
      </c>
      <c r="C197" s="4">
        <v>332704</v>
      </c>
      <c r="D197">
        <v>211642</v>
      </c>
      <c r="E197" s="1">
        <f>DATE(
RIGHT(B197,4),
MATCH(
MID(B197,FIND("- ",B197)+2,FIND(" ",B197,FIND("- ",B197)+2)-FIND("- ",B197)-2),
{"Janvier";"Février";"Mars";"Avril";"Mai";"Juin";"Juillet";"Août";"Septembre";"Octobre";"Novembre";"Décembre"},
0),
1)</f>
        <v>45901</v>
      </c>
      <c r="F197" s="6">
        <f t="shared" si="18"/>
        <v>211642000000</v>
      </c>
      <c r="G197" s="7">
        <f t="shared" si="19"/>
        <v>332704000000</v>
      </c>
    </row>
    <row r="198" spans="1:7" x14ac:dyDescent="0.4">
      <c r="A198" t="s">
        <v>9</v>
      </c>
      <c r="B198" t="s">
        <v>10</v>
      </c>
      <c r="C198" s="4">
        <v>368539</v>
      </c>
      <c r="D198">
        <v>241105</v>
      </c>
      <c r="E198" s="1">
        <f>DATE(
RIGHT(B198,4),
MATCH(
MID(B198,FIND("- ",B198)+2,FIND(" ",B198,FIND("- ",B198)+2)-FIND("- ",B198)-2),
{"Janvier";"Février";"Mars";"Avril";"Mai";"Juin";"Juillet";"Août";"Septembre";"Octobre";"Novembre";"Décembre"},
0),
1)</f>
        <v>45931</v>
      </c>
      <c r="F198" s="6">
        <f t="shared" si="18"/>
        <v>241105000000</v>
      </c>
      <c r="G198" s="7">
        <f t="shared" si="19"/>
        <v>368539000000</v>
      </c>
    </row>
  </sheetData>
  <autoFilter ref="A1:G198" xr:uid="{B7F613CB-122C-554B-848C-B93AF1C95EB2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workbookViewId="0">
      <selection activeCell="D38" sqref="D38:E39"/>
    </sheetView>
  </sheetViews>
  <sheetFormatPr baseColWidth="10" defaultRowHeight="16" x14ac:dyDescent="0.4"/>
  <cols>
    <col min="2" max="2" width="15.33203125" bestFit="1" customWidth="1"/>
    <col min="4" max="4" width="14.83203125" bestFit="1" customWidth="1"/>
    <col min="5" max="5" width="48.5" bestFit="1" customWidth="1"/>
    <col min="6" max="6" width="95.1640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403</v>
      </c>
      <c r="B2" t="s">
        <v>7</v>
      </c>
      <c r="C2" t="s">
        <v>8</v>
      </c>
      <c r="D2" t="s">
        <v>404</v>
      </c>
      <c r="E2" t="s">
        <v>405</v>
      </c>
      <c r="F2" t="s">
        <v>406</v>
      </c>
    </row>
    <row r="3" spans="1:6" x14ac:dyDescent="0.4">
      <c r="A3" t="s">
        <v>60</v>
      </c>
      <c r="B3" t="s">
        <v>7</v>
      </c>
      <c r="C3" t="s">
        <v>8</v>
      </c>
      <c r="D3" t="s">
        <v>61</v>
      </c>
      <c r="E3" t="s">
        <v>62</v>
      </c>
      <c r="F3" t="s">
        <v>63</v>
      </c>
    </row>
    <row r="4" spans="1:6" x14ac:dyDescent="0.4">
      <c r="A4" t="s">
        <v>583</v>
      </c>
      <c r="B4" t="s">
        <v>7</v>
      </c>
      <c r="C4" t="s">
        <v>8</v>
      </c>
      <c r="D4" t="s">
        <v>584</v>
      </c>
      <c r="E4" t="s">
        <v>585</v>
      </c>
      <c r="F4" t="s">
        <v>586</v>
      </c>
    </row>
    <row r="5" spans="1:6" x14ac:dyDescent="0.4">
      <c r="A5" t="s">
        <v>647</v>
      </c>
      <c r="B5" t="s">
        <v>7</v>
      </c>
      <c r="C5" t="s">
        <v>8</v>
      </c>
      <c r="D5" t="s">
        <v>648</v>
      </c>
      <c r="E5" t="s">
        <v>649</v>
      </c>
      <c r="F5" t="s">
        <v>650</v>
      </c>
    </row>
    <row r="6" spans="1:6" x14ac:dyDescent="0.4">
      <c r="A6" t="s">
        <v>255</v>
      </c>
      <c r="B6" t="s">
        <v>7</v>
      </c>
      <c r="C6" t="s">
        <v>8</v>
      </c>
      <c r="D6" t="s">
        <v>256</v>
      </c>
      <c r="E6" t="s">
        <v>257</v>
      </c>
      <c r="F6" t="s">
        <v>258</v>
      </c>
    </row>
    <row r="7" spans="1:6" x14ac:dyDescent="0.4">
      <c r="A7" t="s">
        <v>251</v>
      </c>
      <c r="B7" t="s">
        <v>7</v>
      </c>
      <c r="C7" t="s">
        <v>8</v>
      </c>
      <c r="D7" t="s">
        <v>252</v>
      </c>
      <c r="E7" t="s">
        <v>253</v>
      </c>
      <c r="F7" t="s">
        <v>254</v>
      </c>
    </row>
    <row r="8" spans="1:6" x14ac:dyDescent="0.4">
      <c r="A8" t="s">
        <v>643</v>
      </c>
      <c r="B8" t="s">
        <v>7</v>
      </c>
      <c r="C8" t="s">
        <v>8</v>
      </c>
      <c r="D8" t="s">
        <v>644</v>
      </c>
      <c r="E8" t="s">
        <v>645</v>
      </c>
      <c r="F8" t="s">
        <v>646</v>
      </c>
    </row>
    <row r="9" spans="1:6" x14ac:dyDescent="0.4">
      <c r="A9" t="s">
        <v>575</v>
      </c>
      <c r="B9" t="s">
        <v>7</v>
      </c>
      <c r="C9" t="s">
        <v>8</v>
      </c>
      <c r="D9" t="s">
        <v>576</v>
      </c>
      <c r="E9" t="s">
        <v>577</v>
      </c>
      <c r="F9" t="s">
        <v>578</v>
      </c>
    </row>
    <row r="10" spans="1:6" x14ac:dyDescent="0.4">
      <c r="A10" t="s">
        <v>491</v>
      </c>
      <c r="B10" t="s">
        <v>7</v>
      </c>
      <c r="C10" t="s">
        <v>8</v>
      </c>
      <c r="D10" t="s">
        <v>492</v>
      </c>
      <c r="E10" t="s">
        <v>493</v>
      </c>
      <c r="F10" t="s">
        <v>494</v>
      </c>
    </row>
    <row r="11" spans="1:6" x14ac:dyDescent="0.4">
      <c r="A11" t="s">
        <v>367</v>
      </c>
      <c r="B11" t="s">
        <v>7</v>
      </c>
      <c r="C11" t="s">
        <v>8</v>
      </c>
      <c r="D11" t="s">
        <v>368</v>
      </c>
      <c r="E11" t="s">
        <v>369</v>
      </c>
      <c r="F11" t="s">
        <v>370</v>
      </c>
    </row>
    <row r="12" spans="1:6" x14ac:dyDescent="0.4">
      <c r="A12" t="s">
        <v>32</v>
      </c>
      <c r="B12" t="s">
        <v>7</v>
      </c>
      <c r="C12" t="s">
        <v>8</v>
      </c>
      <c r="D12" t="s">
        <v>33</v>
      </c>
      <c r="E12" t="s">
        <v>34</v>
      </c>
      <c r="F12" t="s">
        <v>35</v>
      </c>
    </row>
    <row r="13" spans="1:6" x14ac:dyDescent="0.4">
      <c r="A13" t="s">
        <v>132</v>
      </c>
      <c r="B13" t="s">
        <v>7</v>
      </c>
      <c r="C13" t="s">
        <v>8</v>
      </c>
      <c r="D13" t="s">
        <v>133</v>
      </c>
      <c r="E13" t="s">
        <v>134</v>
      </c>
      <c r="F13" t="s">
        <v>135</v>
      </c>
    </row>
    <row r="14" spans="1:6" x14ac:dyDescent="0.4">
      <c r="A14" t="s">
        <v>399</v>
      </c>
      <c r="B14" t="s">
        <v>7</v>
      </c>
      <c r="C14" t="s">
        <v>8</v>
      </c>
      <c r="D14" t="s">
        <v>400</v>
      </c>
      <c r="E14" t="s">
        <v>401</v>
      </c>
      <c r="F14" t="s">
        <v>402</v>
      </c>
    </row>
    <row r="15" spans="1:6" x14ac:dyDescent="0.4">
      <c r="A15" t="s">
        <v>615</v>
      </c>
      <c r="B15" t="s">
        <v>7</v>
      </c>
      <c r="C15" t="s">
        <v>8</v>
      </c>
      <c r="D15" t="s">
        <v>616</v>
      </c>
      <c r="E15" t="s">
        <v>617</v>
      </c>
      <c r="F15" t="s">
        <v>618</v>
      </c>
    </row>
    <row r="16" spans="1:6" x14ac:dyDescent="0.4">
      <c r="A16" t="s">
        <v>519</v>
      </c>
      <c r="B16" t="s">
        <v>7</v>
      </c>
      <c r="C16" t="s">
        <v>8</v>
      </c>
      <c r="D16" t="s">
        <v>520</v>
      </c>
      <c r="E16" t="s">
        <v>521</v>
      </c>
      <c r="F16" t="s">
        <v>522</v>
      </c>
    </row>
    <row r="17" spans="1:6" x14ac:dyDescent="0.4">
      <c r="A17" t="s">
        <v>299</v>
      </c>
      <c r="B17" t="s">
        <v>7</v>
      </c>
      <c r="C17" t="s">
        <v>8</v>
      </c>
      <c r="D17" t="s">
        <v>300</v>
      </c>
      <c r="E17" t="s">
        <v>301</v>
      </c>
      <c r="F17" t="s">
        <v>302</v>
      </c>
    </row>
    <row r="18" spans="1:6" x14ac:dyDescent="0.4">
      <c r="A18" t="s">
        <v>128</v>
      </c>
      <c r="B18" t="s">
        <v>7</v>
      </c>
      <c r="C18" t="s">
        <v>8</v>
      </c>
      <c r="D18" t="s">
        <v>129</v>
      </c>
      <c r="E18" t="s">
        <v>130</v>
      </c>
      <c r="F18" t="s">
        <v>131</v>
      </c>
    </row>
    <row r="19" spans="1:6" x14ac:dyDescent="0.4">
      <c r="A19" t="s">
        <v>124</v>
      </c>
      <c r="B19" t="s">
        <v>7</v>
      </c>
      <c r="C19" t="s">
        <v>8</v>
      </c>
      <c r="D19" t="s">
        <v>125</v>
      </c>
      <c r="E19" t="s">
        <v>126</v>
      </c>
      <c r="F19" t="s">
        <v>127</v>
      </c>
    </row>
    <row r="20" spans="1:6" x14ac:dyDescent="0.4">
      <c r="A20" t="s">
        <v>120</v>
      </c>
      <c r="B20" t="s">
        <v>7</v>
      </c>
      <c r="C20" t="s">
        <v>8</v>
      </c>
      <c r="D20" t="s">
        <v>121</v>
      </c>
      <c r="E20" t="s">
        <v>122</v>
      </c>
      <c r="F20" t="s">
        <v>123</v>
      </c>
    </row>
    <row r="21" spans="1:6" x14ac:dyDescent="0.4">
      <c r="A21" t="s">
        <v>639</v>
      </c>
      <c r="B21" t="s">
        <v>7</v>
      </c>
      <c r="C21" t="s">
        <v>8</v>
      </c>
      <c r="D21" t="s">
        <v>640</v>
      </c>
      <c r="E21" t="s">
        <v>641</v>
      </c>
      <c r="F21" t="s">
        <v>642</v>
      </c>
    </row>
    <row r="22" spans="1:6" x14ac:dyDescent="0.4">
      <c r="A22" t="s">
        <v>515</v>
      </c>
      <c r="B22" t="s">
        <v>7</v>
      </c>
      <c r="C22" t="s">
        <v>8</v>
      </c>
      <c r="D22" t="s">
        <v>516</v>
      </c>
      <c r="E22" t="s">
        <v>517</v>
      </c>
      <c r="F22" t="s">
        <v>518</v>
      </c>
    </row>
    <row r="23" spans="1:6" x14ac:dyDescent="0.4">
      <c r="A23" t="s">
        <v>92</v>
      </c>
      <c r="B23" t="s">
        <v>7</v>
      </c>
      <c r="C23" t="s">
        <v>8</v>
      </c>
      <c r="D23" t="s">
        <v>93</v>
      </c>
      <c r="E23" t="s">
        <v>94</v>
      </c>
      <c r="F23" t="s">
        <v>95</v>
      </c>
    </row>
    <row r="24" spans="1:6" x14ac:dyDescent="0.4">
      <c r="A24" t="s">
        <v>759</v>
      </c>
      <c r="B24" t="s">
        <v>7</v>
      </c>
      <c r="C24" t="s">
        <v>8</v>
      </c>
      <c r="D24" t="s">
        <v>760</v>
      </c>
      <c r="E24" t="s">
        <v>761</v>
      </c>
      <c r="F24" t="s">
        <v>762</v>
      </c>
    </row>
    <row r="25" spans="1:6" x14ac:dyDescent="0.4">
      <c r="A25" t="s">
        <v>539</v>
      </c>
      <c r="B25" t="s">
        <v>7</v>
      </c>
      <c r="C25" t="s">
        <v>8</v>
      </c>
      <c r="D25" t="s">
        <v>540</v>
      </c>
      <c r="E25" t="s">
        <v>541</v>
      </c>
      <c r="F25" t="s">
        <v>542</v>
      </c>
    </row>
    <row r="26" spans="1:6" x14ac:dyDescent="0.4">
      <c r="A26" t="s">
        <v>467</v>
      </c>
      <c r="B26" t="s">
        <v>7</v>
      </c>
      <c r="C26" t="s">
        <v>8</v>
      </c>
      <c r="D26" t="s">
        <v>468</v>
      </c>
      <c r="E26" t="s">
        <v>469</v>
      </c>
      <c r="F26" t="s">
        <v>470</v>
      </c>
    </row>
    <row r="27" spans="1:6" x14ac:dyDescent="0.4">
      <c r="A27" t="s">
        <v>395</v>
      </c>
      <c r="B27" t="s">
        <v>7</v>
      </c>
      <c r="C27" t="s">
        <v>8</v>
      </c>
      <c r="D27" t="s">
        <v>396</v>
      </c>
      <c r="E27" t="s">
        <v>397</v>
      </c>
      <c r="F27" t="s">
        <v>398</v>
      </c>
    </row>
    <row r="28" spans="1:6" x14ac:dyDescent="0.4">
      <c r="A28" t="s">
        <v>683</v>
      </c>
      <c r="B28" t="s">
        <v>7</v>
      </c>
      <c r="C28" t="s">
        <v>8</v>
      </c>
      <c r="D28" t="s">
        <v>684</v>
      </c>
      <c r="E28" t="s">
        <v>685</v>
      </c>
      <c r="F28" t="s">
        <v>686</v>
      </c>
    </row>
    <row r="29" spans="1:6" x14ac:dyDescent="0.4">
      <c r="A29" t="s">
        <v>156</v>
      </c>
      <c r="B29" t="s">
        <v>7</v>
      </c>
      <c r="C29" t="s">
        <v>8</v>
      </c>
      <c r="D29" t="s">
        <v>157</v>
      </c>
      <c r="E29" t="s">
        <v>158</v>
      </c>
      <c r="F29" t="s">
        <v>159</v>
      </c>
    </row>
    <row r="30" spans="1:6" x14ac:dyDescent="0.4">
      <c r="A30" t="s">
        <v>152</v>
      </c>
      <c r="B30" t="s">
        <v>7</v>
      </c>
      <c r="C30" t="s">
        <v>8</v>
      </c>
      <c r="D30" t="s">
        <v>153</v>
      </c>
      <c r="E30" t="s">
        <v>154</v>
      </c>
      <c r="F30" t="s">
        <v>155</v>
      </c>
    </row>
    <row r="31" spans="1:6" x14ac:dyDescent="0.4">
      <c r="A31" t="s">
        <v>679</v>
      </c>
      <c r="B31" t="s">
        <v>7</v>
      </c>
      <c r="C31" t="s">
        <v>8</v>
      </c>
      <c r="D31" t="s">
        <v>680</v>
      </c>
      <c r="E31" t="s">
        <v>681</v>
      </c>
      <c r="F31" t="s">
        <v>682</v>
      </c>
    </row>
    <row r="32" spans="1:6" x14ac:dyDescent="0.4">
      <c r="A32" t="s">
        <v>116</v>
      </c>
      <c r="B32" t="s">
        <v>7</v>
      </c>
      <c r="C32" t="s">
        <v>8</v>
      </c>
      <c r="D32" t="s">
        <v>117</v>
      </c>
      <c r="E32" t="s">
        <v>118</v>
      </c>
      <c r="F32" t="s">
        <v>119</v>
      </c>
    </row>
    <row r="33" spans="1:6" x14ac:dyDescent="0.4">
      <c r="A33" t="s">
        <v>611</v>
      </c>
      <c r="B33" t="s">
        <v>7</v>
      </c>
      <c r="C33" t="s">
        <v>8</v>
      </c>
      <c r="D33" t="s">
        <v>612</v>
      </c>
      <c r="E33" t="s">
        <v>613</v>
      </c>
      <c r="F33" t="s">
        <v>614</v>
      </c>
    </row>
    <row r="34" spans="1:6" x14ac:dyDescent="0.4">
      <c r="A34" t="s">
        <v>755</v>
      </c>
      <c r="B34" t="s">
        <v>7</v>
      </c>
      <c r="C34" t="s">
        <v>8</v>
      </c>
      <c r="D34" t="s">
        <v>756</v>
      </c>
      <c r="E34" t="s">
        <v>757</v>
      </c>
      <c r="F34" t="s">
        <v>758</v>
      </c>
    </row>
    <row r="35" spans="1:6" x14ac:dyDescent="0.4">
      <c r="A35" t="s">
        <v>711</v>
      </c>
      <c r="B35" t="s">
        <v>7</v>
      </c>
      <c r="C35" t="s">
        <v>8</v>
      </c>
      <c r="D35" t="s">
        <v>712</v>
      </c>
      <c r="E35" t="s">
        <v>713</v>
      </c>
      <c r="F35" t="s">
        <v>714</v>
      </c>
    </row>
    <row r="36" spans="1:6" x14ac:dyDescent="0.4">
      <c r="A36" t="s">
        <v>247</v>
      </c>
      <c r="B36" t="s">
        <v>7</v>
      </c>
      <c r="C36" t="s">
        <v>8</v>
      </c>
      <c r="D36" t="s">
        <v>248</v>
      </c>
      <c r="E36" t="s">
        <v>249</v>
      </c>
      <c r="F36" t="s">
        <v>250</v>
      </c>
    </row>
    <row r="37" spans="1:6" x14ac:dyDescent="0.4">
      <c r="A37" t="s">
        <v>339</v>
      </c>
      <c r="B37" t="s">
        <v>7</v>
      </c>
      <c r="C37" t="s">
        <v>8</v>
      </c>
      <c r="D37" t="s">
        <v>340</v>
      </c>
      <c r="E37" t="s">
        <v>341</v>
      </c>
      <c r="F37" t="s">
        <v>342</v>
      </c>
    </row>
    <row r="38" spans="1:6" x14ac:dyDescent="0.4">
      <c r="A38" t="s">
        <v>88</v>
      </c>
      <c r="B38" t="s">
        <v>7</v>
      </c>
      <c r="C38" t="s">
        <v>8</v>
      </c>
      <c r="D38" t="s">
        <v>89</v>
      </c>
      <c r="E38" t="s">
        <v>90</v>
      </c>
      <c r="F38" t="s">
        <v>91</v>
      </c>
    </row>
    <row r="39" spans="1:6" x14ac:dyDescent="0.4">
      <c r="A39" t="s">
        <v>439</v>
      </c>
      <c r="B39" t="s">
        <v>7</v>
      </c>
      <c r="C39" t="s">
        <v>8</v>
      </c>
      <c r="D39" t="s">
        <v>440</v>
      </c>
      <c r="E39" t="s">
        <v>441</v>
      </c>
      <c r="F39" t="s">
        <v>442</v>
      </c>
    </row>
    <row r="40" spans="1:6" x14ac:dyDescent="0.4">
      <c r="A40" t="s">
        <v>571</v>
      </c>
      <c r="B40" t="s">
        <v>7</v>
      </c>
      <c r="C40" t="s">
        <v>8</v>
      </c>
      <c r="D40" t="s">
        <v>572</v>
      </c>
      <c r="E40" t="s">
        <v>573</v>
      </c>
      <c r="F40" t="s">
        <v>574</v>
      </c>
    </row>
    <row r="41" spans="1:6" x14ac:dyDescent="0.4">
      <c r="A41" t="s">
        <v>148</v>
      </c>
      <c r="B41" t="s">
        <v>7</v>
      </c>
      <c r="C41" t="s">
        <v>8</v>
      </c>
      <c r="D41" t="s">
        <v>149</v>
      </c>
      <c r="E41" t="s">
        <v>150</v>
      </c>
      <c r="F41" t="s">
        <v>151</v>
      </c>
    </row>
    <row r="42" spans="1:6" x14ac:dyDescent="0.4">
      <c r="A42" t="s">
        <v>707</v>
      </c>
      <c r="B42" t="s">
        <v>7</v>
      </c>
      <c r="C42" t="s">
        <v>8</v>
      </c>
      <c r="D42" t="s">
        <v>708</v>
      </c>
      <c r="E42" t="s">
        <v>709</v>
      </c>
      <c r="F42" t="s">
        <v>710</v>
      </c>
    </row>
    <row r="43" spans="1:6" x14ac:dyDescent="0.4">
      <c r="A43" t="s">
        <v>751</v>
      </c>
      <c r="B43" t="s">
        <v>7</v>
      </c>
      <c r="C43" t="s">
        <v>8</v>
      </c>
      <c r="D43" t="s">
        <v>752</v>
      </c>
      <c r="E43" t="s">
        <v>753</v>
      </c>
      <c r="F43" t="s">
        <v>754</v>
      </c>
    </row>
    <row r="44" spans="1:6" x14ac:dyDescent="0.4">
      <c r="A44" t="s">
        <v>391</v>
      </c>
      <c r="B44" t="s">
        <v>7</v>
      </c>
      <c r="C44" t="s">
        <v>8</v>
      </c>
      <c r="D44" t="s">
        <v>392</v>
      </c>
      <c r="E44" t="s">
        <v>393</v>
      </c>
      <c r="F44" t="s">
        <v>394</v>
      </c>
    </row>
    <row r="45" spans="1:6" x14ac:dyDescent="0.4">
      <c r="A45" t="s">
        <v>84</v>
      </c>
      <c r="B45" t="s">
        <v>7</v>
      </c>
      <c r="C45" t="s">
        <v>8</v>
      </c>
      <c r="D45" t="s">
        <v>85</v>
      </c>
      <c r="E45" t="s">
        <v>86</v>
      </c>
      <c r="F45" t="s">
        <v>87</v>
      </c>
    </row>
    <row r="46" spans="1:6" x14ac:dyDescent="0.4">
      <c r="A46" t="s">
        <v>487</v>
      </c>
      <c r="B46" t="s">
        <v>7</v>
      </c>
      <c r="C46" t="s">
        <v>8</v>
      </c>
      <c r="D46" t="s">
        <v>488</v>
      </c>
      <c r="E46" t="s">
        <v>489</v>
      </c>
      <c r="F46" t="s">
        <v>490</v>
      </c>
    </row>
    <row r="47" spans="1:6" x14ac:dyDescent="0.4">
      <c r="A47" t="s">
        <v>483</v>
      </c>
      <c r="B47" t="s">
        <v>7</v>
      </c>
      <c r="C47" t="s">
        <v>8</v>
      </c>
      <c r="D47" t="s">
        <v>484</v>
      </c>
      <c r="E47" t="s">
        <v>485</v>
      </c>
      <c r="F47" t="s">
        <v>486</v>
      </c>
    </row>
    <row r="48" spans="1:6" x14ac:dyDescent="0.4">
      <c r="A48" t="s">
        <v>56</v>
      </c>
      <c r="B48" t="s">
        <v>7</v>
      </c>
      <c r="C48" t="s">
        <v>8</v>
      </c>
      <c r="D48" t="s">
        <v>57</v>
      </c>
      <c r="E48" t="s">
        <v>58</v>
      </c>
      <c r="F48" t="s">
        <v>59</v>
      </c>
    </row>
    <row r="49" spans="1:6" x14ac:dyDescent="0.4">
      <c r="A49" t="s">
        <v>180</v>
      </c>
      <c r="B49" t="s">
        <v>7</v>
      </c>
      <c r="C49" t="s">
        <v>8</v>
      </c>
      <c r="D49" t="s">
        <v>181</v>
      </c>
      <c r="E49" t="s">
        <v>182</v>
      </c>
      <c r="F49" t="s">
        <v>183</v>
      </c>
    </row>
    <row r="50" spans="1:6" x14ac:dyDescent="0.4">
      <c r="A50" t="s">
        <v>295</v>
      </c>
      <c r="B50" t="s">
        <v>7</v>
      </c>
      <c r="C50" t="s">
        <v>8</v>
      </c>
      <c r="D50" t="s">
        <v>296</v>
      </c>
      <c r="E50" t="s">
        <v>297</v>
      </c>
      <c r="F50" t="s">
        <v>298</v>
      </c>
    </row>
    <row r="51" spans="1:6" x14ac:dyDescent="0.4">
      <c r="A51" t="s">
        <v>387</v>
      </c>
      <c r="B51" t="s">
        <v>7</v>
      </c>
      <c r="C51" t="s">
        <v>8</v>
      </c>
      <c r="D51" t="s">
        <v>388</v>
      </c>
      <c r="E51" t="s">
        <v>389</v>
      </c>
      <c r="F51" t="s">
        <v>390</v>
      </c>
    </row>
    <row r="52" spans="1:6" x14ac:dyDescent="0.4">
      <c r="A52" t="s">
        <v>28</v>
      </c>
      <c r="B52" t="s">
        <v>7</v>
      </c>
      <c r="C52" t="s">
        <v>8</v>
      </c>
      <c r="D52" t="s">
        <v>29</v>
      </c>
      <c r="E52" t="s">
        <v>30</v>
      </c>
      <c r="F52" t="s">
        <v>31</v>
      </c>
    </row>
    <row r="53" spans="1:6" x14ac:dyDescent="0.4">
      <c r="A53" t="s">
        <v>511</v>
      </c>
      <c r="B53" t="s">
        <v>7</v>
      </c>
      <c r="C53" t="s">
        <v>8</v>
      </c>
      <c r="D53" t="s">
        <v>512</v>
      </c>
      <c r="E53" t="s">
        <v>513</v>
      </c>
      <c r="F53" t="s">
        <v>514</v>
      </c>
    </row>
    <row r="54" spans="1:6" x14ac:dyDescent="0.4">
      <c r="A54" t="s">
        <v>176</v>
      </c>
      <c r="B54" t="s">
        <v>7</v>
      </c>
      <c r="C54" t="s">
        <v>8</v>
      </c>
      <c r="D54" t="s">
        <v>177</v>
      </c>
      <c r="E54" t="s">
        <v>178</v>
      </c>
      <c r="F54" t="s">
        <v>179</v>
      </c>
    </row>
    <row r="55" spans="1:6" x14ac:dyDescent="0.4">
      <c r="A55" t="s">
        <v>463</v>
      </c>
      <c r="B55" t="s">
        <v>7</v>
      </c>
      <c r="C55" t="s">
        <v>8</v>
      </c>
      <c r="D55" t="s">
        <v>464</v>
      </c>
      <c r="E55" t="s">
        <v>465</v>
      </c>
      <c r="F55" t="s">
        <v>466</v>
      </c>
    </row>
    <row r="56" spans="1:6" x14ac:dyDescent="0.4">
      <c r="A56" t="s">
        <v>703</v>
      </c>
      <c r="B56" t="s">
        <v>7</v>
      </c>
      <c r="C56" t="s">
        <v>8</v>
      </c>
      <c r="D56" t="s">
        <v>704</v>
      </c>
      <c r="E56" t="s">
        <v>705</v>
      </c>
      <c r="F56" t="s">
        <v>706</v>
      </c>
    </row>
    <row r="57" spans="1:6" x14ac:dyDescent="0.4">
      <c r="A57" t="s">
        <v>535</v>
      </c>
      <c r="B57" t="s">
        <v>7</v>
      </c>
      <c r="C57" t="s">
        <v>8</v>
      </c>
      <c r="D57" t="s">
        <v>536</v>
      </c>
      <c r="E57" t="s">
        <v>537</v>
      </c>
      <c r="F57" t="s">
        <v>538</v>
      </c>
    </row>
    <row r="58" spans="1:6" x14ac:dyDescent="0.4">
      <c r="A58" t="s">
        <v>607</v>
      </c>
      <c r="B58" t="s">
        <v>7</v>
      </c>
      <c r="C58" t="s">
        <v>8</v>
      </c>
      <c r="D58" t="s">
        <v>608</v>
      </c>
      <c r="E58" t="s">
        <v>609</v>
      </c>
      <c r="F58" t="s">
        <v>610</v>
      </c>
    </row>
    <row r="59" spans="1:6" x14ac:dyDescent="0.4">
      <c r="A59" t="s">
        <v>507</v>
      </c>
      <c r="B59" t="s">
        <v>7</v>
      </c>
      <c r="C59" t="s">
        <v>8</v>
      </c>
      <c r="D59" t="s">
        <v>508</v>
      </c>
      <c r="E59" t="s">
        <v>509</v>
      </c>
      <c r="F59" t="s">
        <v>510</v>
      </c>
    </row>
    <row r="60" spans="1:6" x14ac:dyDescent="0.4">
      <c r="A60" t="s">
        <v>459</v>
      </c>
      <c r="B60" t="s">
        <v>7</v>
      </c>
      <c r="C60" t="s">
        <v>8</v>
      </c>
      <c r="D60" t="s">
        <v>460</v>
      </c>
      <c r="E60" t="s">
        <v>461</v>
      </c>
      <c r="F60" t="s">
        <v>462</v>
      </c>
    </row>
    <row r="61" spans="1:6" x14ac:dyDescent="0.4">
      <c r="A61" t="s">
        <v>503</v>
      </c>
      <c r="B61" t="s">
        <v>7</v>
      </c>
      <c r="C61" t="s">
        <v>8</v>
      </c>
      <c r="D61" t="s">
        <v>504</v>
      </c>
      <c r="E61" t="s">
        <v>505</v>
      </c>
      <c r="F61" t="s">
        <v>506</v>
      </c>
    </row>
    <row r="62" spans="1:6" x14ac:dyDescent="0.4">
      <c r="A62" t="s">
        <v>291</v>
      </c>
      <c r="B62" t="s">
        <v>7</v>
      </c>
      <c r="C62" t="s">
        <v>8</v>
      </c>
      <c r="D62" t="s">
        <v>292</v>
      </c>
      <c r="E62" t="s">
        <v>293</v>
      </c>
      <c r="F62" t="s">
        <v>294</v>
      </c>
    </row>
    <row r="63" spans="1:6" x14ac:dyDescent="0.4">
      <c r="A63" t="s">
        <v>810</v>
      </c>
      <c r="B63" t="s">
        <v>7</v>
      </c>
      <c r="C63" t="s">
        <v>8</v>
      </c>
      <c r="D63" t="s">
        <v>811</v>
      </c>
      <c r="E63" t="s">
        <v>812</v>
      </c>
      <c r="F63" t="s">
        <v>813</v>
      </c>
    </row>
    <row r="64" spans="1:6" x14ac:dyDescent="0.4">
      <c r="A64" t="s">
        <v>204</v>
      </c>
      <c r="B64" t="s">
        <v>7</v>
      </c>
      <c r="C64" t="s">
        <v>8</v>
      </c>
      <c r="D64" t="s">
        <v>205</v>
      </c>
      <c r="E64" t="s">
        <v>206</v>
      </c>
      <c r="F64" t="s">
        <v>207</v>
      </c>
    </row>
    <row r="65" spans="1:6" x14ac:dyDescent="0.4">
      <c r="A65" t="s">
        <v>287</v>
      </c>
      <c r="B65" t="s">
        <v>7</v>
      </c>
      <c r="C65" t="s">
        <v>8</v>
      </c>
      <c r="D65" t="s">
        <v>288</v>
      </c>
      <c r="E65" t="s">
        <v>289</v>
      </c>
      <c r="F65" t="s">
        <v>290</v>
      </c>
    </row>
    <row r="66" spans="1:6" x14ac:dyDescent="0.4">
      <c r="A66" t="s">
        <v>531</v>
      </c>
      <c r="B66" t="s">
        <v>7</v>
      </c>
      <c r="C66" t="s">
        <v>8</v>
      </c>
      <c r="D66" t="s">
        <v>532</v>
      </c>
      <c r="E66" t="s">
        <v>533</v>
      </c>
      <c r="F66" t="s">
        <v>534</v>
      </c>
    </row>
    <row r="67" spans="1:6" x14ac:dyDescent="0.4">
      <c r="A67" t="s">
        <v>24</v>
      </c>
      <c r="B67" t="s">
        <v>7</v>
      </c>
      <c r="C67" t="s">
        <v>8</v>
      </c>
      <c r="D67" t="s">
        <v>25</v>
      </c>
      <c r="E67" t="s">
        <v>26</v>
      </c>
      <c r="F67" t="s">
        <v>27</v>
      </c>
    </row>
    <row r="68" spans="1:6" x14ac:dyDescent="0.4">
      <c r="A68" t="s">
        <v>699</v>
      </c>
      <c r="B68" t="s">
        <v>7</v>
      </c>
      <c r="C68" t="s">
        <v>8</v>
      </c>
      <c r="D68" t="s">
        <v>700</v>
      </c>
      <c r="E68" t="s">
        <v>701</v>
      </c>
      <c r="F68" t="s">
        <v>702</v>
      </c>
    </row>
    <row r="69" spans="1:6" x14ac:dyDescent="0.4">
      <c r="A69" t="s">
        <v>335</v>
      </c>
      <c r="B69" t="s">
        <v>7</v>
      </c>
      <c r="C69" t="s">
        <v>8</v>
      </c>
      <c r="D69" t="s">
        <v>336</v>
      </c>
      <c r="E69" t="s">
        <v>337</v>
      </c>
      <c r="F69" t="s">
        <v>338</v>
      </c>
    </row>
    <row r="70" spans="1:6" x14ac:dyDescent="0.4">
      <c r="A70" t="s">
        <v>331</v>
      </c>
      <c r="B70" t="s">
        <v>7</v>
      </c>
      <c r="C70" t="s">
        <v>8</v>
      </c>
      <c r="D70" t="s">
        <v>332</v>
      </c>
      <c r="E70" t="s">
        <v>333</v>
      </c>
      <c r="F70" t="s">
        <v>334</v>
      </c>
    </row>
    <row r="71" spans="1:6" x14ac:dyDescent="0.4">
      <c r="A71" t="s">
        <v>228</v>
      </c>
      <c r="B71" t="s">
        <v>7</v>
      </c>
      <c r="C71" t="s">
        <v>8</v>
      </c>
      <c r="D71" t="s">
        <v>229</v>
      </c>
      <c r="E71" t="s">
        <v>230</v>
      </c>
      <c r="F71" t="s">
        <v>231</v>
      </c>
    </row>
    <row r="72" spans="1:6" x14ac:dyDescent="0.4">
      <c r="A72" t="s">
        <v>635</v>
      </c>
      <c r="B72" t="s">
        <v>7</v>
      </c>
      <c r="C72" t="s">
        <v>8</v>
      </c>
      <c r="D72" t="s">
        <v>636</v>
      </c>
      <c r="E72" t="s">
        <v>637</v>
      </c>
      <c r="F72" t="s">
        <v>638</v>
      </c>
    </row>
    <row r="73" spans="1:6" x14ac:dyDescent="0.4">
      <c r="A73" t="s">
        <v>172</v>
      </c>
      <c r="B73" t="s">
        <v>7</v>
      </c>
      <c r="C73" t="s">
        <v>8</v>
      </c>
      <c r="D73" t="s">
        <v>173</v>
      </c>
      <c r="E73" t="s">
        <v>174</v>
      </c>
      <c r="F73" t="s">
        <v>175</v>
      </c>
    </row>
    <row r="74" spans="1:6" x14ac:dyDescent="0.4">
      <c r="A74" t="s">
        <v>363</v>
      </c>
      <c r="B74" t="s">
        <v>7</v>
      </c>
      <c r="C74" t="s">
        <v>8</v>
      </c>
      <c r="D74" t="s">
        <v>364</v>
      </c>
      <c r="E74" t="s">
        <v>365</v>
      </c>
      <c r="F74" t="s">
        <v>366</v>
      </c>
    </row>
    <row r="75" spans="1:6" x14ac:dyDescent="0.4">
      <c r="A75" t="s">
        <v>283</v>
      </c>
      <c r="B75" t="s">
        <v>7</v>
      </c>
      <c r="C75" t="s">
        <v>8</v>
      </c>
      <c r="D75" t="s">
        <v>284</v>
      </c>
      <c r="E75" t="s">
        <v>285</v>
      </c>
      <c r="F75" t="s">
        <v>286</v>
      </c>
    </row>
    <row r="76" spans="1:6" x14ac:dyDescent="0.4">
      <c r="A76" t="s">
        <v>739</v>
      </c>
      <c r="B76" t="s">
        <v>7</v>
      </c>
      <c r="C76" t="s">
        <v>8</v>
      </c>
      <c r="D76" t="s">
        <v>740</v>
      </c>
      <c r="E76" t="s">
        <v>741</v>
      </c>
      <c r="F76" t="s">
        <v>742</v>
      </c>
    </row>
    <row r="77" spans="1:6" x14ac:dyDescent="0.4">
      <c r="A77" t="s">
        <v>631</v>
      </c>
      <c r="B77" t="s">
        <v>7</v>
      </c>
      <c r="C77" t="s">
        <v>8</v>
      </c>
      <c r="D77" t="s">
        <v>632</v>
      </c>
      <c r="E77" t="s">
        <v>633</v>
      </c>
      <c r="F77" t="s">
        <v>634</v>
      </c>
    </row>
    <row r="78" spans="1:6" x14ac:dyDescent="0.4">
      <c r="A78" t="s">
        <v>567</v>
      </c>
      <c r="B78" t="s">
        <v>7</v>
      </c>
      <c r="C78" t="s">
        <v>8</v>
      </c>
      <c r="D78" t="s">
        <v>568</v>
      </c>
      <c r="E78" t="s">
        <v>569</v>
      </c>
      <c r="F78" t="s">
        <v>570</v>
      </c>
    </row>
    <row r="79" spans="1:6" x14ac:dyDescent="0.4">
      <c r="A79" t="s">
        <v>327</v>
      </c>
      <c r="B79" t="s">
        <v>7</v>
      </c>
      <c r="C79" t="s">
        <v>8</v>
      </c>
      <c r="D79" t="s">
        <v>328</v>
      </c>
      <c r="E79" t="s">
        <v>329</v>
      </c>
      <c r="F79" t="s">
        <v>330</v>
      </c>
    </row>
    <row r="80" spans="1:6" x14ac:dyDescent="0.4">
      <c r="A80" t="s">
        <v>747</v>
      </c>
      <c r="B80" t="s">
        <v>7</v>
      </c>
      <c r="C80" t="s">
        <v>8</v>
      </c>
      <c r="D80" t="s">
        <v>748</v>
      </c>
      <c r="E80" t="s">
        <v>749</v>
      </c>
      <c r="F80" t="s">
        <v>750</v>
      </c>
    </row>
    <row r="81" spans="1:6" x14ac:dyDescent="0.4">
      <c r="A81" t="s">
        <v>527</v>
      </c>
      <c r="B81" t="s">
        <v>7</v>
      </c>
      <c r="C81" t="s">
        <v>8</v>
      </c>
      <c r="D81" t="s">
        <v>528</v>
      </c>
      <c r="E81" t="s">
        <v>529</v>
      </c>
      <c r="F81" t="s">
        <v>530</v>
      </c>
    </row>
    <row r="82" spans="1:6" x14ac:dyDescent="0.4">
      <c r="A82" t="s">
        <v>627</v>
      </c>
      <c r="B82" t="s">
        <v>7</v>
      </c>
      <c r="C82" t="s">
        <v>8</v>
      </c>
      <c r="D82" t="s">
        <v>628</v>
      </c>
      <c r="E82" t="s">
        <v>629</v>
      </c>
      <c r="F82" t="s">
        <v>630</v>
      </c>
    </row>
    <row r="83" spans="1:6" x14ac:dyDescent="0.4">
      <c r="A83" t="s">
        <v>735</v>
      </c>
      <c r="B83" t="s">
        <v>7</v>
      </c>
      <c r="C83" t="s">
        <v>8</v>
      </c>
      <c r="D83" t="s">
        <v>736</v>
      </c>
      <c r="E83" t="s">
        <v>737</v>
      </c>
      <c r="F83" t="s">
        <v>738</v>
      </c>
    </row>
    <row r="84" spans="1:6" x14ac:dyDescent="0.4">
      <c r="A84" t="s">
        <v>675</v>
      </c>
      <c r="B84" t="s">
        <v>7</v>
      </c>
      <c r="C84" t="s">
        <v>8</v>
      </c>
      <c r="D84" t="s">
        <v>676</v>
      </c>
      <c r="E84" t="s">
        <v>677</v>
      </c>
      <c r="F84" t="s">
        <v>678</v>
      </c>
    </row>
    <row r="85" spans="1:6" x14ac:dyDescent="0.4">
      <c r="A85" t="s">
        <v>671</v>
      </c>
      <c r="B85" t="s">
        <v>7</v>
      </c>
      <c r="C85" t="s">
        <v>8</v>
      </c>
      <c r="D85" t="s">
        <v>672</v>
      </c>
      <c r="E85" t="s">
        <v>673</v>
      </c>
      <c r="F85" t="s">
        <v>674</v>
      </c>
    </row>
    <row r="86" spans="1:6" x14ac:dyDescent="0.4">
      <c r="A86" t="s">
        <v>563</v>
      </c>
      <c r="B86" t="s">
        <v>7</v>
      </c>
      <c r="C86" t="s">
        <v>8</v>
      </c>
      <c r="D86" t="s">
        <v>564</v>
      </c>
      <c r="E86" t="s">
        <v>565</v>
      </c>
      <c r="F86" t="s">
        <v>566</v>
      </c>
    </row>
    <row r="87" spans="1:6" x14ac:dyDescent="0.4">
      <c r="A87" t="s">
        <v>323</v>
      </c>
      <c r="B87" t="s">
        <v>7</v>
      </c>
      <c r="C87" t="s">
        <v>8</v>
      </c>
      <c r="D87" t="s">
        <v>324</v>
      </c>
      <c r="E87" t="s">
        <v>325</v>
      </c>
      <c r="F87" t="s">
        <v>326</v>
      </c>
    </row>
    <row r="88" spans="1:6" x14ac:dyDescent="0.4">
      <c r="A88" t="s">
        <v>435</v>
      </c>
      <c r="B88" t="s">
        <v>7</v>
      </c>
      <c r="C88" t="s">
        <v>8</v>
      </c>
      <c r="D88" t="s">
        <v>436</v>
      </c>
      <c r="E88" t="s">
        <v>437</v>
      </c>
      <c r="F88" t="s">
        <v>438</v>
      </c>
    </row>
    <row r="89" spans="1:6" x14ac:dyDescent="0.4">
      <c r="A89" t="s">
        <v>359</v>
      </c>
      <c r="B89" t="s">
        <v>7</v>
      </c>
      <c r="C89" t="s">
        <v>8</v>
      </c>
      <c r="D89" t="s">
        <v>360</v>
      </c>
      <c r="E89" t="s">
        <v>361</v>
      </c>
      <c r="F89" t="s">
        <v>362</v>
      </c>
    </row>
    <row r="90" spans="1:6" x14ac:dyDescent="0.4">
      <c r="A90" t="s">
        <v>603</v>
      </c>
      <c r="B90" t="s">
        <v>7</v>
      </c>
      <c r="C90" t="s">
        <v>8</v>
      </c>
      <c r="D90" t="s">
        <v>604</v>
      </c>
      <c r="E90" t="s">
        <v>605</v>
      </c>
      <c r="F90" t="s">
        <v>606</v>
      </c>
    </row>
    <row r="91" spans="1:6" x14ac:dyDescent="0.4">
      <c r="A91" t="s">
        <v>279</v>
      </c>
      <c r="B91" t="s">
        <v>7</v>
      </c>
      <c r="C91" t="s">
        <v>8</v>
      </c>
      <c r="D91" t="s">
        <v>280</v>
      </c>
      <c r="E91" t="s">
        <v>281</v>
      </c>
      <c r="F91" t="s">
        <v>282</v>
      </c>
    </row>
    <row r="92" spans="1:6" x14ac:dyDescent="0.4">
      <c r="A92" t="s">
        <v>599</v>
      </c>
      <c r="B92" t="s">
        <v>7</v>
      </c>
      <c r="C92" t="s">
        <v>8</v>
      </c>
      <c r="D92" t="s">
        <v>600</v>
      </c>
      <c r="E92" t="s">
        <v>601</v>
      </c>
      <c r="F92" t="s">
        <v>602</v>
      </c>
    </row>
    <row r="93" spans="1:6" x14ac:dyDescent="0.4">
      <c r="A93" t="s">
        <v>383</v>
      </c>
      <c r="B93" t="s">
        <v>7</v>
      </c>
      <c r="C93" t="s">
        <v>8</v>
      </c>
      <c r="D93" t="s">
        <v>384</v>
      </c>
      <c r="E93" t="s">
        <v>385</v>
      </c>
      <c r="F93" t="s">
        <v>386</v>
      </c>
    </row>
    <row r="94" spans="1:6" x14ac:dyDescent="0.4">
      <c r="A94" t="s">
        <v>52</v>
      </c>
      <c r="B94" t="s">
        <v>7</v>
      </c>
      <c r="C94" t="s">
        <v>8</v>
      </c>
      <c r="D94" t="s">
        <v>53</v>
      </c>
      <c r="E94" t="s">
        <v>54</v>
      </c>
      <c r="F94" t="s">
        <v>55</v>
      </c>
    </row>
    <row r="95" spans="1:6" x14ac:dyDescent="0.4">
      <c r="A95" t="s">
        <v>559</v>
      </c>
      <c r="B95" t="s">
        <v>7</v>
      </c>
      <c r="C95" t="s">
        <v>8</v>
      </c>
      <c r="D95" t="s">
        <v>560</v>
      </c>
      <c r="E95" t="s">
        <v>561</v>
      </c>
      <c r="F95" t="s">
        <v>562</v>
      </c>
    </row>
    <row r="96" spans="1:6" x14ac:dyDescent="0.4">
      <c r="A96" t="s">
        <v>80</v>
      </c>
      <c r="B96" t="s">
        <v>7</v>
      </c>
      <c r="C96" t="s">
        <v>8</v>
      </c>
      <c r="D96" t="s">
        <v>81</v>
      </c>
      <c r="E96" t="s">
        <v>82</v>
      </c>
      <c r="F96" t="s">
        <v>83</v>
      </c>
    </row>
    <row r="97" spans="1:6" x14ac:dyDescent="0.4">
      <c r="A97" t="s">
        <v>431</v>
      </c>
      <c r="B97" t="s">
        <v>7</v>
      </c>
      <c r="C97" t="s">
        <v>8</v>
      </c>
      <c r="D97" t="s">
        <v>432</v>
      </c>
      <c r="E97" t="s">
        <v>433</v>
      </c>
      <c r="F97" t="s">
        <v>434</v>
      </c>
    </row>
    <row r="98" spans="1:6" x14ac:dyDescent="0.4">
      <c r="A98" t="s">
        <v>455</v>
      </c>
      <c r="B98" t="s">
        <v>7</v>
      </c>
      <c r="C98" t="s">
        <v>8</v>
      </c>
      <c r="D98" t="s">
        <v>456</v>
      </c>
      <c r="E98" t="s">
        <v>457</v>
      </c>
      <c r="F98" t="s">
        <v>458</v>
      </c>
    </row>
    <row r="99" spans="1:6" x14ac:dyDescent="0.4">
      <c r="A99" t="s">
        <v>379</v>
      </c>
      <c r="B99" t="s">
        <v>7</v>
      </c>
      <c r="C99" t="s">
        <v>8</v>
      </c>
      <c r="D99" t="s">
        <v>380</v>
      </c>
      <c r="E99" t="s">
        <v>381</v>
      </c>
      <c r="F99" t="s">
        <v>382</v>
      </c>
    </row>
    <row r="100" spans="1:6" x14ac:dyDescent="0.4">
      <c r="A100" t="s">
        <v>427</v>
      </c>
      <c r="B100" t="s">
        <v>7</v>
      </c>
      <c r="C100" t="s">
        <v>8</v>
      </c>
      <c r="D100" t="s">
        <v>428</v>
      </c>
      <c r="E100" t="s">
        <v>429</v>
      </c>
      <c r="F100" t="s">
        <v>430</v>
      </c>
    </row>
    <row r="101" spans="1:6" x14ac:dyDescent="0.4">
      <c r="A101" t="s">
        <v>319</v>
      </c>
      <c r="B101" t="s">
        <v>7</v>
      </c>
      <c r="C101" t="s">
        <v>8</v>
      </c>
      <c r="D101" t="s">
        <v>320</v>
      </c>
      <c r="E101" t="s">
        <v>321</v>
      </c>
      <c r="F101" t="s">
        <v>322</v>
      </c>
    </row>
    <row r="102" spans="1:6" x14ac:dyDescent="0.4">
      <c r="A102" t="s">
        <v>224</v>
      </c>
      <c r="B102" t="s">
        <v>7</v>
      </c>
      <c r="C102" t="s">
        <v>8</v>
      </c>
      <c r="D102" t="s">
        <v>225</v>
      </c>
      <c r="E102" t="s">
        <v>226</v>
      </c>
      <c r="F102" t="s">
        <v>227</v>
      </c>
    </row>
    <row r="103" spans="1:6" x14ac:dyDescent="0.4">
      <c r="A103" t="s">
        <v>275</v>
      </c>
      <c r="B103" t="s">
        <v>7</v>
      </c>
      <c r="C103" t="s">
        <v>8</v>
      </c>
      <c r="D103" t="s">
        <v>276</v>
      </c>
      <c r="E103" t="s">
        <v>277</v>
      </c>
      <c r="F103" t="s">
        <v>278</v>
      </c>
    </row>
    <row r="104" spans="1:6" x14ac:dyDescent="0.4">
      <c r="A104" t="s">
        <v>743</v>
      </c>
      <c r="B104" t="s">
        <v>7</v>
      </c>
      <c r="C104" t="s">
        <v>8</v>
      </c>
      <c r="D104" t="s">
        <v>744</v>
      </c>
      <c r="E104" t="s">
        <v>745</v>
      </c>
      <c r="F104" t="s">
        <v>746</v>
      </c>
    </row>
    <row r="105" spans="1:6" x14ac:dyDescent="0.4">
      <c r="A105" t="s">
        <v>48</v>
      </c>
      <c r="B105" t="s">
        <v>7</v>
      </c>
      <c r="C105" t="s">
        <v>8</v>
      </c>
      <c r="D105" t="s">
        <v>49</v>
      </c>
      <c r="E105" t="s">
        <v>50</v>
      </c>
      <c r="F105" t="s">
        <v>51</v>
      </c>
    </row>
    <row r="106" spans="1:6" x14ac:dyDescent="0.4">
      <c r="A106" t="s">
        <v>244</v>
      </c>
      <c r="B106" t="s">
        <v>7</v>
      </c>
      <c r="C106" t="s">
        <v>8</v>
      </c>
      <c r="D106" t="s">
        <v>49</v>
      </c>
      <c r="E106" t="s">
        <v>245</v>
      </c>
      <c r="F106" t="s">
        <v>246</v>
      </c>
    </row>
    <row r="107" spans="1:6" x14ac:dyDescent="0.4">
      <c r="A107" t="s">
        <v>595</v>
      </c>
      <c r="B107" t="s">
        <v>7</v>
      </c>
      <c r="C107" t="s">
        <v>8</v>
      </c>
      <c r="D107" t="s">
        <v>596</v>
      </c>
      <c r="E107" t="s">
        <v>597</v>
      </c>
      <c r="F107" t="s">
        <v>598</v>
      </c>
    </row>
    <row r="108" spans="1:6" x14ac:dyDescent="0.4">
      <c r="A108" t="s">
        <v>112</v>
      </c>
      <c r="B108" t="s">
        <v>7</v>
      </c>
      <c r="C108" t="s">
        <v>8</v>
      </c>
      <c r="D108" t="s">
        <v>113</v>
      </c>
      <c r="E108" t="s">
        <v>114</v>
      </c>
      <c r="F108" t="s">
        <v>115</v>
      </c>
    </row>
    <row r="109" spans="1:6" x14ac:dyDescent="0.4">
      <c r="A109" t="s">
        <v>315</v>
      </c>
      <c r="B109" t="s">
        <v>7</v>
      </c>
      <c r="C109" t="s">
        <v>8</v>
      </c>
      <c r="D109" t="s">
        <v>316</v>
      </c>
      <c r="E109" t="s">
        <v>317</v>
      </c>
      <c r="F109" t="s">
        <v>318</v>
      </c>
    </row>
    <row r="110" spans="1:6" x14ac:dyDescent="0.4">
      <c r="A110" t="s">
        <v>220</v>
      </c>
      <c r="B110" t="s">
        <v>7</v>
      </c>
      <c r="C110" t="s">
        <v>8</v>
      </c>
      <c r="D110" t="s">
        <v>221</v>
      </c>
      <c r="E110" t="s">
        <v>222</v>
      </c>
      <c r="F110" t="s">
        <v>223</v>
      </c>
    </row>
    <row r="111" spans="1:6" x14ac:dyDescent="0.4">
      <c r="A111" t="s">
        <v>591</v>
      </c>
      <c r="B111" t="s">
        <v>7</v>
      </c>
      <c r="C111" t="s">
        <v>8</v>
      </c>
      <c r="D111" t="s">
        <v>592</v>
      </c>
      <c r="E111" t="s">
        <v>593</v>
      </c>
      <c r="F111" t="s">
        <v>594</v>
      </c>
    </row>
    <row r="112" spans="1:6" x14ac:dyDescent="0.4">
      <c r="A112" t="s">
        <v>451</v>
      </c>
      <c r="B112" t="s">
        <v>7</v>
      </c>
      <c r="C112" t="s">
        <v>8</v>
      </c>
      <c r="D112" t="s">
        <v>452</v>
      </c>
      <c r="E112" t="s">
        <v>453</v>
      </c>
      <c r="F112" t="s">
        <v>454</v>
      </c>
    </row>
    <row r="113" spans="1:6" x14ac:dyDescent="0.4">
      <c r="A113" t="s">
        <v>168</v>
      </c>
      <c r="B113" t="s">
        <v>7</v>
      </c>
      <c r="C113" t="s">
        <v>8</v>
      </c>
      <c r="D113" t="s">
        <v>169</v>
      </c>
      <c r="E113" t="s">
        <v>170</v>
      </c>
      <c r="F113" t="s">
        <v>171</v>
      </c>
    </row>
    <row r="114" spans="1:6" x14ac:dyDescent="0.4">
      <c r="A114" t="s">
        <v>695</v>
      </c>
      <c r="B114" t="s">
        <v>7</v>
      </c>
      <c r="C114" t="s">
        <v>8</v>
      </c>
      <c r="D114" t="s">
        <v>696</v>
      </c>
      <c r="E114" t="s">
        <v>697</v>
      </c>
      <c r="F114" t="s">
        <v>698</v>
      </c>
    </row>
    <row r="115" spans="1:6" x14ac:dyDescent="0.4">
      <c r="A115" t="s">
        <v>240</v>
      </c>
      <c r="B115" t="s">
        <v>7</v>
      </c>
      <c r="C115" t="s">
        <v>8</v>
      </c>
      <c r="D115" t="s">
        <v>241</v>
      </c>
      <c r="E115" t="s">
        <v>242</v>
      </c>
      <c r="F115" t="s">
        <v>243</v>
      </c>
    </row>
    <row r="116" spans="1:6" x14ac:dyDescent="0.4">
      <c r="A116" t="s">
        <v>587</v>
      </c>
      <c r="B116" t="s">
        <v>7</v>
      </c>
      <c r="C116" t="s">
        <v>8</v>
      </c>
      <c r="D116" t="s">
        <v>588</v>
      </c>
      <c r="E116" t="s">
        <v>589</v>
      </c>
      <c r="F116" t="s">
        <v>590</v>
      </c>
    </row>
    <row r="117" spans="1:6" x14ac:dyDescent="0.4">
      <c r="A117" t="s">
        <v>479</v>
      </c>
      <c r="B117" t="s">
        <v>7</v>
      </c>
      <c r="C117" t="s">
        <v>8</v>
      </c>
      <c r="D117" t="s">
        <v>480</v>
      </c>
      <c r="E117" t="s">
        <v>481</v>
      </c>
      <c r="F117" t="s">
        <v>482</v>
      </c>
    </row>
    <row r="118" spans="1:6" x14ac:dyDescent="0.4">
      <c r="A118" t="s">
        <v>783</v>
      </c>
      <c r="B118" t="s">
        <v>7</v>
      </c>
      <c r="C118" t="s">
        <v>8</v>
      </c>
      <c r="D118" t="s">
        <v>784</v>
      </c>
      <c r="E118" t="s">
        <v>785</v>
      </c>
      <c r="F118" t="s">
        <v>786</v>
      </c>
    </row>
    <row r="119" spans="1:6" x14ac:dyDescent="0.4">
      <c r="A119" t="s">
        <v>423</v>
      </c>
      <c r="B119" t="s">
        <v>7</v>
      </c>
      <c r="C119" t="s">
        <v>8</v>
      </c>
      <c r="D119" t="s">
        <v>424</v>
      </c>
      <c r="E119" t="s">
        <v>425</v>
      </c>
      <c r="F119" t="s">
        <v>426</v>
      </c>
    </row>
    <row r="120" spans="1:6" x14ac:dyDescent="0.4">
      <c r="A120" t="s">
        <v>779</v>
      </c>
      <c r="B120" t="s">
        <v>7</v>
      </c>
      <c r="C120" t="s">
        <v>8</v>
      </c>
      <c r="D120" t="s">
        <v>780</v>
      </c>
      <c r="E120" t="s">
        <v>781</v>
      </c>
      <c r="F120" t="s">
        <v>782</v>
      </c>
    </row>
    <row r="121" spans="1:6" x14ac:dyDescent="0.4">
      <c r="A121" t="s">
        <v>731</v>
      </c>
      <c r="B121" t="s">
        <v>7</v>
      </c>
      <c r="C121" t="s">
        <v>8</v>
      </c>
      <c r="D121" t="s">
        <v>732</v>
      </c>
      <c r="E121" t="s">
        <v>733</v>
      </c>
      <c r="F121" t="s">
        <v>734</v>
      </c>
    </row>
    <row r="122" spans="1:6" x14ac:dyDescent="0.4">
      <c r="A122" t="s">
        <v>200</v>
      </c>
      <c r="B122" t="s">
        <v>7</v>
      </c>
      <c r="C122" t="s">
        <v>8</v>
      </c>
      <c r="D122" t="s">
        <v>201</v>
      </c>
      <c r="E122" t="s">
        <v>202</v>
      </c>
      <c r="F122" t="s">
        <v>203</v>
      </c>
    </row>
    <row r="123" spans="1:6" x14ac:dyDescent="0.4">
      <c r="A123" t="s">
        <v>667</v>
      </c>
      <c r="B123" t="s">
        <v>7</v>
      </c>
      <c r="C123" t="s">
        <v>8</v>
      </c>
      <c r="D123" t="s">
        <v>668</v>
      </c>
      <c r="E123" t="s">
        <v>669</v>
      </c>
      <c r="F123" t="s">
        <v>670</v>
      </c>
    </row>
    <row r="124" spans="1:6" x14ac:dyDescent="0.4">
      <c r="A124" t="s">
        <v>108</v>
      </c>
      <c r="B124" t="s">
        <v>7</v>
      </c>
      <c r="C124" t="s">
        <v>8</v>
      </c>
      <c r="D124" t="s">
        <v>109</v>
      </c>
      <c r="E124" t="s">
        <v>110</v>
      </c>
      <c r="F124" t="s">
        <v>111</v>
      </c>
    </row>
    <row r="125" spans="1:6" x14ac:dyDescent="0.4">
      <c r="A125" t="s">
        <v>419</v>
      </c>
      <c r="B125" t="s">
        <v>7</v>
      </c>
      <c r="C125" t="s">
        <v>8</v>
      </c>
      <c r="D125" t="s">
        <v>420</v>
      </c>
      <c r="E125" t="s">
        <v>421</v>
      </c>
      <c r="F125" t="s">
        <v>422</v>
      </c>
    </row>
    <row r="126" spans="1:6" x14ac:dyDescent="0.4">
      <c r="A126" t="s">
        <v>555</v>
      </c>
      <c r="B126" t="s">
        <v>7</v>
      </c>
      <c r="C126" t="s">
        <v>8</v>
      </c>
      <c r="D126" t="s">
        <v>556</v>
      </c>
      <c r="E126" t="s">
        <v>557</v>
      </c>
      <c r="F126" t="s">
        <v>558</v>
      </c>
    </row>
    <row r="127" spans="1:6" x14ac:dyDescent="0.4">
      <c r="A127" t="s">
        <v>144</v>
      </c>
      <c r="B127" t="s">
        <v>7</v>
      </c>
      <c r="C127" t="s">
        <v>8</v>
      </c>
      <c r="D127" t="s">
        <v>145</v>
      </c>
      <c r="E127" t="s">
        <v>146</v>
      </c>
      <c r="F127" t="s">
        <v>147</v>
      </c>
    </row>
    <row r="128" spans="1:6" x14ac:dyDescent="0.4">
      <c r="A128" t="s">
        <v>579</v>
      </c>
      <c r="B128" t="s">
        <v>7</v>
      </c>
      <c r="C128" t="s">
        <v>8</v>
      </c>
      <c r="D128" t="s">
        <v>580</v>
      </c>
      <c r="E128" t="s">
        <v>581</v>
      </c>
      <c r="F128" t="s">
        <v>582</v>
      </c>
    </row>
    <row r="129" spans="1:6" x14ac:dyDescent="0.4">
      <c r="A129" t="s">
        <v>663</v>
      </c>
      <c r="B129" t="s">
        <v>7</v>
      </c>
      <c r="C129" t="s">
        <v>8</v>
      </c>
      <c r="D129" t="s">
        <v>664</v>
      </c>
      <c r="E129" t="s">
        <v>665</v>
      </c>
      <c r="F129" t="s">
        <v>666</v>
      </c>
    </row>
    <row r="130" spans="1:6" x14ac:dyDescent="0.4">
      <c r="A130" t="s">
        <v>44</v>
      </c>
      <c r="B130" t="s">
        <v>7</v>
      </c>
      <c r="C130" t="s">
        <v>8</v>
      </c>
      <c r="D130" t="s">
        <v>45</v>
      </c>
      <c r="E130" t="s">
        <v>46</v>
      </c>
      <c r="F130" t="s">
        <v>47</v>
      </c>
    </row>
    <row r="131" spans="1:6" x14ac:dyDescent="0.4">
      <c r="A131" t="s">
        <v>775</v>
      </c>
      <c r="B131" t="s">
        <v>7</v>
      </c>
      <c r="C131" t="s">
        <v>8</v>
      </c>
      <c r="D131" t="s">
        <v>776</v>
      </c>
      <c r="E131" t="s">
        <v>777</v>
      </c>
      <c r="F131" t="s">
        <v>778</v>
      </c>
    </row>
    <row r="132" spans="1:6" x14ac:dyDescent="0.4">
      <c r="A132" t="s">
        <v>623</v>
      </c>
      <c r="B132" t="s">
        <v>7</v>
      </c>
      <c r="C132" t="s">
        <v>8</v>
      </c>
      <c r="D132" t="s">
        <v>624</v>
      </c>
      <c r="E132" t="s">
        <v>625</v>
      </c>
      <c r="F132" t="s">
        <v>626</v>
      </c>
    </row>
    <row r="133" spans="1:6" x14ac:dyDescent="0.4">
      <c r="A133" t="s">
        <v>551</v>
      </c>
      <c r="B133" t="s">
        <v>7</v>
      </c>
      <c r="C133" t="s">
        <v>8</v>
      </c>
      <c r="D133" t="s">
        <v>552</v>
      </c>
      <c r="E133" t="s">
        <v>553</v>
      </c>
      <c r="F133" t="s">
        <v>554</v>
      </c>
    </row>
    <row r="134" spans="1:6" x14ac:dyDescent="0.4">
      <c r="A134" t="s">
        <v>806</v>
      </c>
      <c r="B134" t="s">
        <v>7</v>
      </c>
      <c r="C134" t="s">
        <v>8</v>
      </c>
      <c r="D134" t="s">
        <v>807</v>
      </c>
      <c r="E134" t="s">
        <v>808</v>
      </c>
      <c r="F134" t="s">
        <v>809</v>
      </c>
    </row>
    <row r="135" spans="1:6" x14ac:dyDescent="0.4">
      <c r="A135" t="s">
        <v>311</v>
      </c>
      <c r="B135" t="s">
        <v>7</v>
      </c>
      <c r="C135" t="s">
        <v>8</v>
      </c>
      <c r="D135" t="s">
        <v>312</v>
      </c>
      <c r="E135" t="s">
        <v>313</v>
      </c>
      <c r="F135" t="s">
        <v>314</v>
      </c>
    </row>
    <row r="136" spans="1:6" x14ac:dyDescent="0.4">
      <c r="A136" t="s">
        <v>802</v>
      </c>
      <c r="B136" t="s">
        <v>7</v>
      </c>
      <c r="C136" t="s">
        <v>8</v>
      </c>
      <c r="D136" t="s">
        <v>803</v>
      </c>
      <c r="E136" t="s">
        <v>804</v>
      </c>
      <c r="F136" t="s">
        <v>805</v>
      </c>
    </row>
    <row r="137" spans="1:6" x14ac:dyDescent="0.4">
      <c r="A137" t="s">
        <v>523</v>
      </c>
      <c r="B137" t="s">
        <v>7</v>
      </c>
      <c r="C137" t="s">
        <v>8</v>
      </c>
      <c r="D137" t="s">
        <v>524</v>
      </c>
      <c r="E137" t="s">
        <v>525</v>
      </c>
      <c r="F137" t="s">
        <v>526</v>
      </c>
    </row>
    <row r="138" spans="1:6" x14ac:dyDescent="0.4">
      <c r="A138" t="s">
        <v>307</v>
      </c>
      <c r="B138" t="s">
        <v>7</v>
      </c>
      <c r="C138" t="s">
        <v>8</v>
      </c>
      <c r="D138" t="s">
        <v>308</v>
      </c>
      <c r="E138" t="s">
        <v>309</v>
      </c>
      <c r="F138" t="s">
        <v>310</v>
      </c>
    </row>
    <row r="139" spans="1:6" x14ac:dyDescent="0.4">
      <c r="A139" t="s">
        <v>40</v>
      </c>
      <c r="B139" t="s">
        <v>7</v>
      </c>
      <c r="C139" t="s">
        <v>8</v>
      </c>
      <c r="D139" t="s">
        <v>41</v>
      </c>
      <c r="E139" t="s">
        <v>42</v>
      </c>
      <c r="F139" t="s">
        <v>43</v>
      </c>
    </row>
    <row r="140" spans="1:6" x14ac:dyDescent="0.4">
      <c r="A140" t="s">
        <v>475</v>
      </c>
      <c r="B140" t="s">
        <v>7</v>
      </c>
      <c r="C140" t="s">
        <v>8</v>
      </c>
      <c r="D140" t="s">
        <v>476</v>
      </c>
      <c r="E140" t="s">
        <v>477</v>
      </c>
      <c r="F140" t="s">
        <v>478</v>
      </c>
    </row>
    <row r="141" spans="1:6" x14ac:dyDescent="0.4">
      <c r="A141" t="s">
        <v>76</v>
      </c>
      <c r="B141" t="s">
        <v>7</v>
      </c>
      <c r="C141" t="s">
        <v>8</v>
      </c>
      <c r="D141" t="s">
        <v>77</v>
      </c>
      <c r="E141" t="s">
        <v>78</v>
      </c>
      <c r="F141" t="s">
        <v>79</v>
      </c>
    </row>
    <row r="142" spans="1:6" x14ac:dyDescent="0.4">
      <c r="A142" t="s">
        <v>415</v>
      </c>
      <c r="B142" t="s">
        <v>7</v>
      </c>
      <c r="C142" t="s">
        <v>8</v>
      </c>
      <c r="D142" t="s">
        <v>416</v>
      </c>
      <c r="E142" t="s">
        <v>417</v>
      </c>
      <c r="F142" t="s">
        <v>418</v>
      </c>
    </row>
    <row r="143" spans="1:6" x14ac:dyDescent="0.4">
      <c r="A143" t="s">
        <v>771</v>
      </c>
      <c r="B143" t="s">
        <v>7</v>
      </c>
      <c r="C143" t="s">
        <v>8</v>
      </c>
      <c r="D143" t="s">
        <v>772</v>
      </c>
      <c r="E143" t="s">
        <v>773</v>
      </c>
      <c r="F143" t="s">
        <v>774</v>
      </c>
    </row>
    <row r="144" spans="1:6" x14ac:dyDescent="0.4">
      <c r="A144" t="s">
        <v>271</v>
      </c>
      <c r="B144" t="s">
        <v>7</v>
      </c>
      <c r="C144" t="s">
        <v>8</v>
      </c>
      <c r="D144" t="s">
        <v>272</v>
      </c>
      <c r="E144" t="s">
        <v>273</v>
      </c>
      <c r="F144" t="s">
        <v>274</v>
      </c>
    </row>
    <row r="145" spans="1:6" x14ac:dyDescent="0.4">
      <c r="A145" t="s">
        <v>104</v>
      </c>
      <c r="B145" t="s">
        <v>7</v>
      </c>
      <c r="C145" t="s">
        <v>8</v>
      </c>
      <c r="D145" t="s">
        <v>105</v>
      </c>
      <c r="E145" t="s">
        <v>106</v>
      </c>
      <c r="F145" t="s">
        <v>107</v>
      </c>
    </row>
    <row r="146" spans="1:6" x14ac:dyDescent="0.4">
      <c r="A146" t="s">
        <v>767</v>
      </c>
      <c r="B146" t="s">
        <v>7</v>
      </c>
      <c r="C146" t="s">
        <v>8</v>
      </c>
      <c r="D146" t="s">
        <v>768</v>
      </c>
      <c r="E146" t="s">
        <v>769</v>
      </c>
      <c r="F146" t="s">
        <v>770</v>
      </c>
    </row>
    <row r="147" spans="1:6" x14ac:dyDescent="0.4">
      <c r="A147" t="s">
        <v>447</v>
      </c>
      <c r="B147" t="s">
        <v>7</v>
      </c>
      <c r="C147" t="s">
        <v>8</v>
      </c>
      <c r="D147" t="s">
        <v>448</v>
      </c>
      <c r="E147" t="s">
        <v>449</v>
      </c>
      <c r="F147" t="s">
        <v>450</v>
      </c>
    </row>
    <row r="148" spans="1:6" x14ac:dyDescent="0.4">
      <c r="A148" t="s">
        <v>20</v>
      </c>
      <c r="B148" t="s">
        <v>7</v>
      </c>
      <c r="C148" t="s">
        <v>8</v>
      </c>
      <c r="D148" t="s">
        <v>21</v>
      </c>
      <c r="E148" t="s">
        <v>22</v>
      </c>
      <c r="F148" t="s">
        <v>23</v>
      </c>
    </row>
    <row r="149" spans="1:6" x14ac:dyDescent="0.4">
      <c r="A149" t="s">
        <v>236</v>
      </c>
      <c r="B149" t="s">
        <v>7</v>
      </c>
      <c r="C149" t="s">
        <v>8</v>
      </c>
      <c r="D149" t="s">
        <v>237</v>
      </c>
      <c r="E149" t="s">
        <v>238</v>
      </c>
      <c r="F149" t="s">
        <v>239</v>
      </c>
    </row>
    <row r="150" spans="1:6" x14ac:dyDescent="0.4">
      <c r="A150" t="s">
        <v>547</v>
      </c>
      <c r="B150" t="s">
        <v>7</v>
      </c>
      <c r="C150" t="s">
        <v>8</v>
      </c>
      <c r="D150" t="s">
        <v>548</v>
      </c>
      <c r="E150" t="s">
        <v>549</v>
      </c>
      <c r="F150" t="s">
        <v>550</v>
      </c>
    </row>
    <row r="151" spans="1:6" x14ac:dyDescent="0.4">
      <c r="A151" t="s">
        <v>619</v>
      </c>
      <c r="B151" t="s">
        <v>7</v>
      </c>
      <c r="C151" t="s">
        <v>8</v>
      </c>
      <c r="D151" t="s">
        <v>620</v>
      </c>
      <c r="E151" t="s">
        <v>621</v>
      </c>
      <c r="F151" t="s">
        <v>622</v>
      </c>
    </row>
    <row r="152" spans="1:6" x14ac:dyDescent="0.4">
      <c r="A152" t="s">
        <v>100</v>
      </c>
      <c r="B152" t="s">
        <v>7</v>
      </c>
      <c r="C152" t="s">
        <v>8</v>
      </c>
      <c r="D152" t="s">
        <v>101</v>
      </c>
      <c r="E152" t="s">
        <v>102</v>
      </c>
      <c r="F152" t="s">
        <v>103</v>
      </c>
    </row>
    <row r="153" spans="1:6" x14ac:dyDescent="0.4">
      <c r="A153" t="s">
        <v>72</v>
      </c>
      <c r="B153" t="s">
        <v>7</v>
      </c>
      <c r="C153" t="s">
        <v>8</v>
      </c>
      <c r="D153" t="s">
        <v>73</v>
      </c>
      <c r="E153" t="s">
        <v>74</v>
      </c>
      <c r="F153" t="s">
        <v>75</v>
      </c>
    </row>
    <row r="154" spans="1:6" x14ac:dyDescent="0.4">
      <c r="A154" t="s">
        <v>798</v>
      </c>
      <c r="B154" t="s">
        <v>7</v>
      </c>
      <c r="C154" t="s">
        <v>8</v>
      </c>
      <c r="D154" t="s">
        <v>799</v>
      </c>
      <c r="E154" t="s">
        <v>800</v>
      </c>
      <c r="F154" t="s">
        <v>801</v>
      </c>
    </row>
    <row r="155" spans="1:6" x14ac:dyDescent="0.4">
      <c r="A155" t="s">
        <v>763</v>
      </c>
      <c r="B155" t="s">
        <v>7</v>
      </c>
      <c r="C155" t="s">
        <v>8</v>
      </c>
      <c r="D155" t="s">
        <v>764</v>
      </c>
      <c r="E155" t="s">
        <v>765</v>
      </c>
      <c r="F155" t="s">
        <v>766</v>
      </c>
    </row>
    <row r="156" spans="1:6" x14ac:dyDescent="0.4">
      <c r="A156" t="s">
        <v>355</v>
      </c>
      <c r="B156" t="s">
        <v>7</v>
      </c>
      <c r="C156" t="s">
        <v>8</v>
      </c>
      <c r="D156" t="s">
        <v>356</v>
      </c>
      <c r="E156" t="s">
        <v>357</v>
      </c>
      <c r="F156" t="s">
        <v>358</v>
      </c>
    </row>
    <row r="157" spans="1:6" x14ac:dyDescent="0.4">
      <c r="A157" t="s">
        <v>351</v>
      </c>
      <c r="B157" t="s">
        <v>7</v>
      </c>
      <c r="C157" t="s">
        <v>8</v>
      </c>
      <c r="D157" t="s">
        <v>352</v>
      </c>
      <c r="E157" t="s">
        <v>353</v>
      </c>
      <c r="F157" t="s">
        <v>354</v>
      </c>
    </row>
    <row r="158" spans="1:6" x14ac:dyDescent="0.4">
      <c r="A158" t="s">
        <v>303</v>
      </c>
      <c r="B158" t="s">
        <v>7</v>
      </c>
      <c r="C158" t="s">
        <v>8</v>
      </c>
      <c r="D158" t="s">
        <v>304</v>
      </c>
      <c r="E158" t="s">
        <v>305</v>
      </c>
      <c r="F158" t="s">
        <v>306</v>
      </c>
    </row>
    <row r="159" spans="1:6" x14ac:dyDescent="0.4">
      <c r="A159" t="s">
        <v>36</v>
      </c>
      <c r="B159" t="s">
        <v>7</v>
      </c>
      <c r="C159" t="s">
        <v>8</v>
      </c>
      <c r="D159" t="s">
        <v>37</v>
      </c>
      <c r="E159" t="s">
        <v>38</v>
      </c>
      <c r="F159" t="s">
        <v>39</v>
      </c>
    </row>
    <row r="160" spans="1:6" x14ac:dyDescent="0.4">
      <c r="A160" t="s">
        <v>659</v>
      </c>
      <c r="B160" t="s">
        <v>7</v>
      </c>
      <c r="C160" t="s">
        <v>8</v>
      </c>
      <c r="D160" t="s">
        <v>660</v>
      </c>
      <c r="E160" t="s">
        <v>661</v>
      </c>
      <c r="F160" t="s">
        <v>662</v>
      </c>
    </row>
    <row r="161" spans="1:6" x14ac:dyDescent="0.4">
      <c r="A161" t="s">
        <v>164</v>
      </c>
      <c r="B161" t="s">
        <v>7</v>
      </c>
      <c r="C161" t="s">
        <v>8</v>
      </c>
      <c r="D161" t="s">
        <v>165</v>
      </c>
      <c r="E161" t="s">
        <v>166</v>
      </c>
      <c r="F161" t="s">
        <v>167</v>
      </c>
    </row>
    <row r="162" spans="1:6" x14ac:dyDescent="0.4">
      <c r="A162" t="s">
        <v>727</v>
      </c>
      <c r="B162" t="s">
        <v>7</v>
      </c>
      <c r="C162" t="s">
        <v>8</v>
      </c>
      <c r="D162" t="s">
        <v>728</v>
      </c>
      <c r="E162" t="s">
        <v>729</v>
      </c>
      <c r="F162" t="s">
        <v>730</v>
      </c>
    </row>
    <row r="163" spans="1:6" x14ac:dyDescent="0.4">
      <c r="A163" t="s">
        <v>267</v>
      </c>
      <c r="B163" t="s">
        <v>7</v>
      </c>
      <c r="C163" t="s">
        <v>8</v>
      </c>
      <c r="D163" t="s">
        <v>268</v>
      </c>
      <c r="E163" t="s">
        <v>269</v>
      </c>
      <c r="F163" t="s">
        <v>270</v>
      </c>
    </row>
    <row r="164" spans="1:6" x14ac:dyDescent="0.4">
      <c r="A164" t="s">
        <v>794</v>
      </c>
      <c r="B164" t="s">
        <v>7</v>
      </c>
      <c r="C164" t="s">
        <v>8</v>
      </c>
      <c r="D164" t="s">
        <v>795</v>
      </c>
      <c r="E164" t="s">
        <v>796</v>
      </c>
      <c r="F164" t="s">
        <v>797</v>
      </c>
    </row>
    <row r="165" spans="1:6" x14ac:dyDescent="0.4">
      <c r="A165" t="s">
        <v>68</v>
      </c>
      <c r="B165" t="s">
        <v>7</v>
      </c>
      <c r="C165" t="s">
        <v>8</v>
      </c>
      <c r="D165" t="s">
        <v>69</v>
      </c>
      <c r="E165" t="s">
        <v>70</v>
      </c>
      <c r="F165" t="s">
        <v>71</v>
      </c>
    </row>
    <row r="166" spans="1:6" x14ac:dyDescent="0.4">
      <c r="A166" t="s">
        <v>140</v>
      </c>
      <c r="B166" t="s">
        <v>7</v>
      </c>
      <c r="C166" t="s">
        <v>8</v>
      </c>
      <c r="D166" t="s">
        <v>141</v>
      </c>
      <c r="E166" t="s">
        <v>142</v>
      </c>
      <c r="F166" t="s">
        <v>143</v>
      </c>
    </row>
    <row r="167" spans="1:6" x14ac:dyDescent="0.4">
      <c r="A167" t="s">
        <v>443</v>
      </c>
      <c r="B167" t="s">
        <v>7</v>
      </c>
      <c r="C167" t="s">
        <v>8</v>
      </c>
      <c r="D167" t="s">
        <v>444</v>
      </c>
      <c r="E167" t="s">
        <v>445</v>
      </c>
      <c r="F167" t="s">
        <v>446</v>
      </c>
    </row>
    <row r="168" spans="1:6" x14ac:dyDescent="0.4">
      <c r="A168" t="s">
        <v>719</v>
      </c>
      <c r="B168" t="s">
        <v>7</v>
      </c>
      <c r="C168" t="s">
        <v>8</v>
      </c>
      <c r="D168" t="s">
        <v>720</v>
      </c>
      <c r="E168" t="s">
        <v>721</v>
      </c>
      <c r="F168" t="s">
        <v>722</v>
      </c>
    </row>
    <row r="169" spans="1:6" x14ac:dyDescent="0.4">
      <c r="A169" t="s">
        <v>64</v>
      </c>
      <c r="B169" t="s">
        <v>7</v>
      </c>
      <c r="C169" t="s">
        <v>8</v>
      </c>
      <c r="D169" t="s">
        <v>65</v>
      </c>
      <c r="E169" t="s">
        <v>66</v>
      </c>
      <c r="F169" t="s">
        <v>67</v>
      </c>
    </row>
    <row r="170" spans="1:6" x14ac:dyDescent="0.4">
      <c r="A170" t="s">
        <v>136</v>
      </c>
      <c r="B170" t="s">
        <v>7</v>
      </c>
      <c r="C170" t="s">
        <v>8</v>
      </c>
      <c r="D170" t="s">
        <v>137</v>
      </c>
      <c r="E170" t="s">
        <v>138</v>
      </c>
      <c r="F170" t="s">
        <v>139</v>
      </c>
    </row>
    <row r="171" spans="1:6" x14ac:dyDescent="0.4">
      <c r="A171" t="s">
        <v>96</v>
      </c>
      <c r="B171" t="s">
        <v>7</v>
      </c>
      <c r="C171" t="s">
        <v>8</v>
      </c>
      <c r="D171" t="s">
        <v>97</v>
      </c>
      <c r="E171" t="s">
        <v>98</v>
      </c>
      <c r="F171" t="s">
        <v>99</v>
      </c>
    </row>
    <row r="172" spans="1:6" x14ac:dyDescent="0.4">
      <c r="A172" t="s">
        <v>216</v>
      </c>
      <c r="B172" t="s">
        <v>7</v>
      </c>
      <c r="C172" t="s">
        <v>8</v>
      </c>
      <c r="D172" t="s">
        <v>217</v>
      </c>
      <c r="E172" t="s">
        <v>218</v>
      </c>
      <c r="F172" t="s">
        <v>219</v>
      </c>
    </row>
    <row r="173" spans="1:6" x14ac:dyDescent="0.4">
      <c r="A173" t="s">
        <v>655</v>
      </c>
      <c r="B173" t="s">
        <v>7</v>
      </c>
      <c r="C173" t="s">
        <v>8</v>
      </c>
      <c r="D173" t="s">
        <v>656</v>
      </c>
      <c r="E173" t="s">
        <v>657</v>
      </c>
      <c r="F173" t="s">
        <v>658</v>
      </c>
    </row>
    <row r="174" spans="1:6" x14ac:dyDescent="0.4">
      <c r="A174" t="s">
        <v>347</v>
      </c>
      <c r="B174" t="s">
        <v>7</v>
      </c>
      <c r="C174" t="s">
        <v>8</v>
      </c>
      <c r="D174" t="s">
        <v>348</v>
      </c>
      <c r="E174" t="s">
        <v>349</v>
      </c>
      <c r="F174" t="s">
        <v>350</v>
      </c>
    </row>
    <row r="175" spans="1:6" x14ac:dyDescent="0.4">
      <c r="A175" t="s">
        <v>411</v>
      </c>
      <c r="B175" t="s">
        <v>7</v>
      </c>
      <c r="C175" t="s">
        <v>8</v>
      </c>
      <c r="D175" t="s">
        <v>412</v>
      </c>
      <c r="E175" t="s">
        <v>413</v>
      </c>
      <c r="F175" t="s">
        <v>414</v>
      </c>
    </row>
    <row r="176" spans="1:6" x14ac:dyDescent="0.4">
      <c r="A176" t="s">
        <v>232</v>
      </c>
      <c r="B176" t="s">
        <v>7</v>
      </c>
      <c r="C176" t="s">
        <v>8</v>
      </c>
      <c r="D176" t="s">
        <v>233</v>
      </c>
      <c r="E176" t="s">
        <v>234</v>
      </c>
      <c r="F176" t="s">
        <v>235</v>
      </c>
    </row>
    <row r="177" spans="1:6" x14ac:dyDescent="0.4">
      <c r="A177" t="s">
        <v>723</v>
      </c>
      <c r="B177" t="s">
        <v>7</v>
      </c>
      <c r="C177" t="s">
        <v>8</v>
      </c>
      <c r="D177" t="s">
        <v>724</v>
      </c>
      <c r="E177" t="s">
        <v>725</v>
      </c>
      <c r="F177" t="s">
        <v>726</v>
      </c>
    </row>
    <row r="178" spans="1:6" x14ac:dyDescent="0.4">
      <c r="A178" t="s">
        <v>343</v>
      </c>
      <c r="B178" t="s">
        <v>7</v>
      </c>
      <c r="C178" t="s">
        <v>8</v>
      </c>
      <c r="D178" t="s">
        <v>344</v>
      </c>
      <c r="E178" t="s">
        <v>345</v>
      </c>
      <c r="F178" t="s">
        <v>346</v>
      </c>
    </row>
    <row r="179" spans="1:6" x14ac:dyDescent="0.4">
      <c r="A179" t="s">
        <v>790</v>
      </c>
      <c r="B179" t="s">
        <v>7</v>
      </c>
      <c r="C179" t="s">
        <v>8</v>
      </c>
      <c r="D179" t="s">
        <v>791</v>
      </c>
      <c r="E179" t="s">
        <v>792</v>
      </c>
      <c r="F179" t="s">
        <v>793</v>
      </c>
    </row>
    <row r="180" spans="1:6" x14ac:dyDescent="0.4">
      <c r="A180" t="s">
        <v>188</v>
      </c>
      <c r="B180" t="s">
        <v>7</v>
      </c>
      <c r="C180" t="s">
        <v>8</v>
      </c>
      <c r="D180" t="s">
        <v>189</v>
      </c>
      <c r="E180" t="s">
        <v>190</v>
      </c>
      <c r="F180" t="s">
        <v>191</v>
      </c>
    </row>
    <row r="181" spans="1:6" x14ac:dyDescent="0.4">
      <c r="A181" t="s">
        <v>715</v>
      </c>
      <c r="B181" t="s">
        <v>7</v>
      </c>
      <c r="C181" t="s">
        <v>8</v>
      </c>
      <c r="D181" t="s">
        <v>716</v>
      </c>
      <c r="E181" t="s">
        <v>717</v>
      </c>
      <c r="F181" t="s">
        <v>718</v>
      </c>
    </row>
    <row r="182" spans="1:6" x14ac:dyDescent="0.4">
      <c r="A182" t="s">
        <v>263</v>
      </c>
      <c r="B182" t="s">
        <v>7</v>
      </c>
      <c r="C182" t="s">
        <v>8</v>
      </c>
      <c r="D182" t="s">
        <v>264</v>
      </c>
      <c r="E182" t="s">
        <v>265</v>
      </c>
      <c r="F182" t="s">
        <v>266</v>
      </c>
    </row>
    <row r="183" spans="1:6" x14ac:dyDescent="0.4">
      <c r="A183" t="s">
        <v>471</v>
      </c>
      <c r="B183" t="s">
        <v>7</v>
      </c>
      <c r="C183" t="s">
        <v>8</v>
      </c>
      <c r="D183" t="s">
        <v>472</v>
      </c>
      <c r="E183" t="s">
        <v>473</v>
      </c>
      <c r="F183" t="s">
        <v>474</v>
      </c>
    </row>
    <row r="184" spans="1:6" x14ac:dyDescent="0.4">
      <c r="A184" t="s">
        <v>196</v>
      </c>
      <c r="B184" t="s">
        <v>7</v>
      </c>
      <c r="C184" t="s">
        <v>8</v>
      </c>
      <c r="D184" t="s">
        <v>197</v>
      </c>
      <c r="E184" t="s">
        <v>198</v>
      </c>
      <c r="F184" t="s">
        <v>199</v>
      </c>
    </row>
    <row r="185" spans="1:6" x14ac:dyDescent="0.4">
      <c r="A185" t="s">
        <v>192</v>
      </c>
      <c r="B185" t="s">
        <v>7</v>
      </c>
      <c r="C185" t="s">
        <v>8</v>
      </c>
      <c r="D185" t="s">
        <v>193</v>
      </c>
      <c r="E185" t="s">
        <v>194</v>
      </c>
      <c r="F185" t="s">
        <v>195</v>
      </c>
    </row>
    <row r="186" spans="1:6" x14ac:dyDescent="0.4">
      <c r="A186" t="s">
        <v>651</v>
      </c>
      <c r="B186" t="s">
        <v>7</v>
      </c>
      <c r="C186" t="s">
        <v>8</v>
      </c>
      <c r="D186" t="s">
        <v>652</v>
      </c>
      <c r="E186" t="s">
        <v>653</v>
      </c>
      <c r="F186" t="s">
        <v>654</v>
      </c>
    </row>
    <row r="187" spans="1:6" x14ac:dyDescent="0.4">
      <c r="A187" t="s">
        <v>691</v>
      </c>
      <c r="B187" t="s">
        <v>7</v>
      </c>
      <c r="C187" t="s">
        <v>8</v>
      </c>
      <c r="D187" t="s">
        <v>692</v>
      </c>
      <c r="E187" t="s">
        <v>693</v>
      </c>
      <c r="F187" t="s">
        <v>694</v>
      </c>
    </row>
    <row r="188" spans="1:6" x14ac:dyDescent="0.4">
      <c r="A188" t="s">
        <v>259</v>
      </c>
      <c r="B188" t="s">
        <v>7</v>
      </c>
      <c r="C188" t="s">
        <v>8</v>
      </c>
      <c r="D188" t="s">
        <v>260</v>
      </c>
      <c r="E188" t="s">
        <v>261</v>
      </c>
      <c r="F188" t="s">
        <v>262</v>
      </c>
    </row>
    <row r="189" spans="1:6" x14ac:dyDescent="0.4">
      <c r="A189" t="s">
        <v>407</v>
      </c>
      <c r="B189" t="s">
        <v>7</v>
      </c>
      <c r="C189" t="s">
        <v>8</v>
      </c>
      <c r="D189" t="s">
        <v>408</v>
      </c>
      <c r="E189" t="s">
        <v>409</v>
      </c>
      <c r="F189" t="s">
        <v>410</v>
      </c>
    </row>
    <row r="190" spans="1:6" x14ac:dyDescent="0.4">
      <c r="A190" t="s">
        <v>212</v>
      </c>
      <c r="B190" t="s">
        <v>7</v>
      </c>
      <c r="C190" t="s">
        <v>8</v>
      </c>
      <c r="D190" t="s">
        <v>213</v>
      </c>
      <c r="E190" t="s">
        <v>214</v>
      </c>
      <c r="F190" t="s">
        <v>215</v>
      </c>
    </row>
    <row r="191" spans="1:6" x14ac:dyDescent="0.4">
      <c r="A191" t="s">
        <v>208</v>
      </c>
      <c r="B191" t="s">
        <v>7</v>
      </c>
      <c r="C191" t="s">
        <v>8</v>
      </c>
      <c r="D191" t="s">
        <v>209</v>
      </c>
      <c r="E191" t="s">
        <v>210</v>
      </c>
      <c r="F191" t="s">
        <v>211</v>
      </c>
    </row>
    <row r="192" spans="1:6" x14ac:dyDescent="0.4">
      <c r="A192" t="s">
        <v>375</v>
      </c>
      <c r="B192" t="s">
        <v>7</v>
      </c>
      <c r="C192" t="s">
        <v>8</v>
      </c>
      <c r="D192" t="s">
        <v>376</v>
      </c>
      <c r="E192" t="s">
        <v>377</v>
      </c>
      <c r="F192" t="s">
        <v>378</v>
      </c>
    </row>
    <row r="193" spans="1:6" x14ac:dyDescent="0.4">
      <c r="A193" t="s">
        <v>12</v>
      </c>
      <c r="B193" t="s">
        <v>7</v>
      </c>
      <c r="C193" t="s">
        <v>8</v>
      </c>
      <c r="D193" t="s">
        <v>13</v>
      </c>
      <c r="E193" t="s">
        <v>14</v>
      </c>
      <c r="F193" t="s">
        <v>15</v>
      </c>
    </row>
    <row r="194" spans="1:6" x14ac:dyDescent="0.4">
      <c r="A194" t="s">
        <v>184</v>
      </c>
      <c r="B194" t="s">
        <v>7</v>
      </c>
      <c r="C194" t="s">
        <v>8</v>
      </c>
      <c r="D194" t="s">
        <v>185</v>
      </c>
      <c r="E194" t="s">
        <v>186</v>
      </c>
      <c r="F194" t="s">
        <v>187</v>
      </c>
    </row>
    <row r="195" spans="1:6" x14ac:dyDescent="0.4">
      <c r="A195" t="s">
        <v>687</v>
      </c>
      <c r="B195" t="s">
        <v>7</v>
      </c>
      <c r="C195" t="s">
        <v>8</v>
      </c>
      <c r="D195" t="s">
        <v>688</v>
      </c>
      <c r="E195" t="s">
        <v>689</v>
      </c>
      <c r="F195" t="s">
        <v>690</v>
      </c>
    </row>
    <row r="196" spans="1:6" x14ac:dyDescent="0.4">
      <c r="A196" t="s">
        <v>6</v>
      </c>
      <c r="B196" t="s">
        <v>7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4">
      <c r="A197" t="s">
        <v>160</v>
      </c>
      <c r="B197" t="s">
        <v>7</v>
      </c>
      <c r="C197" t="s">
        <v>8</v>
      </c>
      <c r="D197" t="s">
        <v>161</v>
      </c>
      <c r="E197" t="s">
        <v>162</v>
      </c>
      <c r="F197" t="s">
        <v>163</v>
      </c>
    </row>
    <row r="198" spans="1:6" x14ac:dyDescent="0.4">
      <c r="A198" t="s">
        <v>16</v>
      </c>
      <c r="B198" t="s">
        <v>7</v>
      </c>
      <c r="C198" t="s">
        <v>8</v>
      </c>
      <c r="D198" t="s">
        <v>17</v>
      </c>
      <c r="E198" t="s">
        <v>18</v>
      </c>
      <c r="F198" t="s">
        <v>19</v>
      </c>
    </row>
    <row r="199" spans="1:6" x14ac:dyDescent="0.4">
      <c r="A199" t="s">
        <v>499</v>
      </c>
      <c r="B199" t="s">
        <v>7</v>
      </c>
      <c r="C199" t="s">
        <v>8</v>
      </c>
      <c r="D199" t="s">
        <v>500</v>
      </c>
      <c r="E199" t="s">
        <v>501</v>
      </c>
      <c r="F199" t="s">
        <v>502</v>
      </c>
    </row>
    <row r="200" spans="1:6" x14ac:dyDescent="0.4">
      <c r="A200" t="s">
        <v>543</v>
      </c>
      <c r="B200" t="s">
        <v>7</v>
      </c>
      <c r="C200" t="s">
        <v>8</v>
      </c>
      <c r="D200" t="s">
        <v>544</v>
      </c>
      <c r="E200" t="s">
        <v>545</v>
      </c>
      <c r="F200" t="s">
        <v>546</v>
      </c>
    </row>
    <row r="201" spans="1:6" x14ac:dyDescent="0.4">
      <c r="A201" t="s">
        <v>495</v>
      </c>
      <c r="B201" t="s">
        <v>7</v>
      </c>
      <c r="C201" t="s">
        <v>8</v>
      </c>
      <c r="D201" t="s">
        <v>496</v>
      </c>
      <c r="E201" t="s">
        <v>497</v>
      </c>
      <c r="F201" t="s">
        <v>498</v>
      </c>
    </row>
    <row r="202" spans="1:6" x14ac:dyDescent="0.4">
      <c r="A202" t="s">
        <v>371</v>
      </c>
      <c r="B202" t="s">
        <v>7</v>
      </c>
      <c r="C202" t="s">
        <v>8</v>
      </c>
      <c r="D202" t="s">
        <v>372</v>
      </c>
      <c r="E202" t="s">
        <v>373</v>
      </c>
      <c r="F202" t="s">
        <v>374</v>
      </c>
    </row>
    <row r="203" spans="1:6" x14ac:dyDescent="0.4">
      <c r="A203" t="s">
        <v>787</v>
      </c>
      <c r="B203" t="s">
        <v>7</v>
      </c>
      <c r="C203" t="s">
        <v>8</v>
      </c>
      <c r="D203" t="s">
        <v>372</v>
      </c>
      <c r="E203" t="s">
        <v>788</v>
      </c>
      <c r="F203" t="s">
        <v>789</v>
      </c>
    </row>
  </sheetData>
  <autoFilter ref="A1:F1" xr:uid="{00000000-0001-0000-0000-000000000000}">
    <sortState xmlns:xlrd2="http://schemas.microsoft.com/office/spreadsheetml/2017/richdata2" ref="A2:F203">
      <sortCondition ref="D1:D20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BE4E-3D59-A344-AE81-6D1298E11A47}">
  <dimension ref="A1:Q203"/>
  <sheetViews>
    <sheetView zoomScale="75" workbookViewId="0">
      <selection activeCell="F4" sqref="F4"/>
    </sheetView>
  </sheetViews>
  <sheetFormatPr baseColWidth="10" defaultRowHeight="16" x14ac:dyDescent="0.4"/>
  <cols>
    <col min="2" max="2" width="14.83203125" bestFit="1" customWidth="1"/>
    <col min="3" max="3" width="48.5" bestFit="1" customWidth="1"/>
    <col min="4" max="4" width="95.1640625" bestFit="1" customWidth="1"/>
    <col min="5" max="5" width="28.83203125" bestFit="1" customWidth="1"/>
    <col min="7" max="7" width="30.83203125" bestFit="1" customWidth="1"/>
    <col min="8" max="8" width="30.83203125" customWidth="1"/>
    <col min="11" max="12" width="14" bestFit="1" customWidth="1"/>
    <col min="13" max="14" width="20.6640625" bestFit="1" customWidth="1"/>
  </cols>
  <sheetData>
    <row r="1" spans="1:17" x14ac:dyDescent="0.4">
      <c r="A1" t="s">
        <v>814</v>
      </c>
      <c r="B1" t="s">
        <v>3</v>
      </c>
      <c r="C1" t="s">
        <v>4</v>
      </c>
      <c r="D1" t="s">
        <v>5</v>
      </c>
      <c r="E1" s="2" t="s">
        <v>815</v>
      </c>
      <c r="F1" t="s">
        <v>816</v>
      </c>
      <c r="G1" t="s">
        <v>817</v>
      </c>
      <c r="H1" t="s">
        <v>827</v>
      </c>
      <c r="I1" t="s">
        <v>818</v>
      </c>
      <c r="J1" t="s">
        <v>819</v>
      </c>
      <c r="K1" t="s">
        <v>820</v>
      </c>
      <c r="L1" t="s">
        <v>821</v>
      </c>
      <c r="M1" t="s">
        <v>822</v>
      </c>
      <c r="N1" t="s">
        <v>823</v>
      </c>
      <c r="O1" t="s">
        <v>824</v>
      </c>
      <c r="P1" t="s">
        <v>825</v>
      </c>
      <c r="Q1" t="s">
        <v>826</v>
      </c>
    </row>
    <row r="2" spans="1:17" x14ac:dyDescent="0.4">
      <c r="A2" s="1"/>
      <c r="B2" t="s">
        <v>404</v>
      </c>
      <c r="C2" t="s">
        <v>405</v>
      </c>
      <c r="D2" t="s">
        <v>406</v>
      </c>
      <c r="E2">
        <v>-9206</v>
      </c>
      <c r="F2" s="3">
        <v>23206</v>
      </c>
      <c r="G2" s="3">
        <v>4986</v>
      </c>
      <c r="H2" s="3">
        <f>F2-G2</f>
        <v>18220</v>
      </c>
      <c r="I2">
        <v>8234</v>
      </c>
      <c r="J2">
        <v>8210</v>
      </c>
      <c r="K2">
        <v>15888</v>
      </c>
      <c r="L2">
        <v>10902</v>
      </c>
      <c r="M2">
        <v>23612</v>
      </c>
      <c r="N2">
        <v>18626</v>
      </c>
      <c r="O2">
        <v>3252</v>
      </c>
      <c r="P2">
        <v>778</v>
      </c>
      <c r="Q2">
        <v>16968</v>
      </c>
    </row>
    <row r="3" spans="1:17" x14ac:dyDescent="0.4">
      <c r="A3" s="1"/>
      <c r="B3" t="s">
        <v>61</v>
      </c>
      <c r="C3" t="s">
        <v>62</v>
      </c>
      <c r="D3" t="s">
        <v>63</v>
      </c>
      <c r="E3">
        <v>-21804</v>
      </c>
      <c r="F3">
        <v>49197</v>
      </c>
      <c r="G3">
        <v>11670</v>
      </c>
      <c r="H3" s="3">
        <f t="shared" ref="H3:H10" si="0">F3-G3</f>
        <v>37527</v>
      </c>
      <c r="I3">
        <v>16322</v>
      </c>
      <c r="J3">
        <v>23010</v>
      </c>
      <c r="K3">
        <v>31093</v>
      </c>
      <c r="L3">
        <v>19423</v>
      </c>
      <c r="M3">
        <v>48947</v>
      </c>
      <c r="N3">
        <v>37277</v>
      </c>
      <c r="O3">
        <v>12441</v>
      </c>
      <c r="P3">
        <v>1075</v>
      </c>
      <c r="Q3">
        <v>29323</v>
      </c>
    </row>
    <row r="4" spans="1:17" x14ac:dyDescent="0.4">
      <c r="B4" t="s">
        <v>584</v>
      </c>
      <c r="C4" t="s">
        <v>585</v>
      </c>
      <c r="D4" t="s">
        <v>586</v>
      </c>
      <c r="E4">
        <v>-28877</v>
      </c>
      <c r="F4">
        <v>76906</v>
      </c>
      <c r="G4">
        <v>18628</v>
      </c>
      <c r="H4" s="3">
        <f t="shared" si="0"/>
        <v>58278</v>
      </c>
      <c r="I4">
        <v>29624</v>
      </c>
      <c r="J4">
        <v>35056</v>
      </c>
      <c r="K4">
        <v>52305</v>
      </c>
      <c r="L4">
        <v>33677</v>
      </c>
      <c r="M4">
        <v>77210</v>
      </c>
      <c r="N4">
        <v>58582</v>
      </c>
      <c r="O4">
        <v>16003</v>
      </c>
      <c r="P4">
        <v>9256</v>
      </c>
      <c r="Q4">
        <v>42218</v>
      </c>
    </row>
    <row r="5" spans="1:17" x14ac:dyDescent="0.4">
      <c r="B5" t="s">
        <v>648</v>
      </c>
      <c r="C5" t="s">
        <v>649</v>
      </c>
      <c r="D5" t="s">
        <v>650</v>
      </c>
      <c r="E5">
        <v>-56200</v>
      </c>
      <c r="F5">
        <v>123541</v>
      </c>
      <c r="G5">
        <v>28744</v>
      </c>
      <c r="H5" s="3">
        <f t="shared" si="0"/>
        <v>94797</v>
      </c>
      <c r="I5">
        <v>39705</v>
      </c>
      <c r="J5">
        <v>48896</v>
      </c>
      <c r="K5">
        <v>74540</v>
      </c>
      <c r="L5">
        <v>45796</v>
      </c>
      <c r="M5">
        <v>105658</v>
      </c>
      <c r="N5">
        <v>65602</v>
      </c>
      <c r="O5">
        <v>19133</v>
      </c>
      <c r="P5">
        <v>15846</v>
      </c>
      <c r="Q5">
        <v>57681</v>
      </c>
    </row>
    <row r="6" spans="1:17" x14ac:dyDescent="0.4">
      <c r="B6" t="s">
        <v>256</v>
      </c>
      <c r="C6" t="s">
        <v>257</v>
      </c>
      <c r="D6" t="s">
        <v>258</v>
      </c>
      <c r="E6">
        <v>-67900</v>
      </c>
      <c r="F6">
        <v>150188</v>
      </c>
      <c r="G6">
        <v>36888</v>
      </c>
      <c r="H6" s="3">
        <f t="shared" si="0"/>
        <v>113300</v>
      </c>
      <c r="I6">
        <v>49542</v>
      </c>
      <c r="J6">
        <v>63307</v>
      </c>
      <c r="K6">
        <v>95133</v>
      </c>
      <c r="L6">
        <v>58245</v>
      </c>
      <c r="M6">
        <v>133344</v>
      </c>
      <c r="N6">
        <v>96456</v>
      </c>
      <c r="O6">
        <v>28039</v>
      </c>
      <c r="P6">
        <v>16493</v>
      </c>
      <c r="Q6">
        <v>71610</v>
      </c>
    </row>
    <row r="7" spans="1:17" x14ac:dyDescent="0.4">
      <c r="B7" t="s">
        <v>252</v>
      </c>
      <c r="C7" t="s">
        <v>253</v>
      </c>
      <c r="D7" t="s">
        <v>254</v>
      </c>
      <c r="E7">
        <v>-61672</v>
      </c>
      <c r="F7">
        <v>182859</v>
      </c>
      <c r="G7">
        <v>45712</v>
      </c>
      <c r="H7" s="3">
        <f t="shared" si="0"/>
        <v>137147</v>
      </c>
      <c r="I7">
        <v>60137</v>
      </c>
      <c r="J7">
        <v>81576</v>
      </c>
      <c r="K7">
        <v>135513</v>
      </c>
      <c r="L7">
        <v>89801</v>
      </c>
      <c r="M7">
        <v>176459</v>
      </c>
      <c r="N7">
        <v>130747</v>
      </c>
      <c r="O7">
        <v>31398</v>
      </c>
      <c r="P7">
        <v>27908</v>
      </c>
      <c r="Q7">
        <v>84286</v>
      </c>
    </row>
    <row r="8" spans="1:17" x14ac:dyDescent="0.4">
      <c r="B8" t="s">
        <v>644</v>
      </c>
      <c r="C8" t="s">
        <v>645</v>
      </c>
      <c r="D8" t="s">
        <v>646</v>
      </c>
      <c r="E8">
        <v>-76463</v>
      </c>
      <c r="F8">
        <v>228642</v>
      </c>
      <c r="G8">
        <v>175849</v>
      </c>
      <c r="H8" s="3">
        <f t="shared" si="0"/>
        <v>52793</v>
      </c>
      <c r="I8">
        <v>69691</v>
      </c>
      <c r="J8">
        <v>97964</v>
      </c>
      <c r="K8">
        <v>152170</v>
      </c>
      <c r="L8">
        <v>99386</v>
      </c>
    </row>
    <row r="9" spans="1:17" x14ac:dyDescent="0.4">
      <c r="B9" t="s">
        <v>576</v>
      </c>
      <c r="C9" t="s">
        <v>577</v>
      </c>
      <c r="D9" t="s">
        <v>578</v>
      </c>
      <c r="E9">
        <f>L9-(F9-G9)</f>
        <v>-100596</v>
      </c>
      <c r="F9">
        <v>264892</v>
      </c>
      <c r="G9">
        <f>F9-201382</f>
        <v>63510</v>
      </c>
      <c r="H9" s="3">
        <f t="shared" si="0"/>
        <v>201382</v>
      </c>
      <c r="K9">
        <v>164296</v>
      </c>
      <c r="L9">
        <v>100786</v>
      </c>
      <c r="M9">
        <v>219121</v>
      </c>
    </row>
    <row r="10" spans="1:17" x14ac:dyDescent="0.4">
      <c r="B10" t="s">
        <v>492</v>
      </c>
      <c r="C10" t="s">
        <v>493</v>
      </c>
      <c r="D10" t="s">
        <v>494</v>
      </c>
      <c r="E10" s="3">
        <f>L10-H10</f>
        <v>-105750</v>
      </c>
      <c r="F10">
        <v>304273</v>
      </c>
      <c r="G10">
        <f>F10-232734</f>
        <v>71539</v>
      </c>
      <c r="H10" s="3">
        <f t="shared" si="0"/>
        <v>232734</v>
      </c>
      <c r="K10">
        <v>198523</v>
      </c>
      <c r="L10">
        <v>126984</v>
      </c>
      <c r="M10">
        <v>260412</v>
      </c>
    </row>
    <row r="11" spans="1:17" x14ac:dyDescent="0.4">
      <c r="B11" t="s">
        <v>368</v>
      </c>
      <c r="C11" t="s">
        <v>369</v>
      </c>
      <c r="D11" t="s">
        <v>370</v>
      </c>
      <c r="E11">
        <f>L11-H11</f>
        <v>-130709</v>
      </c>
      <c r="F11">
        <v>345780</v>
      </c>
      <c r="H11">
        <v>268285</v>
      </c>
      <c r="K11">
        <v>215071</v>
      </c>
      <c r="L11">
        <v>137576</v>
      </c>
      <c r="M11">
        <v>284383</v>
      </c>
    </row>
    <row r="12" spans="1:17" x14ac:dyDescent="0.4">
      <c r="B12" t="s">
        <v>33</v>
      </c>
      <c r="C12" t="s">
        <v>34</v>
      </c>
      <c r="D12" t="s">
        <v>35</v>
      </c>
      <c r="E12">
        <f t="shared" ref="E12:E75" si="1">L12-H12</f>
        <v>-141102</v>
      </c>
      <c r="F12">
        <v>371584</v>
      </c>
      <c r="H12">
        <v>288420</v>
      </c>
      <c r="K12">
        <v>230482</v>
      </c>
      <c r="L12">
        <v>147318</v>
      </c>
      <c r="M12">
        <v>306220</v>
      </c>
    </row>
    <row r="13" spans="1:17" x14ac:dyDescent="0.4">
      <c r="B13" t="s">
        <v>133</v>
      </c>
      <c r="C13" t="s">
        <v>134</v>
      </c>
      <c r="D13" t="s">
        <v>135</v>
      </c>
      <c r="E13">
        <f t="shared" si="1"/>
        <v>-147355</v>
      </c>
      <c r="F13">
        <v>408716</v>
      </c>
      <c r="H13">
        <v>319524</v>
      </c>
      <c r="K13">
        <v>261361</v>
      </c>
      <c r="L13">
        <v>172169</v>
      </c>
      <c r="M13">
        <v>343190</v>
      </c>
    </row>
    <row r="14" spans="1:17" x14ac:dyDescent="0.4">
      <c r="B14" t="s">
        <v>400</v>
      </c>
      <c r="C14" t="s">
        <v>401</v>
      </c>
      <c r="D14" t="s">
        <v>402</v>
      </c>
      <c r="E14">
        <f t="shared" si="1"/>
        <v>-5818</v>
      </c>
      <c r="F14">
        <v>24744</v>
      </c>
      <c r="H14">
        <v>20107</v>
      </c>
      <c r="K14">
        <v>18926</v>
      </c>
      <c r="L14">
        <v>14289</v>
      </c>
      <c r="M14">
        <v>24786</v>
      </c>
    </row>
    <row r="15" spans="1:17" x14ac:dyDescent="0.4">
      <c r="B15" t="s">
        <v>616</v>
      </c>
      <c r="C15" t="s">
        <v>617</v>
      </c>
      <c r="D15" t="s">
        <v>618</v>
      </c>
      <c r="E15">
        <f t="shared" si="1"/>
        <v>-16873</v>
      </c>
      <c r="F15">
        <v>52584</v>
      </c>
      <c r="H15">
        <v>41932</v>
      </c>
      <c r="K15">
        <v>35711</v>
      </c>
      <c r="L15">
        <v>25059</v>
      </c>
      <c r="M15">
        <v>49926</v>
      </c>
    </row>
    <row r="16" spans="1:17" x14ac:dyDescent="0.4">
      <c r="B16" t="s">
        <v>520</v>
      </c>
      <c r="C16" t="s">
        <v>521</v>
      </c>
      <c r="D16" t="s">
        <v>522</v>
      </c>
      <c r="E16">
        <f t="shared" si="1"/>
        <v>-17097</v>
      </c>
      <c r="F16">
        <v>78949</v>
      </c>
      <c r="H16">
        <v>61642</v>
      </c>
      <c r="K16">
        <v>61852</v>
      </c>
      <c r="L16">
        <v>44545</v>
      </c>
      <c r="M16">
        <v>81004</v>
      </c>
    </row>
    <row r="17" spans="2:13" x14ac:dyDescent="0.4">
      <c r="B17" t="s">
        <v>300</v>
      </c>
      <c r="C17" t="s">
        <v>301</v>
      </c>
      <c r="D17" t="s">
        <v>302</v>
      </c>
      <c r="E17">
        <f t="shared" si="1"/>
        <v>-39604</v>
      </c>
      <c r="F17">
        <v>126617</v>
      </c>
      <c r="H17">
        <v>102111</v>
      </c>
      <c r="K17">
        <v>87013</v>
      </c>
      <c r="L17">
        <v>62507</v>
      </c>
      <c r="M17">
        <v>110811</v>
      </c>
    </row>
    <row r="18" spans="2:13" x14ac:dyDescent="0.4">
      <c r="B18" t="s">
        <v>129</v>
      </c>
      <c r="C18" t="s">
        <v>130</v>
      </c>
      <c r="D18" t="s">
        <v>131</v>
      </c>
      <c r="E18">
        <f t="shared" si="1"/>
        <v>-43954</v>
      </c>
      <c r="F18">
        <v>156272</v>
      </c>
      <c r="H18">
        <v>120927</v>
      </c>
      <c r="K18">
        <v>112318</v>
      </c>
      <c r="L18">
        <v>76973</v>
      </c>
      <c r="M18">
        <v>138963</v>
      </c>
    </row>
    <row r="19" spans="2:13" x14ac:dyDescent="0.4">
      <c r="B19" t="s">
        <v>125</v>
      </c>
      <c r="C19" t="s">
        <v>126</v>
      </c>
      <c r="D19" t="s">
        <v>127</v>
      </c>
      <c r="E19">
        <f t="shared" si="1"/>
        <v>-39499</v>
      </c>
      <c r="F19">
        <v>182076</v>
      </c>
      <c r="H19">
        <v>141699</v>
      </c>
      <c r="K19">
        <v>142577</v>
      </c>
      <c r="L19">
        <v>102200</v>
      </c>
      <c r="M19">
        <v>172767</v>
      </c>
    </row>
    <row r="20" spans="2:13" x14ac:dyDescent="0.4">
      <c r="B20" t="s">
        <v>121</v>
      </c>
      <c r="C20" t="s">
        <v>122</v>
      </c>
      <c r="D20" t="s">
        <v>123</v>
      </c>
      <c r="E20">
        <f t="shared" si="1"/>
        <v>-59095</v>
      </c>
      <c r="F20">
        <v>222623</v>
      </c>
      <c r="H20">
        <v>176330</v>
      </c>
      <c r="K20">
        <v>163528</v>
      </c>
      <c r="L20">
        <v>117235</v>
      </c>
      <c r="M20">
        <v>196565</v>
      </c>
    </row>
    <row r="21" spans="2:13" x14ac:dyDescent="0.4">
      <c r="B21" t="s">
        <v>640</v>
      </c>
      <c r="C21" t="s">
        <v>641</v>
      </c>
      <c r="D21" t="s">
        <v>642</v>
      </c>
      <c r="E21">
        <f t="shared" si="1"/>
        <v>-70950</v>
      </c>
      <c r="F21">
        <v>250031</v>
      </c>
      <c r="H21">
        <v>193854</v>
      </c>
      <c r="K21">
        <v>179081</v>
      </c>
      <c r="L21">
        <v>122904</v>
      </c>
      <c r="M21">
        <v>215900</v>
      </c>
    </row>
    <row r="22" spans="2:13" x14ac:dyDescent="0.4">
      <c r="B22" t="s">
        <v>516</v>
      </c>
      <c r="C22" t="s">
        <v>517</v>
      </c>
      <c r="D22" t="s">
        <v>518</v>
      </c>
      <c r="E22">
        <f t="shared" si="1"/>
        <v>-62715</v>
      </c>
      <c r="F22">
        <v>278368</v>
      </c>
      <c r="H22">
        <v>214712</v>
      </c>
      <c r="K22">
        <v>215653</v>
      </c>
      <c r="L22">
        <v>151997</v>
      </c>
      <c r="M22">
        <v>257297</v>
      </c>
    </row>
    <row r="23" spans="2:13" x14ac:dyDescent="0.4">
      <c r="B23" t="s">
        <v>93</v>
      </c>
      <c r="C23" t="s">
        <v>94</v>
      </c>
      <c r="D23" t="s">
        <v>95</v>
      </c>
      <c r="E23">
        <f t="shared" si="1"/>
        <v>-81644</v>
      </c>
      <c r="F23">
        <v>318446</v>
      </c>
      <c r="H23">
        <v>249393</v>
      </c>
      <c r="K23">
        <v>236802</v>
      </c>
      <c r="L23">
        <v>167749</v>
      </c>
      <c r="M23">
        <v>293257</v>
      </c>
    </row>
    <row r="24" spans="2:13" x14ac:dyDescent="0.4">
      <c r="B24" t="s">
        <v>760</v>
      </c>
      <c r="C24" t="s">
        <v>761</v>
      </c>
      <c r="D24" t="s">
        <v>762</v>
      </c>
      <c r="E24">
        <f t="shared" si="1"/>
        <v>-88288</v>
      </c>
      <c r="F24">
        <v>342792</v>
      </c>
      <c r="H24">
        <v>267951</v>
      </c>
      <c r="K24">
        <v>254504</v>
      </c>
      <c r="L24">
        <v>179663</v>
      </c>
      <c r="M24">
        <v>304927</v>
      </c>
    </row>
    <row r="25" spans="2:13" x14ac:dyDescent="0.4">
      <c r="B25" t="s">
        <v>540</v>
      </c>
      <c r="C25" t="s">
        <v>541</v>
      </c>
      <c r="D25" t="s">
        <v>542</v>
      </c>
      <c r="E25">
        <f t="shared" si="1"/>
        <v>-88962</v>
      </c>
      <c r="F25">
        <v>374566</v>
      </c>
      <c r="H25">
        <v>290970</v>
      </c>
      <c r="K25">
        <v>285604</v>
      </c>
      <c r="L25">
        <v>202008</v>
      </c>
      <c r="M25">
        <v>339205</v>
      </c>
    </row>
    <row r="26" spans="2:13" x14ac:dyDescent="0.4">
      <c r="B26" t="s">
        <v>468</v>
      </c>
      <c r="C26" t="s">
        <v>469</v>
      </c>
      <c r="D26" t="s">
        <v>470</v>
      </c>
      <c r="E26">
        <f t="shared" si="1"/>
        <v>-19041</v>
      </c>
      <c r="H26">
        <v>68156</v>
      </c>
      <c r="L26">
        <v>49115</v>
      </c>
      <c r="M26">
        <v>65632</v>
      </c>
    </row>
    <row r="27" spans="2:13" x14ac:dyDescent="0.4">
      <c r="B27" t="s">
        <v>396</v>
      </c>
      <c r="C27" t="s">
        <v>397</v>
      </c>
      <c r="D27" t="s">
        <v>398</v>
      </c>
      <c r="E27">
        <f t="shared" si="1"/>
        <v>0</v>
      </c>
    </row>
    <row r="28" spans="2:13" x14ac:dyDescent="0.4">
      <c r="B28" t="s">
        <v>684</v>
      </c>
      <c r="C28" t="s">
        <v>685</v>
      </c>
      <c r="D28" t="s">
        <v>686</v>
      </c>
      <c r="E28">
        <f t="shared" si="1"/>
        <v>-42661</v>
      </c>
      <c r="H28">
        <v>109094</v>
      </c>
      <c r="L28">
        <v>66433</v>
      </c>
    </row>
    <row r="29" spans="2:13" x14ac:dyDescent="0.4">
      <c r="B29" t="s">
        <v>157</v>
      </c>
      <c r="C29" t="s">
        <v>158</v>
      </c>
      <c r="D29" t="s">
        <v>159</v>
      </c>
      <c r="E29">
        <f t="shared" si="1"/>
        <v>-18256</v>
      </c>
      <c r="H29">
        <v>49280</v>
      </c>
      <c r="L29">
        <v>31024</v>
      </c>
    </row>
    <row r="30" spans="2:13" x14ac:dyDescent="0.4">
      <c r="B30" t="s">
        <v>153</v>
      </c>
      <c r="C30" t="s">
        <v>154</v>
      </c>
      <c r="D30" t="s">
        <v>155</v>
      </c>
      <c r="E30">
        <f t="shared" si="1"/>
        <v>-48319</v>
      </c>
      <c r="H30">
        <v>126708</v>
      </c>
      <c r="L30">
        <v>78389</v>
      </c>
    </row>
    <row r="31" spans="2:13" x14ac:dyDescent="0.4">
      <c r="B31" t="s">
        <v>680</v>
      </c>
      <c r="C31" t="s">
        <v>681</v>
      </c>
      <c r="D31" t="s">
        <v>682</v>
      </c>
      <c r="E31">
        <f t="shared" si="1"/>
        <v>-39897</v>
      </c>
      <c r="H31">
        <v>146495</v>
      </c>
      <c r="L31">
        <v>106598</v>
      </c>
    </row>
    <row r="32" spans="2:13" x14ac:dyDescent="0.4">
      <c r="B32" t="s">
        <v>117</v>
      </c>
      <c r="C32" t="s">
        <v>118</v>
      </c>
      <c r="D32" t="s">
        <v>119</v>
      </c>
      <c r="E32">
        <f t="shared" si="1"/>
        <v>-63759</v>
      </c>
      <c r="H32">
        <v>181191</v>
      </c>
      <c r="L32">
        <v>117432</v>
      </c>
    </row>
    <row r="33" spans="2:12" x14ac:dyDescent="0.4">
      <c r="B33" t="s">
        <v>612</v>
      </c>
      <c r="C33" t="s">
        <v>613</v>
      </c>
      <c r="D33" t="s">
        <v>614</v>
      </c>
      <c r="E33">
        <f t="shared" si="1"/>
        <v>-9478</v>
      </c>
      <c r="H33">
        <v>26935</v>
      </c>
      <c r="L33">
        <v>17457</v>
      </c>
    </row>
    <row r="34" spans="2:12" x14ac:dyDescent="0.4">
      <c r="B34" t="s">
        <v>756</v>
      </c>
      <c r="C34" t="s">
        <v>757</v>
      </c>
      <c r="D34" t="s">
        <v>758</v>
      </c>
      <c r="E34">
        <f t="shared" si="1"/>
        <v>-70984</v>
      </c>
      <c r="H34">
        <v>197963</v>
      </c>
      <c r="L34">
        <v>126979</v>
      </c>
    </row>
    <row r="35" spans="2:12" x14ac:dyDescent="0.4">
      <c r="B35" t="s">
        <v>712</v>
      </c>
      <c r="C35" t="s">
        <v>713</v>
      </c>
      <c r="D35" t="s">
        <v>714</v>
      </c>
      <c r="E35">
        <f t="shared" si="1"/>
        <v>-61664</v>
      </c>
      <c r="H35">
        <v>217127</v>
      </c>
      <c r="L35">
        <v>155463</v>
      </c>
    </row>
    <row r="36" spans="2:12" x14ac:dyDescent="0.4">
      <c r="B36" t="s">
        <v>248</v>
      </c>
      <c r="C36" t="s">
        <v>249</v>
      </c>
      <c r="D36" t="s">
        <v>250</v>
      </c>
      <c r="E36">
        <f t="shared" si="1"/>
        <v>-89098</v>
      </c>
      <c r="H36">
        <v>258257</v>
      </c>
      <c r="L36">
        <v>169159</v>
      </c>
    </row>
    <row r="37" spans="2:12" x14ac:dyDescent="0.4">
      <c r="B37" t="s">
        <v>340</v>
      </c>
      <c r="C37" t="s">
        <v>341</v>
      </c>
      <c r="D37" t="s">
        <v>342</v>
      </c>
      <c r="E37">
        <f t="shared" si="1"/>
        <v>-96867</v>
      </c>
      <c r="H37">
        <v>278934</v>
      </c>
      <c r="L37">
        <v>182067</v>
      </c>
    </row>
    <row r="38" spans="2:12" x14ac:dyDescent="0.4">
      <c r="B38" t="s">
        <v>89</v>
      </c>
      <c r="C38" t="s">
        <v>90</v>
      </c>
      <c r="D38" t="s">
        <v>91</v>
      </c>
      <c r="E38">
        <f t="shared" si="1"/>
        <v>-20333</v>
      </c>
      <c r="H38">
        <v>49992</v>
      </c>
      <c r="L38">
        <v>29659</v>
      </c>
    </row>
    <row r="39" spans="2:12" x14ac:dyDescent="0.4">
      <c r="B39" t="s">
        <v>440</v>
      </c>
      <c r="C39" t="s">
        <v>441</v>
      </c>
      <c r="D39" t="s">
        <v>442</v>
      </c>
      <c r="E39">
        <f t="shared" si="1"/>
        <v>-10226</v>
      </c>
      <c r="H39">
        <v>25812</v>
      </c>
      <c r="L39">
        <v>15586</v>
      </c>
    </row>
    <row r="40" spans="2:12" x14ac:dyDescent="0.4">
      <c r="B40" t="s">
        <v>572</v>
      </c>
      <c r="C40" t="s">
        <v>573</v>
      </c>
      <c r="D40" t="s">
        <v>574</v>
      </c>
      <c r="E40">
        <f t="shared" si="1"/>
        <v>-20622</v>
      </c>
      <c r="H40">
        <v>70405</v>
      </c>
      <c r="L40">
        <v>49783</v>
      </c>
    </row>
    <row r="41" spans="2:12" x14ac:dyDescent="0.4">
      <c r="B41" t="s">
        <v>149</v>
      </c>
      <c r="C41" t="s">
        <v>150</v>
      </c>
      <c r="D41" t="s">
        <v>151</v>
      </c>
      <c r="E41">
        <f t="shared" si="1"/>
        <v>0</v>
      </c>
    </row>
    <row r="42" spans="2:12" x14ac:dyDescent="0.4">
      <c r="B42" t="s">
        <v>708</v>
      </c>
      <c r="C42" t="s">
        <v>709</v>
      </c>
      <c r="D42" t="s">
        <v>710</v>
      </c>
      <c r="E42">
        <f t="shared" si="1"/>
        <v>-49614</v>
      </c>
      <c r="H42">
        <v>115152</v>
      </c>
      <c r="L42">
        <v>65538</v>
      </c>
    </row>
    <row r="43" spans="2:12" x14ac:dyDescent="0.4">
      <c r="B43" t="s">
        <v>752</v>
      </c>
      <c r="C43" t="s">
        <v>753</v>
      </c>
      <c r="D43" t="s">
        <v>754</v>
      </c>
      <c r="E43">
        <f t="shared" si="1"/>
        <v>-51789</v>
      </c>
      <c r="H43">
        <v>134985</v>
      </c>
      <c r="L43">
        <v>83196</v>
      </c>
    </row>
    <row r="44" spans="2:12" x14ac:dyDescent="0.4">
      <c r="B44" t="s">
        <v>392</v>
      </c>
      <c r="C44" t="s">
        <v>393</v>
      </c>
      <c r="D44" t="s">
        <v>394</v>
      </c>
      <c r="E44">
        <f t="shared" si="1"/>
        <v>-43552</v>
      </c>
      <c r="H44">
        <v>155132</v>
      </c>
      <c r="L44">
        <v>111580</v>
      </c>
    </row>
    <row r="45" spans="2:12" x14ac:dyDescent="0.4">
      <c r="B45" t="s">
        <v>85</v>
      </c>
      <c r="C45" t="s">
        <v>86</v>
      </c>
      <c r="D45" t="s">
        <v>87</v>
      </c>
      <c r="E45">
        <f t="shared" si="1"/>
        <v>-59003</v>
      </c>
      <c r="H45">
        <v>187656</v>
      </c>
      <c r="L45">
        <v>128653</v>
      </c>
    </row>
    <row r="46" spans="2:12" x14ac:dyDescent="0.4">
      <c r="B46" t="s">
        <v>488</v>
      </c>
      <c r="C46" t="s">
        <v>489</v>
      </c>
      <c r="D46" t="s">
        <v>490</v>
      </c>
      <c r="E46">
        <f t="shared" si="1"/>
        <v>-66723</v>
      </c>
      <c r="H46">
        <v>203584</v>
      </c>
      <c r="L46">
        <v>136861</v>
      </c>
    </row>
    <row r="47" spans="2:12" x14ac:dyDescent="0.4">
      <c r="B47" t="s">
        <v>484</v>
      </c>
      <c r="C47" t="s">
        <v>485</v>
      </c>
      <c r="D47" t="s">
        <v>486</v>
      </c>
      <c r="E47">
        <f t="shared" si="1"/>
        <v>-56884</v>
      </c>
      <c r="H47">
        <v>222769</v>
      </c>
      <c r="L47">
        <v>165885</v>
      </c>
    </row>
    <row r="48" spans="2:12" x14ac:dyDescent="0.4">
      <c r="B48" t="s">
        <v>57</v>
      </c>
      <c r="C48" t="s">
        <v>58</v>
      </c>
      <c r="D48" t="s">
        <v>59</v>
      </c>
      <c r="E48">
        <f t="shared" si="1"/>
        <v>-88165</v>
      </c>
      <c r="H48">
        <v>299535</v>
      </c>
      <c r="L48">
        <v>211370</v>
      </c>
    </row>
    <row r="49" spans="2:12" x14ac:dyDescent="0.4">
      <c r="B49" t="s">
        <v>181</v>
      </c>
      <c r="C49" t="s">
        <v>182</v>
      </c>
      <c r="D49" t="s">
        <v>183</v>
      </c>
      <c r="E49">
        <f t="shared" si="1"/>
        <v>-81076</v>
      </c>
      <c r="H49">
        <v>259902</v>
      </c>
      <c r="L49">
        <v>178826</v>
      </c>
    </row>
    <row r="50" spans="2:12" x14ac:dyDescent="0.4">
      <c r="B50" t="s">
        <v>296</v>
      </c>
      <c r="C50" t="s">
        <v>297</v>
      </c>
      <c r="D50" t="s">
        <v>298</v>
      </c>
      <c r="E50">
        <f t="shared" si="1"/>
        <v>-85049</v>
      </c>
      <c r="H50">
        <v>278124</v>
      </c>
      <c r="L50">
        <v>193075</v>
      </c>
    </row>
    <row r="51" spans="2:12" x14ac:dyDescent="0.4">
      <c r="B51" t="s">
        <v>388</v>
      </c>
      <c r="C51" t="s">
        <v>389</v>
      </c>
      <c r="D51" t="s">
        <v>390</v>
      </c>
      <c r="E51">
        <f t="shared" si="1"/>
        <v>-75435</v>
      </c>
      <c r="H51">
        <v>298653</v>
      </c>
      <c r="L51">
        <v>223218</v>
      </c>
    </row>
    <row r="52" spans="2:12" x14ac:dyDescent="0.4">
      <c r="B52" t="s">
        <v>29</v>
      </c>
      <c r="C52" t="s">
        <v>30</v>
      </c>
      <c r="D52" t="s">
        <v>31</v>
      </c>
      <c r="E52">
        <f t="shared" si="1"/>
        <v>-9397</v>
      </c>
      <c r="H52">
        <v>27016</v>
      </c>
      <c r="L52">
        <v>17619</v>
      </c>
    </row>
    <row r="53" spans="2:12" x14ac:dyDescent="0.4">
      <c r="B53" t="s">
        <v>512</v>
      </c>
      <c r="C53" t="s">
        <v>513</v>
      </c>
      <c r="D53" t="s">
        <v>514</v>
      </c>
      <c r="E53">
        <f t="shared" si="1"/>
        <v>-17970</v>
      </c>
      <c r="H53">
        <v>50616</v>
      </c>
      <c r="L53">
        <v>32646</v>
      </c>
    </row>
    <row r="54" spans="2:12" x14ac:dyDescent="0.4">
      <c r="B54" t="s">
        <v>177</v>
      </c>
      <c r="C54" t="s">
        <v>178</v>
      </c>
      <c r="D54" t="s">
        <v>179</v>
      </c>
      <c r="E54">
        <f t="shared" si="1"/>
        <v>-14992</v>
      </c>
      <c r="H54">
        <v>69133</v>
      </c>
      <c r="L54">
        <v>54141</v>
      </c>
    </row>
    <row r="55" spans="2:12" x14ac:dyDescent="0.4">
      <c r="B55" t="s">
        <v>464</v>
      </c>
      <c r="C55" t="s">
        <v>465</v>
      </c>
      <c r="D55" t="s">
        <v>466</v>
      </c>
      <c r="E55">
        <f t="shared" si="1"/>
        <v>-45569</v>
      </c>
      <c r="H55">
        <v>113493</v>
      </c>
      <c r="L55">
        <v>67924</v>
      </c>
    </row>
    <row r="56" spans="2:12" x14ac:dyDescent="0.4">
      <c r="B56" t="s">
        <v>704</v>
      </c>
      <c r="C56" t="s">
        <v>705</v>
      </c>
      <c r="D56" t="s">
        <v>706</v>
      </c>
      <c r="E56">
        <f t="shared" si="1"/>
        <v>0</v>
      </c>
    </row>
    <row r="57" spans="2:12" x14ac:dyDescent="0.4">
      <c r="B57" t="s">
        <v>536</v>
      </c>
      <c r="C57" t="s">
        <v>537</v>
      </c>
      <c r="D57" t="s">
        <v>538</v>
      </c>
      <c r="E57">
        <f t="shared" si="1"/>
        <v>-42660</v>
      </c>
      <c r="H57">
        <v>134514</v>
      </c>
      <c r="L57">
        <v>91854</v>
      </c>
    </row>
    <row r="58" spans="2:12" x14ac:dyDescent="0.4">
      <c r="B58" t="s">
        <v>608</v>
      </c>
      <c r="C58" t="s">
        <v>609</v>
      </c>
      <c r="D58" t="s">
        <v>610</v>
      </c>
      <c r="E58">
        <f t="shared" si="1"/>
        <v>-42782</v>
      </c>
      <c r="H58">
        <v>153852</v>
      </c>
      <c r="L58">
        <v>111070</v>
      </c>
    </row>
    <row r="59" spans="2:12" x14ac:dyDescent="0.4">
      <c r="B59" t="s">
        <v>508</v>
      </c>
      <c r="C59" t="s">
        <v>509</v>
      </c>
      <c r="D59" t="s">
        <v>510</v>
      </c>
      <c r="E59">
        <f t="shared" si="1"/>
        <v>-63396</v>
      </c>
      <c r="H59">
        <v>186563</v>
      </c>
      <c r="L59">
        <v>123167</v>
      </c>
    </row>
    <row r="60" spans="2:12" x14ac:dyDescent="0.4">
      <c r="B60" t="s">
        <v>460</v>
      </c>
      <c r="C60" t="s">
        <v>461</v>
      </c>
      <c r="D60" t="s">
        <v>462</v>
      </c>
      <c r="E60">
        <f t="shared" si="1"/>
        <v>-67765</v>
      </c>
      <c r="H60">
        <v>201570</v>
      </c>
      <c r="L60">
        <v>133805</v>
      </c>
    </row>
    <row r="61" spans="2:12" x14ac:dyDescent="0.4">
      <c r="B61" t="s">
        <v>504</v>
      </c>
      <c r="C61" t="s">
        <v>505</v>
      </c>
      <c r="D61" t="s">
        <v>506</v>
      </c>
      <c r="E61">
        <f t="shared" si="1"/>
        <v>-57239</v>
      </c>
      <c r="H61">
        <v>220977</v>
      </c>
      <c r="L61">
        <v>163738</v>
      </c>
    </row>
    <row r="62" spans="2:12" x14ac:dyDescent="0.4">
      <c r="B62" t="s">
        <v>292</v>
      </c>
      <c r="C62" t="s">
        <v>293</v>
      </c>
      <c r="D62" t="s">
        <v>294</v>
      </c>
      <c r="E62">
        <f t="shared" si="1"/>
        <v>-80260</v>
      </c>
      <c r="H62">
        <v>255523</v>
      </c>
      <c r="L62">
        <v>175263</v>
      </c>
    </row>
    <row r="63" spans="2:12" x14ac:dyDescent="0.4">
      <c r="B63" t="s">
        <v>811</v>
      </c>
      <c r="C63" t="s">
        <v>812</v>
      </c>
      <c r="D63" t="s">
        <v>813</v>
      </c>
      <c r="E63">
        <f t="shared" si="1"/>
        <v>-86965</v>
      </c>
      <c r="H63">
        <v>273952</v>
      </c>
      <c r="L63">
        <v>186987</v>
      </c>
    </row>
    <row r="64" spans="2:12" x14ac:dyDescent="0.4">
      <c r="B64" t="s">
        <v>205</v>
      </c>
      <c r="C64" t="s">
        <v>206</v>
      </c>
      <c r="D64" t="s">
        <v>207</v>
      </c>
      <c r="E64">
        <f t="shared" si="1"/>
        <v>-85686</v>
      </c>
      <c r="H64">
        <v>302883</v>
      </c>
      <c r="L64">
        <v>217197</v>
      </c>
    </row>
    <row r="65" spans="2:12" x14ac:dyDescent="0.4">
      <c r="B65" t="s">
        <v>288</v>
      </c>
      <c r="C65" t="s">
        <v>289</v>
      </c>
      <c r="D65" t="s">
        <v>290</v>
      </c>
      <c r="E65">
        <f t="shared" si="1"/>
        <v>-6326</v>
      </c>
      <c r="H65">
        <v>25905</v>
      </c>
      <c r="L65">
        <v>19579</v>
      </c>
    </row>
    <row r="66" spans="2:12" x14ac:dyDescent="0.4">
      <c r="B66" t="s">
        <v>532</v>
      </c>
      <c r="C66" t="s">
        <v>533</v>
      </c>
      <c r="D66" t="s">
        <v>534</v>
      </c>
      <c r="E66">
        <f t="shared" si="1"/>
        <v>-16263</v>
      </c>
      <c r="H66">
        <v>50720</v>
      </c>
      <c r="L66">
        <v>34457</v>
      </c>
    </row>
    <row r="67" spans="2:12" x14ac:dyDescent="0.4">
      <c r="B67" t="s">
        <v>25</v>
      </c>
      <c r="C67" t="s">
        <v>26</v>
      </c>
      <c r="D67" t="s">
        <v>27</v>
      </c>
      <c r="E67">
        <f t="shared" si="1"/>
        <v>-14279</v>
      </c>
      <c r="H67">
        <v>69629</v>
      </c>
      <c r="L67">
        <v>55350</v>
      </c>
    </row>
    <row r="68" spans="2:12" x14ac:dyDescent="0.4">
      <c r="B68" t="s">
        <v>700</v>
      </c>
      <c r="C68" t="s">
        <v>701</v>
      </c>
      <c r="D68" t="s">
        <v>702</v>
      </c>
      <c r="E68">
        <f t="shared" si="1"/>
        <v>0</v>
      </c>
    </row>
    <row r="69" spans="2:12" x14ac:dyDescent="0.4">
      <c r="B69" t="s">
        <v>336</v>
      </c>
      <c r="C69" t="s">
        <v>337</v>
      </c>
      <c r="D69" t="s">
        <v>338</v>
      </c>
      <c r="E69">
        <f t="shared" si="1"/>
        <v>-41650</v>
      </c>
      <c r="H69">
        <v>110749</v>
      </c>
      <c r="L69">
        <v>69099</v>
      </c>
    </row>
    <row r="70" spans="2:12" x14ac:dyDescent="0.4">
      <c r="B70" t="s">
        <v>332</v>
      </c>
      <c r="C70" t="s">
        <v>333</v>
      </c>
      <c r="D70" t="s">
        <v>334</v>
      </c>
      <c r="E70">
        <f t="shared" si="1"/>
        <v>-42238</v>
      </c>
      <c r="H70">
        <v>134861</v>
      </c>
      <c r="L70">
        <v>92623</v>
      </c>
    </row>
    <row r="71" spans="2:12" x14ac:dyDescent="0.4">
      <c r="B71" t="s">
        <v>229</v>
      </c>
      <c r="C71" t="s">
        <v>230</v>
      </c>
      <c r="D71" t="s">
        <v>231</v>
      </c>
      <c r="E71">
        <f t="shared" si="1"/>
        <v>-41418</v>
      </c>
      <c r="H71">
        <v>155839</v>
      </c>
      <c r="L71">
        <v>114421</v>
      </c>
    </row>
    <row r="72" spans="2:12" x14ac:dyDescent="0.4">
      <c r="B72" t="s">
        <v>636</v>
      </c>
      <c r="C72" t="s">
        <v>637</v>
      </c>
      <c r="D72" t="s">
        <v>638</v>
      </c>
      <c r="E72">
        <f t="shared" si="1"/>
        <v>-56286</v>
      </c>
      <c r="H72">
        <v>185067</v>
      </c>
      <c r="L72">
        <v>128781</v>
      </c>
    </row>
    <row r="73" spans="2:12" x14ac:dyDescent="0.4">
      <c r="B73" t="s">
        <v>173</v>
      </c>
      <c r="C73" t="s">
        <v>174</v>
      </c>
      <c r="D73" t="s">
        <v>175</v>
      </c>
      <c r="E73">
        <f t="shared" si="1"/>
        <v>-60774</v>
      </c>
      <c r="H73">
        <v>200360</v>
      </c>
      <c r="L73">
        <v>139586</v>
      </c>
    </row>
    <row r="74" spans="2:12" x14ac:dyDescent="0.4">
      <c r="B74" t="s">
        <v>364</v>
      </c>
      <c r="C74" t="s">
        <v>365</v>
      </c>
      <c r="D74" t="s">
        <v>366</v>
      </c>
      <c r="E74">
        <f t="shared" si="1"/>
        <v>-48814</v>
      </c>
      <c r="H74">
        <v>221333</v>
      </c>
      <c r="L74">
        <v>172519</v>
      </c>
    </row>
    <row r="75" spans="2:12" x14ac:dyDescent="0.4">
      <c r="B75" t="s">
        <v>284</v>
      </c>
      <c r="C75" t="s">
        <v>285</v>
      </c>
      <c r="D75" t="s">
        <v>286</v>
      </c>
      <c r="E75">
        <f t="shared" si="1"/>
        <v>-71711</v>
      </c>
      <c r="H75">
        <v>255567</v>
      </c>
      <c r="L75">
        <v>183856</v>
      </c>
    </row>
    <row r="76" spans="2:12" x14ac:dyDescent="0.4">
      <c r="B76" t="s">
        <v>740</v>
      </c>
      <c r="C76" t="s">
        <v>741</v>
      </c>
      <c r="D76" t="s">
        <v>742</v>
      </c>
      <c r="E76">
        <f t="shared" ref="E76:E139" si="2">L76-H76</f>
        <v>-78284</v>
      </c>
      <c r="H76">
        <v>274026</v>
      </c>
      <c r="L76">
        <v>195742</v>
      </c>
    </row>
    <row r="77" spans="2:12" x14ac:dyDescent="0.4">
      <c r="B77" t="s">
        <v>632</v>
      </c>
      <c r="C77" t="s">
        <v>633</v>
      </c>
      <c r="D77" t="s">
        <v>634</v>
      </c>
      <c r="E77">
        <f t="shared" si="2"/>
        <v>-72149</v>
      </c>
      <c r="H77">
        <v>301575</v>
      </c>
      <c r="L77">
        <v>229426</v>
      </c>
    </row>
    <row r="78" spans="2:12" x14ac:dyDescent="0.4">
      <c r="B78" t="s">
        <v>568</v>
      </c>
      <c r="C78" t="s">
        <v>569</v>
      </c>
      <c r="D78" t="s">
        <v>570</v>
      </c>
      <c r="E78">
        <f t="shared" si="2"/>
        <v>-5163</v>
      </c>
      <c r="H78">
        <v>28246</v>
      </c>
      <c r="L78">
        <v>23083</v>
      </c>
    </row>
    <row r="79" spans="2:12" x14ac:dyDescent="0.4">
      <c r="B79" t="s">
        <v>328</v>
      </c>
      <c r="C79" t="s">
        <v>329</v>
      </c>
      <c r="D79" t="s">
        <v>330</v>
      </c>
      <c r="E79">
        <f t="shared" si="2"/>
        <v>-9010</v>
      </c>
      <c r="H79">
        <v>70273</v>
      </c>
      <c r="L79">
        <v>61263</v>
      </c>
    </row>
    <row r="80" spans="2:12" x14ac:dyDescent="0.4">
      <c r="B80" t="s">
        <v>748</v>
      </c>
      <c r="C80" t="s">
        <v>749</v>
      </c>
      <c r="D80" t="s">
        <v>750</v>
      </c>
      <c r="E80">
        <f t="shared" si="2"/>
        <v>0</v>
      </c>
    </row>
    <row r="81" spans="2:12" x14ac:dyDescent="0.4">
      <c r="B81" t="s">
        <v>528</v>
      </c>
      <c r="C81" t="s">
        <v>529</v>
      </c>
      <c r="D81" t="s">
        <v>530</v>
      </c>
      <c r="E81">
        <f t="shared" si="2"/>
        <v>-32816</v>
      </c>
      <c r="H81">
        <v>111704</v>
      </c>
      <c r="L81">
        <v>78888</v>
      </c>
    </row>
    <row r="82" spans="2:12" x14ac:dyDescent="0.4">
      <c r="B82" t="s">
        <v>628</v>
      </c>
      <c r="C82" t="s">
        <v>629</v>
      </c>
      <c r="D82" t="s">
        <v>630</v>
      </c>
      <c r="E82">
        <f t="shared" si="2"/>
        <v>-38933</v>
      </c>
      <c r="H82">
        <v>137601</v>
      </c>
      <c r="L82">
        <v>98668</v>
      </c>
    </row>
    <row r="83" spans="2:12" x14ac:dyDescent="0.4">
      <c r="B83" t="s">
        <v>736</v>
      </c>
      <c r="C83" t="s">
        <v>737</v>
      </c>
      <c r="D83" t="s">
        <v>738</v>
      </c>
      <c r="E83">
        <f t="shared" si="2"/>
        <v>-38793</v>
      </c>
      <c r="H83">
        <v>161642</v>
      </c>
      <c r="L83">
        <v>122849</v>
      </c>
    </row>
    <row r="84" spans="2:12" x14ac:dyDescent="0.4">
      <c r="B84" t="s">
        <v>676</v>
      </c>
      <c r="C84" t="s">
        <v>677</v>
      </c>
      <c r="D84" t="s">
        <v>678</v>
      </c>
      <c r="E84">
        <f t="shared" si="2"/>
        <v>-12150</v>
      </c>
      <c r="H84">
        <v>50101</v>
      </c>
      <c r="L84">
        <v>37951</v>
      </c>
    </row>
    <row r="85" spans="2:12" x14ac:dyDescent="0.4">
      <c r="B85" t="s">
        <v>672</v>
      </c>
      <c r="C85" t="s">
        <v>673</v>
      </c>
      <c r="D85" t="s">
        <v>674</v>
      </c>
      <c r="E85">
        <f t="shared" si="2"/>
        <v>-50737</v>
      </c>
      <c r="H85">
        <v>190140</v>
      </c>
      <c r="L85">
        <v>139403</v>
      </c>
    </row>
    <row r="86" spans="2:12" x14ac:dyDescent="0.4">
      <c r="B86" t="s">
        <v>564</v>
      </c>
      <c r="C86" t="s">
        <v>565</v>
      </c>
      <c r="D86" t="s">
        <v>566</v>
      </c>
      <c r="E86">
        <f t="shared" si="2"/>
        <v>-59839</v>
      </c>
      <c r="H86">
        <v>209406</v>
      </c>
      <c r="L86">
        <v>149567</v>
      </c>
    </row>
    <row r="87" spans="2:12" x14ac:dyDescent="0.4">
      <c r="B87" t="s">
        <v>324</v>
      </c>
      <c r="C87" t="s">
        <v>325</v>
      </c>
      <c r="D87" t="s">
        <v>326</v>
      </c>
      <c r="E87">
        <f t="shared" si="2"/>
        <v>-48342</v>
      </c>
      <c r="H87">
        <v>228730</v>
      </c>
      <c r="L87">
        <v>180388</v>
      </c>
    </row>
    <row r="88" spans="2:12" x14ac:dyDescent="0.4">
      <c r="B88" t="s">
        <v>436</v>
      </c>
      <c r="C88" t="s">
        <v>437</v>
      </c>
      <c r="D88" t="s">
        <v>438</v>
      </c>
      <c r="E88">
        <f t="shared" si="2"/>
        <v>-66560</v>
      </c>
      <c r="H88">
        <v>264395</v>
      </c>
      <c r="L88">
        <v>197835</v>
      </c>
    </row>
    <row r="89" spans="2:12" x14ac:dyDescent="0.4">
      <c r="B89" t="s">
        <v>360</v>
      </c>
      <c r="C89" t="s">
        <v>361</v>
      </c>
      <c r="D89" t="s">
        <v>362</v>
      </c>
      <c r="E89">
        <f t="shared" si="2"/>
        <v>-79993</v>
      </c>
      <c r="H89">
        <v>285017</v>
      </c>
      <c r="L89">
        <v>205024</v>
      </c>
    </row>
    <row r="90" spans="2:12" x14ac:dyDescent="0.4">
      <c r="B90" t="s">
        <v>604</v>
      </c>
      <c r="C90" t="s">
        <v>605</v>
      </c>
      <c r="D90" t="s">
        <v>606</v>
      </c>
      <c r="E90">
        <f t="shared" si="2"/>
        <v>-7965</v>
      </c>
      <c r="H90">
        <v>28899</v>
      </c>
      <c r="L90">
        <v>20934</v>
      </c>
    </row>
    <row r="91" spans="2:12" x14ac:dyDescent="0.4">
      <c r="B91" t="s">
        <v>280</v>
      </c>
      <c r="C91" t="s">
        <v>281</v>
      </c>
      <c r="D91" t="s">
        <v>282</v>
      </c>
      <c r="E91">
        <f t="shared" si="2"/>
        <v>-11988</v>
      </c>
      <c r="H91">
        <v>53336</v>
      </c>
      <c r="L91">
        <v>41348</v>
      </c>
    </row>
    <row r="92" spans="2:12" x14ac:dyDescent="0.4">
      <c r="B92" t="s">
        <v>600</v>
      </c>
      <c r="C92" t="s">
        <v>601</v>
      </c>
      <c r="D92" t="s">
        <v>602</v>
      </c>
      <c r="E92">
        <f t="shared" si="2"/>
        <v>-10115</v>
      </c>
      <c r="H92">
        <v>74733</v>
      </c>
      <c r="L92">
        <v>64618</v>
      </c>
    </row>
    <row r="93" spans="2:12" x14ac:dyDescent="0.4">
      <c r="B93" t="s">
        <v>384</v>
      </c>
      <c r="C93" t="s">
        <v>385</v>
      </c>
      <c r="D93" t="s">
        <v>386</v>
      </c>
      <c r="E93">
        <f t="shared" si="2"/>
        <v>-75851</v>
      </c>
      <c r="H93">
        <v>314361</v>
      </c>
      <c r="L93">
        <v>238510</v>
      </c>
    </row>
    <row r="94" spans="2:12" x14ac:dyDescent="0.4">
      <c r="B94" t="s">
        <v>53</v>
      </c>
      <c r="C94" t="s">
        <v>54</v>
      </c>
      <c r="D94" t="s">
        <v>55</v>
      </c>
      <c r="E94">
        <f t="shared" si="2"/>
        <v>-34259</v>
      </c>
      <c r="H94">
        <v>116205</v>
      </c>
      <c r="L94">
        <v>81946</v>
      </c>
    </row>
    <row r="95" spans="2:12" x14ac:dyDescent="0.4">
      <c r="B95" t="s">
        <v>560</v>
      </c>
      <c r="C95" t="s">
        <v>561</v>
      </c>
      <c r="D95" t="s">
        <v>562</v>
      </c>
      <c r="E95">
        <f t="shared" si="2"/>
        <v>-39479</v>
      </c>
      <c r="H95">
        <v>142555</v>
      </c>
      <c r="L95">
        <v>103076</v>
      </c>
    </row>
    <row r="96" spans="2:12" x14ac:dyDescent="0.4">
      <c r="B96" t="s">
        <v>81</v>
      </c>
      <c r="C96" t="s">
        <v>82</v>
      </c>
      <c r="D96" t="s">
        <v>83</v>
      </c>
      <c r="E96">
        <f t="shared" si="2"/>
        <v>-41349</v>
      </c>
      <c r="H96">
        <v>171951</v>
      </c>
      <c r="L96">
        <v>130602</v>
      </c>
    </row>
    <row r="97" spans="2:12" x14ac:dyDescent="0.4">
      <c r="B97" t="s">
        <v>432</v>
      </c>
      <c r="C97" t="s">
        <v>433</v>
      </c>
      <c r="D97" t="s">
        <v>434</v>
      </c>
      <c r="E97">
        <f t="shared" si="2"/>
        <v>-55171</v>
      </c>
      <c r="H97">
        <v>200695</v>
      </c>
      <c r="L97">
        <v>145524</v>
      </c>
    </row>
    <row r="98" spans="2:12" x14ac:dyDescent="0.4">
      <c r="B98" t="s">
        <v>456</v>
      </c>
      <c r="C98" t="s">
        <v>457</v>
      </c>
      <c r="D98" t="s">
        <v>458</v>
      </c>
      <c r="E98">
        <f t="shared" si="2"/>
        <v>-60891</v>
      </c>
      <c r="H98">
        <v>221752</v>
      </c>
      <c r="L98">
        <v>160861</v>
      </c>
    </row>
    <row r="99" spans="2:12" x14ac:dyDescent="0.4">
      <c r="B99" t="s">
        <v>380</v>
      </c>
      <c r="C99" t="s">
        <v>381</v>
      </c>
      <c r="D99" t="s">
        <v>382</v>
      </c>
      <c r="E99">
        <f t="shared" si="2"/>
        <v>-49643</v>
      </c>
      <c r="H99">
        <v>242363</v>
      </c>
      <c r="L99">
        <v>192720</v>
      </c>
    </row>
    <row r="100" spans="2:12" x14ac:dyDescent="0.4">
      <c r="B100" t="s">
        <v>428</v>
      </c>
      <c r="C100" t="s">
        <v>429</v>
      </c>
      <c r="D100" t="s">
        <v>430</v>
      </c>
      <c r="E100">
        <f t="shared" si="2"/>
        <v>-68259</v>
      </c>
      <c r="H100">
        <v>277871</v>
      </c>
      <c r="L100">
        <v>209612</v>
      </c>
    </row>
    <row r="101" spans="2:12" x14ac:dyDescent="0.4">
      <c r="B101" t="s">
        <v>320</v>
      </c>
      <c r="C101" t="s">
        <v>321</v>
      </c>
      <c r="D101" t="s">
        <v>322</v>
      </c>
      <c r="E101">
        <f t="shared" si="2"/>
        <v>-74766</v>
      </c>
      <c r="H101">
        <v>298631</v>
      </c>
      <c r="L101">
        <v>223865</v>
      </c>
    </row>
    <row r="102" spans="2:12" x14ac:dyDescent="0.4">
      <c r="B102" t="s">
        <v>225</v>
      </c>
      <c r="C102" t="s">
        <v>226</v>
      </c>
      <c r="D102" t="s">
        <v>227</v>
      </c>
      <c r="E102">
        <f t="shared" si="2"/>
        <v>-73347</v>
      </c>
      <c r="H102">
        <v>326775</v>
      </c>
      <c r="L102">
        <v>253428</v>
      </c>
    </row>
    <row r="103" spans="2:12" x14ac:dyDescent="0.4">
      <c r="B103" t="s">
        <v>276</v>
      </c>
      <c r="C103" t="s">
        <v>277</v>
      </c>
      <c r="D103" t="s">
        <v>278</v>
      </c>
      <c r="E103">
        <f t="shared" si="2"/>
        <v>-7961</v>
      </c>
      <c r="H103">
        <v>29518</v>
      </c>
      <c r="L103">
        <v>21557</v>
      </c>
    </row>
    <row r="104" spans="2:12" x14ac:dyDescent="0.4">
      <c r="B104" t="s">
        <v>744</v>
      </c>
      <c r="C104" t="s">
        <v>745</v>
      </c>
      <c r="D104" t="s">
        <v>746</v>
      </c>
      <c r="E104">
        <f t="shared" si="2"/>
        <v>-14342</v>
      </c>
      <c r="H104">
        <v>53767</v>
      </c>
      <c r="L104">
        <v>39425</v>
      </c>
    </row>
    <row r="105" spans="2:12" x14ac:dyDescent="0.4">
      <c r="B105" t="s">
        <v>49</v>
      </c>
      <c r="C105" t="s">
        <v>50</v>
      </c>
      <c r="D105" t="s">
        <v>51</v>
      </c>
      <c r="E105">
        <f t="shared" si="2"/>
        <v>-12321</v>
      </c>
      <c r="H105">
        <v>74804</v>
      </c>
      <c r="L105">
        <v>62483</v>
      </c>
    </row>
    <row r="106" spans="2:12" x14ac:dyDescent="0.4">
      <c r="B106" t="s">
        <v>49</v>
      </c>
      <c r="C106" t="s">
        <v>245</v>
      </c>
      <c r="D106" t="s">
        <v>246</v>
      </c>
      <c r="E106">
        <f t="shared" si="2"/>
        <v>-73348</v>
      </c>
      <c r="H106">
        <v>326775</v>
      </c>
      <c r="L106">
        <v>253427</v>
      </c>
    </row>
    <row r="107" spans="2:12" x14ac:dyDescent="0.4">
      <c r="B107" t="s">
        <v>596</v>
      </c>
      <c r="C107" t="s">
        <v>597</v>
      </c>
      <c r="D107" t="s">
        <v>598</v>
      </c>
      <c r="E107">
        <f t="shared" si="2"/>
        <v>-35009</v>
      </c>
      <c r="H107">
        <v>115258</v>
      </c>
      <c r="L107">
        <v>80249</v>
      </c>
    </row>
    <row r="108" spans="2:12" x14ac:dyDescent="0.4">
      <c r="B108" t="s">
        <v>113</v>
      </c>
      <c r="C108" t="s">
        <v>114</v>
      </c>
      <c r="D108" t="s">
        <v>115</v>
      </c>
      <c r="E108">
        <f t="shared" si="2"/>
        <v>-32186</v>
      </c>
      <c r="H108">
        <v>142963</v>
      </c>
      <c r="L108">
        <v>110777</v>
      </c>
    </row>
    <row r="109" spans="2:12" x14ac:dyDescent="0.4">
      <c r="B109" t="s">
        <v>316</v>
      </c>
      <c r="C109" t="s">
        <v>317</v>
      </c>
      <c r="D109" t="s">
        <v>318</v>
      </c>
      <c r="E109">
        <f t="shared" si="2"/>
        <v>-40464</v>
      </c>
      <c r="H109">
        <v>171577</v>
      </c>
      <c r="L109">
        <v>131113</v>
      </c>
    </row>
    <row r="110" spans="2:12" x14ac:dyDescent="0.4">
      <c r="B110" t="s">
        <v>221</v>
      </c>
      <c r="C110" t="s">
        <v>222</v>
      </c>
      <c r="D110" t="s">
        <v>223</v>
      </c>
      <c r="E110">
        <f t="shared" si="2"/>
        <v>-57005</v>
      </c>
      <c r="H110">
        <v>204978</v>
      </c>
      <c r="L110">
        <v>147973</v>
      </c>
    </row>
    <row r="111" spans="2:12" x14ac:dyDescent="0.4">
      <c r="B111" t="s">
        <v>592</v>
      </c>
      <c r="C111" t="s">
        <v>593</v>
      </c>
      <c r="D111" t="s">
        <v>594</v>
      </c>
      <c r="E111">
        <f t="shared" si="2"/>
        <v>-65988</v>
      </c>
      <c r="H111">
        <v>224058</v>
      </c>
      <c r="L111">
        <v>158070</v>
      </c>
    </row>
    <row r="112" spans="2:12" x14ac:dyDescent="0.4">
      <c r="B112" t="s">
        <v>452</v>
      </c>
      <c r="C112" t="s">
        <v>453</v>
      </c>
      <c r="D112" t="s">
        <v>454</v>
      </c>
      <c r="E112">
        <f t="shared" si="2"/>
        <v>-59130</v>
      </c>
      <c r="H112">
        <v>246475</v>
      </c>
      <c r="L112">
        <v>187345</v>
      </c>
    </row>
    <row r="113" spans="2:12" x14ac:dyDescent="0.4">
      <c r="B113" t="s">
        <v>169</v>
      </c>
      <c r="C113" t="s">
        <v>170</v>
      </c>
      <c r="D113" t="s">
        <v>171</v>
      </c>
      <c r="E113">
        <f t="shared" si="2"/>
        <v>-78368</v>
      </c>
      <c r="H113">
        <v>282753</v>
      </c>
      <c r="L113">
        <v>204385</v>
      </c>
    </row>
    <row r="114" spans="2:12" x14ac:dyDescent="0.4">
      <c r="B114" t="s">
        <v>696</v>
      </c>
      <c r="C114" t="s">
        <v>697</v>
      </c>
      <c r="D114" t="s">
        <v>698</v>
      </c>
      <c r="E114">
        <f t="shared" si="2"/>
        <v>-88883</v>
      </c>
      <c r="H114">
        <v>305453</v>
      </c>
      <c r="L114">
        <v>216570</v>
      </c>
    </row>
    <row r="115" spans="2:12" x14ac:dyDescent="0.4">
      <c r="B115" t="s">
        <v>241</v>
      </c>
      <c r="C115" t="s">
        <v>242</v>
      </c>
      <c r="D115" t="s">
        <v>243</v>
      </c>
      <c r="E115">
        <f t="shared" si="2"/>
        <v>-76877</v>
      </c>
      <c r="H115">
        <v>329722</v>
      </c>
      <c r="L115">
        <v>252845</v>
      </c>
    </row>
    <row r="116" spans="2:12" x14ac:dyDescent="0.4">
      <c r="B116" t="s">
        <v>588</v>
      </c>
      <c r="C116" t="s">
        <v>589</v>
      </c>
      <c r="D116" t="s">
        <v>590</v>
      </c>
      <c r="E116">
        <f t="shared" si="2"/>
        <v>-27443</v>
      </c>
      <c r="H116">
        <v>52688</v>
      </c>
      <c r="L116">
        <v>25245</v>
      </c>
    </row>
    <row r="117" spans="2:12" x14ac:dyDescent="0.4">
      <c r="B117" t="s">
        <v>480</v>
      </c>
      <c r="C117" t="s">
        <v>481</v>
      </c>
      <c r="D117" t="s">
        <v>482</v>
      </c>
      <c r="E117">
        <f t="shared" si="2"/>
        <v>-76906</v>
      </c>
      <c r="H117">
        <v>329722</v>
      </c>
      <c r="L117">
        <v>252816</v>
      </c>
    </row>
    <row r="118" spans="2:12" x14ac:dyDescent="0.4">
      <c r="B118" t="s">
        <v>784</v>
      </c>
      <c r="C118" t="s">
        <v>785</v>
      </c>
      <c r="D118" t="s">
        <v>786</v>
      </c>
      <c r="E118">
        <f t="shared" si="2"/>
        <v>-25183</v>
      </c>
      <c r="H118">
        <v>75161</v>
      </c>
      <c r="L118">
        <v>49978</v>
      </c>
    </row>
    <row r="119" spans="2:12" x14ac:dyDescent="0.4">
      <c r="B119" t="s">
        <v>424</v>
      </c>
      <c r="C119" t="s">
        <v>425</v>
      </c>
      <c r="D119" t="s">
        <v>426</v>
      </c>
      <c r="E119">
        <f t="shared" si="2"/>
        <v>-47464</v>
      </c>
      <c r="H119">
        <v>116674</v>
      </c>
      <c r="L119">
        <v>69210</v>
      </c>
    </row>
    <row r="120" spans="2:12" x14ac:dyDescent="0.4">
      <c r="B120" t="s">
        <v>780</v>
      </c>
      <c r="C120" t="s">
        <v>781</v>
      </c>
      <c r="D120" t="s">
        <v>782</v>
      </c>
      <c r="E120">
        <f t="shared" si="2"/>
        <v>-61395</v>
      </c>
      <c r="H120">
        <v>148134</v>
      </c>
      <c r="L120">
        <v>86739</v>
      </c>
    </row>
    <row r="121" spans="2:12" x14ac:dyDescent="0.4">
      <c r="B121" t="s">
        <v>732</v>
      </c>
      <c r="C121" t="s">
        <v>733</v>
      </c>
      <c r="D121" t="s">
        <v>734</v>
      </c>
      <c r="E121">
        <f t="shared" si="2"/>
        <v>-12568</v>
      </c>
      <c r="H121">
        <v>27588</v>
      </c>
      <c r="L121">
        <v>15020</v>
      </c>
    </row>
    <row r="122" spans="2:12" x14ac:dyDescent="0.4">
      <c r="B122" t="s">
        <v>201</v>
      </c>
      <c r="C122" t="s">
        <v>202</v>
      </c>
      <c r="D122" t="s">
        <v>203</v>
      </c>
      <c r="E122">
        <f t="shared" si="2"/>
        <v>-60610</v>
      </c>
      <c r="H122">
        <v>174173</v>
      </c>
      <c r="L122">
        <v>113563</v>
      </c>
    </row>
    <row r="123" spans="2:12" x14ac:dyDescent="0.4">
      <c r="B123" t="s">
        <v>668</v>
      </c>
      <c r="C123" t="s">
        <v>669</v>
      </c>
      <c r="D123" t="s">
        <v>670</v>
      </c>
      <c r="E123">
        <f t="shared" si="2"/>
        <v>-84755</v>
      </c>
      <c r="H123">
        <v>207790</v>
      </c>
      <c r="L123">
        <v>123035</v>
      </c>
    </row>
    <row r="124" spans="2:12" x14ac:dyDescent="0.4">
      <c r="B124" t="s">
        <v>109</v>
      </c>
      <c r="C124" t="s">
        <v>110</v>
      </c>
      <c r="D124" t="s">
        <v>111</v>
      </c>
      <c r="E124">
        <f t="shared" si="2"/>
        <v>-92289</v>
      </c>
      <c r="H124">
        <v>230642</v>
      </c>
      <c r="L124">
        <v>138353</v>
      </c>
    </row>
    <row r="125" spans="2:12" x14ac:dyDescent="0.4">
      <c r="B125" t="s">
        <v>420</v>
      </c>
      <c r="C125" t="s">
        <v>421</v>
      </c>
      <c r="D125" t="s">
        <v>422</v>
      </c>
      <c r="E125">
        <f t="shared" si="2"/>
        <v>-86162</v>
      </c>
      <c r="H125">
        <v>251442</v>
      </c>
      <c r="L125">
        <v>165280</v>
      </c>
    </row>
    <row r="126" spans="2:12" x14ac:dyDescent="0.4">
      <c r="B126" t="s">
        <v>556</v>
      </c>
      <c r="C126" t="s">
        <v>557</v>
      </c>
      <c r="D126" t="s">
        <v>558</v>
      </c>
      <c r="E126">
        <f t="shared" si="2"/>
        <v>-102466</v>
      </c>
      <c r="H126">
        <v>287835</v>
      </c>
      <c r="L126">
        <v>185369</v>
      </c>
    </row>
    <row r="127" spans="2:12" x14ac:dyDescent="0.4">
      <c r="B127" t="s">
        <v>145</v>
      </c>
      <c r="C127" t="s">
        <v>146</v>
      </c>
      <c r="D127" t="s">
        <v>147</v>
      </c>
      <c r="E127">
        <f t="shared" si="2"/>
        <v>-109716</v>
      </c>
      <c r="H127">
        <v>308660</v>
      </c>
      <c r="L127">
        <v>198944</v>
      </c>
    </row>
    <row r="128" spans="2:12" x14ac:dyDescent="0.4">
      <c r="B128" t="s">
        <v>580</v>
      </c>
      <c r="C128" t="s">
        <v>581</v>
      </c>
      <c r="D128" t="s">
        <v>582</v>
      </c>
      <c r="E128">
        <f t="shared" si="2"/>
        <v>-96913</v>
      </c>
      <c r="H128">
        <v>336069</v>
      </c>
      <c r="L128">
        <v>239156</v>
      </c>
    </row>
    <row r="129" spans="2:12" x14ac:dyDescent="0.4">
      <c r="B129" t="s">
        <v>664</v>
      </c>
      <c r="C129" t="s">
        <v>665</v>
      </c>
      <c r="D129" t="s">
        <v>666</v>
      </c>
      <c r="E129">
        <f t="shared" si="2"/>
        <v>-14149</v>
      </c>
      <c r="H129">
        <v>29191</v>
      </c>
      <c r="L129">
        <v>15042</v>
      </c>
    </row>
    <row r="130" spans="2:12" x14ac:dyDescent="0.4">
      <c r="B130" t="s">
        <v>45</v>
      </c>
      <c r="C130" t="s">
        <v>46</v>
      </c>
      <c r="D130" t="s">
        <v>47</v>
      </c>
      <c r="E130">
        <f t="shared" si="2"/>
        <v>-24827</v>
      </c>
      <c r="H130">
        <v>54058</v>
      </c>
      <c r="L130">
        <v>29231</v>
      </c>
    </row>
    <row r="131" spans="2:12" x14ac:dyDescent="0.4">
      <c r="B131" t="s">
        <v>776</v>
      </c>
      <c r="C131" t="s">
        <v>777</v>
      </c>
      <c r="D131" t="s">
        <v>778</v>
      </c>
      <c r="E131">
        <f t="shared" si="2"/>
        <v>-37116</v>
      </c>
      <c r="H131">
        <v>84605</v>
      </c>
      <c r="L131">
        <v>47489</v>
      </c>
    </row>
    <row r="132" spans="2:12" x14ac:dyDescent="0.4">
      <c r="B132" t="s">
        <v>624</v>
      </c>
      <c r="C132" t="s">
        <v>625</v>
      </c>
      <c r="D132" t="s">
        <v>626</v>
      </c>
      <c r="E132">
        <f t="shared" si="2"/>
        <v>-69667</v>
      </c>
      <c r="H132">
        <v>130899</v>
      </c>
      <c r="L132">
        <v>61232</v>
      </c>
    </row>
    <row r="133" spans="2:12" x14ac:dyDescent="0.4">
      <c r="B133" t="s">
        <v>552</v>
      </c>
      <c r="C133" t="s">
        <v>553</v>
      </c>
      <c r="D133" t="s">
        <v>554</v>
      </c>
      <c r="E133">
        <f t="shared" si="2"/>
        <v>-90351</v>
      </c>
      <c r="H133">
        <v>165522</v>
      </c>
      <c r="L133">
        <v>75171</v>
      </c>
    </row>
    <row r="134" spans="2:12" x14ac:dyDescent="0.4">
      <c r="B134" t="s">
        <v>807</v>
      </c>
      <c r="C134" t="s">
        <v>808</v>
      </c>
      <c r="D134" t="s">
        <v>809</v>
      </c>
      <c r="E134">
        <f t="shared" si="2"/>
        <v>-101288</v>
      </c>
      <c r="H134">
        <v>198529</v>
      </c>
      <c r="L134">
        <v>97241</v>
      </c>
    </row>
    <row r="135" spans="2:12" x14ac:dyDescent="0.4">
      <c r="B135" t="s">
        <v>312</v>
      </c>
      <c r="C135" t="s">
        <v>313</v>
      </c>
      <c r="D135" t="s">
        <v>314</v>
      </c>
      <c r="E135">
        <f t="shared" si="2"/>
        <v>-120049</v>
      </c>
      <c r="H135">
        <v>231666</v>
      </c>
      <c r="L135">
        <v>111617</v>
      </c>
    </row>
    <row r="136" spans="2:12" x14ac:dyDescent="0.4">
      <c r="B136" t="s">
        <v>803</v>
      </c>
      <c r="C136" t="s">
        <v>804</v>
      </c>
      <c r="D136" t="s">
        <v>805</v>
      </c>
      <c r="E136">
        <f t="shared" si="2"/>
        <v>-131248</v>
      </c>
      <c r="H136">
        <v>257627</v>
      </c>
      <c r="L136">
        <v>126379</v>
      </c>
    </row>
    <row r="137" spans="2:12" x14ac:dyDescent="0.4">
      <c r="B137" t="s">
        <v>524</v>
      </c>
      <c r="C137" t="s">
        <v>525</v>
      </c>
      <c r="D137" t="s">
        <v>526</v>
      </c>
      <c r="E137">
        <f t="shared" si="2"/>
        <v>-137661</v>
      </c>
      <c r="H137">
        <v>282052</v>
      </c>
      <c r="L137">
        <v>144391</v>
      </c>
    </row>
    <row r="138" spans="2:12" x14ac:dyDescent="0.4">
      <c r="B138" t="s">
        <v>308</v>
      </c>
      <c r="C138" t="s">
        <v>309</v>
      </c>
      <c r="D138" t="s">
        <v>310</v>
      </c>
      <c r="E138">
        <f t="shared" si="2"/>
        <v>-152237</v>
      </c>
      <c r="H138">
        <v>319395</v>
      </c>
      <c r="L138">
        <v>167158</v>
      </c>
    </row>
    <row r="139" spans="2:12" x14ac:dyDescent="0.4">
      <c r="B139" t="s">
        <v>41</v>
      </c>
      <c r="C139" t="s">
        <v>42</v>
      </c>
      <c r="D139" t="s">
        <v>43</v>
      </c>
      <c r="E139">
        <f t="shared" si="2"/>
        <v>-171384</v>
      </c>
      <c r="H139">
        <v>350806</v>
      </c>
      <c r="L139">
        <v>179422</v>
      </c>
    </row>
    <row r="140" spans="2:12" x14ac:dyDescent="0.4">
      <c r="B140" t="s">
        <v>476</v>
      </c>
      <c r="C140" t="s">
        <v>477</v>
      </c>
      <c r="D140" t="s">
        <v>478</v>
      </c>
      <c r="E140">
        <f t="shared" ref="E140:E203" si="3">L140-H140</f>
        <v>-172678</v>
      </c>
      <c r="H140">
        <v>389678</v>
      </c>
      <c r="L140">
        <v>217000</v>
      </c>
    </row>
    <row r="141" spans="2:12" x14ac:dyDescent="0.4">
      <c r="B141" t="s">
        <v>77</v>
      </c>
      <c r="C141" t="s">
        <v>78</v>
      </c>
      <c r="D141" t="s">
        <v>79</v>
      </c>
      <c r="E141">
        <f t="shared" si="3"/>
        <v>-15468</v>
      </c>
      <c r="H141">
        <v>32800</v>
      </c>
      <c r="L141">
        <v>17332</v>
      </c>
    </row>
    <row r="142" spans="2:12" x14ac:dyDescent="0.4">
      <c r="B142" t="s">
        <v>416</v>
      </c>
      <c r="C142" t="s">
        <v>417</v>
      </c>
      <c r="D142" t="s">
        <v>418</v>
      </c>
      <c r="E142">
        <f t="shared" si="3"/>
        <v>-35486</v>
      </c>
      <c r="H142">
        <v>63328</v>
      </c>
      <c r="L142">
        <v>27842</v>
      </c>
    </row>
    <row r="143" spans="2:12" x14ac:dyDescent="0.4">
      <c r="B143" t="s">
        <v>772</v>
      </c>
      <c r="C143" t="s">
        <v>773</v>
      </c>
      <c r="D143" t="s">
        <v>774</v>
      </c>
      <c r="E143">
        <f t="shared" si="3"/>
        <v>-48857</v>
      </c>
      <c r="H143">
        <v>96117</v>
      </c>
      <c r="L143">
        <v>47260</v>
      </c>
    </row>
    <row r="144" spans="2:12" x14ac:dyDescent="0.4">
      <c r="B144" t="s">
        <v>272</v>
      </c>
      <c r="C144" t="s">
        <v>273</v>
      </c>
      <c r="D144" t="s">
        <v>274</v>
      </c>
      <c r="E144">
        <f t="shared" si="3"/>
        <v>-77233</v>
      </c>
      <c r="H144">
        <v>142890</v>
      </c>
      <c r="L144">
        <v>65657</v>
      </c>
    </row>
    <row r="145" spans="2:12" x14ac:dyDescent="0.4">
      <c r="B145" t="s">
        <v>105</v>
      </c>
      <c r="C145" t="s">
        <v>106</v>
      </c>
      <c r="D145" t="s">
        <v>107</v>
      </c>
      <c r="E145">
        <f t="shared" si="3"/>
        <v>-172678</v>
      </c>
      <c r="H145">
        <v>389678</v>
      </c>
      <c r="L145">
        <v>217000</v>
      </c>
    </row>
    <row r="146" spans="2:12" x14ac:dyDescent="0.4">
      <c r="B146" t="s">
        <v>768</v>
      </c>
      <c r="C146" t="s">
        <v>769</v>
      </c>
      <c r="D146" t="s">
        <v>770</v>
      </c>
      <c r="E146">
        <f t="shared" si="3"/>
        <v>-100939</v>
      </c>
      <c r="H146">
        <v>184464</v>
      </c>
      <c r="L146">
        <v>83525</v>
      </c>
    </row>
    <row r="147" spans="2:12" x14ac:dyDescent="0.4">
      <c r="B147" t="s">
        <v>448</v>
      </c>
      <c r="C147" t="s">
        <v>449</v>
      </c>
      <c r="D147" t="s">
        <v>450</v>
      </c>
      <c r="E147">
        <f t="shared" si="3"/>
        <v>-118122</v>
      </c>
      <c r="H147">
        <v>224245</v>
      </c>
      <c r="L147">
        <v>106123</v>
      </c>
    </row>
    <row r="148" spans="2:12" x14ac:dyDescent="0.4">
      <c r="B148" t="s">
        <v>21</v>
      </c>
      <c r="C148" t="s">
        <v>22</v>
      </c>
      <c r="D148" t="s">
        <v>23</v>
      </c>
      <c r="E148">
        <f t="shared" si="3"/>
        <v>-148508</v>
      </c>
      <c r="H148">
        <v>264364</v>
      </c>
      <c r="L148">
        <v>115856</v>
      </c>
    </row>
    <row r="149" spans="2:12" x14ac:dyDescent="0.4">
      <c r="B149" t="s">
        <v>237</v>
      </c>
      <c r="C149" t="s">
        <v>238</v>
      </c>
      <c r="D149" t="s">
        <v>239</v>
      </c>
      <c r="E149">
        <f t="shared" si="3"/>
        <v>-157201</v>
      </c>
      <c r="H149">
        <v>292819</v>
      </c>
      <c r="L149">
        <v>135618</v>
      </c>
    </row>
    <row r="150" spans="2:12" x14ac:dyDescent="0.4">
      <c r="B150" t="s">
        <v>548</v>
      </c>
      <c r="C150" t="s">
        <v>549</v>
      </c>
      <c r="D150" t="s">
        <v>550</v>
      </c>
      <c r="E150">
        <f t="shared" si="3"/>
        <v>-152193</v>
      </c>
      <c r="H150">
        <v>316329</v>
      </c>
      <c r="L150">
        <v>164136</v>
      </c>
    </row>
    <row r="151" spans="2:12" x14ac:dyDescent="0.4">
      <c r="B151" t="s">
        <v>620</v>
      </c>
      <c r="C151" t="s">
        <v>621</v>
      </c>
      <c r="D151" t="s">
        <v>622</v>
      </c>
      <c r="E151">
        <f t="shared" si="3"/>
        <v>-168894</v>
      </c>
      <c r="H151">
        <v>356004</v>
      </c>
      <c r="L151">
        <v>187110</v>
      </c>
    </row>
    <row r="152" spans="2:12" x14ac:dyDescent="0.4">
      <c r="B152" t="s">
        <v>101</v>
      </c>
      <c r="C152" t="s">
        <v>102</v>
      </c>
      <c r="D152" t="s">
        <v>103</v>
      </c>
      <c r="E152">
        <f t="shared" si="3"/>
        <v>-175127</v>
      </c>
      <c r="H152">
        <v>384499</v>
      </c>
      <c r="L152">
        <v>209372</v>
      </c>
    </row>
    <row r="153" spans="2:12" x14ac:dyDescent="0.4">
      <c r="B153" t="s">
        <v>73</v>
      </c>
      <c r="C153" t="s">
        <v>74</v>
      </c>
      <c r="D153" t="s">
        <v>75</v>
      </c>
      <c r="E153">
        <f t="shared" si="3"/>
        <v>-171517</v>
      </c>
      <c r="H153">
        <v>426732</v>
      </c>
      <c r="L153">
        <v>255215</v>
      </c>
    </row>
    <row r="154" spans="2:12" x14ac:dyDescent="0.4">
      <c r="B154" t="s">
        <v>799</v>
      </c>
      <c r="C154" t="s">
        <v>800</v>
      </c>
      <c r="D154" t="s">
        <v>801</v>
      </c>
      <c r="E154">
        <f t="shared" si="3"/>
        <v>-11887</v>
      </c>
      <c r="H154">
        <v>30612</v>
      </c>
      <c r="L154">
        <v>18725</v>
      </c>
    </row>
    <row r="155" spans="2:12" x14ac:dyDescent="0.4">
      <c r="B155" t="s">
        <v>764</v>
      </c>
      <c r="C155" t="s">
        <v>765</v>
      </c>
      <c r="D155" t="s">
        <v>766</v>
      </c>
      <c r="E155">
        <f t="shared" si="3"/>
        <v>-30246</v>
      </c>
      <c r="H155">
        <v>58369</v>
      </c>
      <c r="L155">
        <v>28123</v>
      </c>
    </row>
    <row r="156" spans="2:12" x14ac:dyDescent="0.4">
      <c r="B156" t="s">
        <v>356</v>
      </c>
      <c r="C156" t="s">
        <v>357</v>
      </c>
      <c r="D156" t="s">
        <v>358</v>
      </c>
      <c r="E156">
        <f t="shared" si="3"/>
        <v>-171517</v>
      </c>
      <c r="H156">
        <v>426732</v>
      </c>
      <c r="L156">
        <v>255215</v>
      </c>
    </row>
    <row r="157" spans="2:12" x14ac:dyDescent="0.4">
      <c r="B157" t="s">
        <v>352</v>
      </c>
      <c r="C157" t="s">
        <v>353</v>
      </c>
      <c r="D157" t="s">
        <v>354</v>
      </c>
      <c r="E157">
        <f t="shared" si="3"/>
        <v>-27808</v>
      </c>
      <c r="H157">
        <v>92890</v>
      </c>
      <c r="L157">
        <v>65082</v>
      </c>
    </row>
    <row r="158" spans="2:12" x14ac:dyDescent="0.4">
      <c r="B158" t="s">
        <v>304</v>
      </c>
      <c r="C158" t="s">
        <v>305</v>
      </c>
      <c r="D158" t="s">
        <v>306</v>
      </c>
      <c r="E158">
        <f t="shared" si="3"/>
        <v>-51067</v>
      </c>
      <c r="H158">
        <v>135505</v>
      </c>
      <c r="L158">
        <v>84438</v>
      </c>
    </row>
    <row r="159" spans="2:12" x14ac:dyDescent="0.4">
      <c r="B159" t="s">
        <v>37</v>
      </c>
      <c r="C159" t="s">
        <v>38</v>
      </c>
      <c r="D159" t="s">
        <v>39</v>
      </c>
      <c r="E159">
        <f t="shared" si="3"/>
        <v>-62922</v>
      </c>
      <c r="H159">
        <v>173505</v>
      </c>
      <c r="L159">
        <v>110583</v>
      </c>
    </row>
    <row r="160" spans="2:12" x14ac:dyDescent="0.4">
      <c r="B160" t="s">
        <v>660</v>
      </c>
      <c r="C160" t="s">
        <v>661</v>
      </c>
      <c r="D160" t="s">
        <v>662</v>
      </c>
      <c r="E160">
        <f t="shared" si="3"/>
        <v>-61328</v>
      </c>
      <c r="H160">
        <v>205988</v>
      </c>
      <c r="L160">
        <v>144660</v>
      </c>
    </row>
    <row r="161" spans="2:12" x14ac:dyDescent="0.4">
      <c r="B161" t="s">
        <v>165</v>
      </c>
      <c r="C161" t="s">
        <v>166</v>
      </c>
      <c r="D161" t="s">
        <v>167</v>
      </c>
      <c r="E161">
        <f t="shared" si="3"/>
        <v>-110106</v>
      </c>
      <c r="H161">
        <v>261413</v>
      </c>
      <c r="L161">
        <v>151307</v>
      </c>
    </row>
    <row r="162" spans="2:12" x14ac:dyDescent="0.4">
      <c r="B162" t="s">
        <v>728</v>
      </c>
      <c r="C162" t="s">
        <v>729</v>
      </c>
      <c r="D162" t="s">
        <v>730</v>
      </c>
      <c r="E162">
        <f t="shared" si="3"/>
        <v>-124518</v>
      </c>
      <c r="H162">
        <v>287947</v>
      </c>
      <c r="L162">
        <v>163429</v>
      </c>
    </row>
    <row r="163" spans="2:12" x14ac:dyDescent="0.4">
      <c r="B163" t="s">
        <v>268</v>
      </c>
      <c r="C163" t="s">
        <v>269</v>
      </c>
      <c r="D163" t="s">
        <v>270</v>
      </c>
      <c r="E163">
        <f t="shared" si="3"/>
        <v>-119277</v>
      </c>
      <c r="H163">
        <v>317410</v>
      </c>
      <c r="L163">
        <v>198133</v>
      </c>
    </row>
    <row r="164" spans="2:12" x14ac:dyDescent="0.4">
      <c r="B164" t="s">
        <v>795</v>
      </c>
      <c r="C164" t="s">
        <v>796</v>
      </c>
      <c r="D164" t="s">
        <v>797</v>
      </c>
      <c r="E164">
        <f t="shared" si="3"/>
        <v>-143671</v>
      </c>
      <c r="H164">
        <v>367078</v>
      </c>
      <c r="L164">
        <v>223407</v>
      </c>
    </row>
    <row r="165" spans="2:12" x14ac:dyDescent="0.4">
      <c r="B165" t="s">
        <v>69</v>
      </c>
      <c r="C165" t="s">
        <v>70</v>
      </c>
      <c r="D165" t="s">
        <v>71</v>
      </c>
      <c r="E165">
        <f t="shared" si="3"/>
        <v>-152537</v>
      </c>
      <c r="H165">
        <v>397932</v>
      </c>
      <c r="L165">
        <v>245395</v>
      </c>
    </row>
    <row r="166" spans="2:12" x14ac:dyDescent="0.4">
      <c r="B166" t="s">
        <v>141</v>
      </c>
      <c r="C166" t="s">
        <v>142</v>
      </c>
      <c r="D166" t="s">
        <v>143</v>
      </c>
      <c r="E166">
        <f t="shared" si="3"/>
        <v>-158195</v>
      </c>
      <c r="H166">
        <v>445672</v>
      </c>
      <c r="L166">
        <v>287477</v>
      </c>
    </row>
    <row r="167" spans="2:12" x14ac:dyDescent="0.4">
      <c r="B167" t="s">
        <v>444</v>
      </c>
      <c r="C167" t="s">
        <v>445</v>
      </c>
      <c r="D167" t="s">
        <v>446</v>
      </c>
      <c r="E167">
        <f t="shared" si="3"/>
        <v>-16351</v>
      </c>
      <c r="H167">
        <v>34490</v>
      </c>
      <c r="L167">
        <v>18139</v>
      </c>
    </row>
    <row r="168" spans="2:12" x14ac:dyDescent="0.4">
      <c r="B168" t="s">
        <v>720</v>
      </c>
      <c r="C168" t="s">
        <v>721</v>
      </c>
      <c r="D168" t="s">
        <v>722</v>
      </c>
      <c r="E168">
        <f t="shared" si="3"/>
        <v>-41946</v>
      </c>
      <c r="H168">
        <v>64096</v>
      </c>
      <c r="L168">
        <v>22150</v>
      </c>
    </row>
    <row r="169" spans="2:12" x14ac:dyDescent="0.4">
      <c r="B169" t="s">
        <v>65</v>
      </c>
      <c r="C169" t="s">
        <v>66</v>
      </c>
      <c r="D169" t="s">
        <v>67</v>
      </c>
      <c r="E169">
        <f t="shared" si="3"/>
        <v>-158195</v>
      </c>
      <c r="H169">
        <v>445672</v>
      </c>
      <c r="L169">
        <v>287477</v>
      </c>
    </row>
    <row r="170" spans="2:12" x14ac:dyDescent="0.4">
      <c r="B170" t="s">
        <v>137</v>
      </c>
      <c r="C170" t="s">
        <v>138</v>
      </c>
      <c r="D170" t="s">
        <v>139</v>
      </c>
      <c r="E170">
        <f t="shared" si="3"/>
        <v>-42477</v>
      </c>
      <c r="H170">
        <v>100485</v>
      </c>
      <c r="L170">
        <v>58008</v>
      </c>
    </row>
    <row r="171" spans="2:12" x14ac:dyDescent="0.4">
      <c r="B171" t="s">
        <v>97</v>
      </c>
      <c r="C171" t="s">
        <v>98</v>
      </c>
      <c r="D171" t="s">
        <v>99</v>
      </c>
      <c r="E171">
        <f t="shared" si="3"/>
        <v>-68792</v>
      </c>
      <c r="H171">
        <v>147992</v>
      </c>
      <c r="L171">
        <v>79200</v>
      </c>
    </row>
    <row r="172" spans="2:12" x14ac:dyDescent="0.4">
      <c r="B172" t="s">
        <v>217</v>
      </c>
      <c r="C172" t="s">
        <v>218</v>
      </c>
      <c r="D172" t="s">
        <v>219</v>
      </c>
      <c r="E172">
        <f t="shared" si="3"/>
        <v>-87751</v>
      </c>
      <c r="H172">
        <v>191043</v>
      </c>
      <c r="L172">
        <v>103292</v>
      </c>
    </row>
    <row r="173" spans="2:12" x14ac:dyDescent="0.4">
      <c r="B173" t="s">
        <v>656</v>
      </c>
      <c r="C173" t="s">
        <v>657</v>
      </c>
      <c r="D173" t="s">
        <v>658</v>
      </c>
      <c r="E173">
        <f t="shared" si="3"/>
        <v>-96372</v>
      </c>
      <c r="H173">
        <v>225840</v>
      </c>
      <c r="L173">
        <v>129468</v>
      </c>
    </row>
    <row r="174" spans="2:12" x14ac:dyDescent="0.4">
      <c r="B174" t="s">
        <v>348</v>
      </c>
      <c r="C174" t="s">
        <v>349</v>
      </c>
      <c r="D174" t="s">
        <v>350</v>
      </c>
      <c r="E174">
        <f t="shared" si="3"/>
        <v>-141202</v>
      </c>
      <c r="H174">
        <v>277222</v>
      </c>
      <c r="L174">
        <v>136020</v>
      </c>
    </row>
    <row r="175" spans="2:12" x14ac:dyDescent="0.4">
      <c r="B175" t="s">
        <v>412</v>
      </c>
      <c r="C175" t="s">
        <v>413</v>
      </c>
      <c r="D175" t="s">
        <v>414</v>
      </c>
      <c r="E175">
        <f t="shared" si="3"/>
        <v>-155811</v>
      </c>
      <c r="H175">
        <v>306062</v>
      </c>
      <c r="L175">
        <v>150251</v>
      </c>
    </row>
    <row r="176" spans="2:12" x14ac:dyDescent="0.4">
      <c r="B176" t="s">
        <v>233</v>
      </c>
      <c r="C176" t="s">
        <v>234</v>
      </c>
      <c r="D176" t="s">
        <v>235</v>
      </c>
      <c r="E176">
        <f t="shared" si="3"/>
        <v>-148684</v>
      </c>
      <c r="H176">
        <v>335695</v>
      </c>
      <c r="L176">
        <v>187011</v>
      </c>
    </row>
    <row r="177" spans="2:12" x14ac:dyDescent="0.4">
      <c r="B177" t="s">
        <v>724</v>
      </c>
      <c r="C177" t="s">
        <v>725</v>
      </c>
      <c r="D177" t="s">
        <v>726</v>
      </c>
      <c r="E177">
        <f t="shared" si="3"/>
        <v>-164579</v>
      </c>
      <c r="H177">
        <v>376535</v>
      </c>
      <c r="L177">
        <v>211956</v>
      </c>
    </row>
    <row r="178" spans="2:12" x14ac:dyDescent="0.4">
      <c r="B178" t="s">
        <v>344</v>
      </c>
      <c r="C178" t="s">
        <v>345</v>
      </c>
      <c r="D178" t="s">
        <v>346</v>
      </c>
      <c r="E178">
        <f t="shared" si="3"/>
        <v>-176093</v>
      </c>
      <c r="H178">
        <v>409287</v>
      </c>
      <c r="L178">
        <v>233194</v>
      </c>
    </row>
    <row r="179" spans="2:12" x14ac:dyDescent="0.4">
      <c r="B179" t="s">
        <v>791</v>
      </c>
      <c r="C179" t="s">
        <v>792</v>
      </c>
      <c r="D179" t="s">
        <v>793</v>
      </c>
      <c r="E179">
        <f t="shared" si="3"/>
        <v>-168159</v>
      </c>
      <c r="H179">
        <v>454565</v>
      </c>
      <c r="L179">
        <v>286406</v>
      </c>
    </row>
    <row r="180" spans="2:12" x14ac:dyDescent="0.4">
      <c r="B180" t="s">
        <v>189</v>
      </c>
      <c r="C180" t="s">
        <v>190</v>
      </c>
      <c r="D180" t="s">
        <v>191</v>
      </c>
      <c r="E180">
        <f t="shared" si="3"/>
        <v>-140054</v>
      </c>
      <c r="H180">
        <v>304109</v>
      </c>
      <c r="L180">
        <v>164055</v>
      </c>
    </row>
    <row r="181" spans="2:12" x14ac:dyDescent="0.4">
      <c r="B181" t="s">
        <v>716</v>
      </c>
      <c r="C181" t="s">
        <v>717</v>
      </c>
      <c r="D181" t="s">
        <v>718</v>
      </c>
      <c r="E181">
        <f t="shared" si="3"/>
        <v>-22604</v>
      </c>
      <c r="H181">
        <v>38478</v>
      </c>
      <c r="L181">
        <v>15874</v>
      </c>
    </row>
    <row r="182" spans="2:12" x14ac:dyDescent="0.4">
      <c r="B182" t="s">
        <v>264</v>
      </c>
      <c r="C182" t="s">
        <v>265</v>
      </c>
      <c r="D182" t="s">
        <v>266</v>
      </c>
      <c r="E182">
        <f t="shared" si="3"/>
        <v>-34939</v>
      </c>
      <c r="H182">
        <v>65146</v>
      </c>
      <c r="L182">
        <v>30207</v>
      </c>
    </row>
    <row r="183" spans="2:12" x14ac:dyDescent="0.4">
      <c r="B183" t="s">
        <v>472</v>
      </c>
      <c r="C183" t="s">
        <v>473</v>
      </c>
      <c r="D183" t="s">
        <v>474</v>
      </c>
      <c r="E183">
        <f t="shared" si="3"/>
        <v>-168159</v>
      </c>
      <c r="H183">
        <v>454565</v>
      </c>
      <c r="L183">
        <v>286406</v>
      </c>
    </row>
    <row r="184" spans="2:12" x14ac:dyDescent="0.4">
      <c r="B184" t="s">
        <v>197</v>
      </c>
      <c r="C184" t="s">
        <v>198</v>
      </c>
      <c r="D184" t="s">
        <v>199</v>
      </c>
      <c r="E184">
        <f t="shared" si="3"/>
        <v>-40186</v>
      </c>
      <c r="H184">
        <v>98048</v>
      </c>
      <c r="L184">
        <v>57862</v>
      </c>
    </row>
    <row r="185" spans="2:12" x14ac:dyDescent="0.4">
      <c r="B185" t="s">
        <v>193</v>
      </c>
      <c r="C185" t="s">
        <v>194</v>
      </c>
      <c r="D185" t="s">
        <v>195</v>
      </c>
      <c r="E185">
        <f t="shared" si="3"/>
        <v>-79116</v>
      </c>
      <c r="H185">
        <v>134225</v>
      </c>
      <c r="L185">
        <v>55109</v>
      </c>
    </row>
    <row r="186" spans="2:12" x14ac:dyDescent="0.4">
      <c r="B186" t="s">
        <v>652</v>
      </c>
      <c r="C186" t="s">
        <v>653</v>
      </c>
      <c r="D186" t="s">
        <v>654</v>
      </c>
      <c r="E186">
        <f t="shared" si="3"/>
        <v>-92177</v>
      </c>
      <c r="H186">
        <v>197637</v>
      </c>
      <c r="L186">
        <v>105460</v>
      </c>
    </row>
    <row r="187" spans="2:12" x14ac:dyDescent="0.4">
      <c r="B187" t="s">
        <v>692</v>
      </c>
      <c r="C187" t="s">
        <v>693</v>
      </c>
      <c r="D187" t="s">
        <v>694</v>
      </c>
      <c r="E187">
        <f t="shared" si="3"/>
        <v>-88573</v>
      </c>
      <c r="H187">
        <v>230570</v>
      </c>
      <c r="L187">
        <v>141997</v>
      </c>
    </row>
    <row r="188" spans="2:12" x14ac:dyDescent="0.4">
      <c r="B188" t="s">
        <v>260</v>
      </c>
      <c r="C188" t="s">
        <v>261</v>
      </c>
      <c r="D188" t="s">
        <v>262</v>
      </c>
      <c r="E188">
        <f>L188-H188</f>
        <v>-129606</v>
      </c>
      <c r="H188">
        <v>276795</v>
      </c>
      <c r="L188">
        <v>147189</v>
      </c>
    </row>
    <row r="189" spans="2:12" x14ac:dyDescent="0.4">
      <c r="B189" t="s">
        <v>408</v>
      </c>
      <c r="C189" t="s">
        <v>409</v>
      </c>
      <c r="D189" t="s">
        <v>410</v>
      </c>
      <c r="E189">
        <f>L189-H189</f>
        <v>-135371</v>
      </c>
      <c r="H189">
        <v>335893</v>
      </c>
      <c r="L189">
        <v>200522</v>
      </c>
    </row>
    <row r="190" spans="2:12" x14ac:dyDescent="0.4">
      <c r="B190" t="s">
        <v>213</v>
      </c>
      <c r="C190" t="s">
        <v>214</v>
      </c>
      <c r="D190" t="s">
        <v>215</v>
      </c>
      <c r="E190">
        <f t="shared" si="3"/>
        <v>-147060</v>
      </c>
      <c r="H190">
        <v>371417</v>
      </c>
      <c r="L190">
        <v>224357</v>
      </c>
    </row>
    <row r="191" spans="2:12" x14ac:dyDescent="0.4">
      <c r="B191" t="s">
        <v>209</v>
      </c>
      <c r="C191" t="s">
        <v>210</v>
      </c>
      <c r="D191" t="s">
        <v>211</v>
      </c>
      <c r="E191">
        <f t="shared" si="3"/>
        <v>-150017</v>
      </c>
      <c r="H191">
        <v>400776</v>
      </c>
      <c r="L191">
        <v>250759</v>
      </c>
    </row>
    <row r="192" spans="2:12" x14ac:dyDescent="0.4">
      <c r="B192" t="s">
        <v>376</v>
      </c>
      <c r="C192" t="s">
        <v>377</v>
      </c>
      <c r="D192" t="s">
        <v>378</v>
      </c>
      <c r="E192">
        <f t="shared" si="3"/>
        <v>-153946</v>
      </c>
      <c r="H192">
        <v>443413</v>
      </c>
      <c r="L192">
        <v>289467</v>
      </c>
    </row>
    <row r="193" spans="2:12" x14ac:dyDescent="0.4">
      <c r="B193" t="s">
        <v>13</v>
      </c>
      <c r="C193" t="s">
        <v>14</v>
      </c>
      <c r="D193" t="s">
        <v>15</v>
      </c>
      <c r="E193">
        <f t="shared" si="3"/>
        <v>-73473</v>
      </c>
      <c r="H193">
        <v>189554</v>
      </c>
      <c r="L193">
        <v>116081</v>
      </c>
    </row>
    <row r="194" spans="2:12" x14ac:dyDescent="0.4">
      <c r="B194" t="s">
        <v>185</v>
      </c>
      <c r="C194" t="s">
        <v>186</v>
      </c>
      <c r="D194" t="s">
        <v>187</v>
      </c>
      <c r="E194">
        <f t="shared" si="3"/>
        <v>-114894</v>
      </c>
      <c r="H194">
        <v>271833</v>
      </c>
      <c r="L194">
        <v>156939</v>
      </c>
    </row>
    <row r="195" spans="2:12" x14ac:dyDescent="0.4">
      <c r="B195" t="s">
        <v>688</v>
      </c>
      <c r="C195" t="s">
        <v>689</v>
      </c>
      <c r="D195" t="s">
        <v>690</v>
      </c>
      <c r="E195">
        <f t="shared" si="3"/>
        <v>-125934</v>
      </c>
      <c r="H195">
        <v>300384</v>
      </c>
      <c r="L195">
        <v>174450</v>
      </c>
    </row>
    <row r="196" spans="2:12" x14ac:dyDescent="0.4">
      <c r="B196" t="s">
        <v>9</v>
      </c>
      <c r="C196" t="s">
        <v>10</v>
      </c>
      <c r="D196" t="s">
        <v>11</v>
      </c>
      <c r="E196">
        <f t="shared" si="3"/>
        <v>-127434</v>
      </c>
      <c r="H196">
        <v>368539</v>
      </c>
      <c r="L196">
        <v>241105</v>
      </c>
    </row>
    <row r="197" spans="2:12" x14ac:dyDescent="0.4">
      <c r="B197" t="s">
        <v>161</v>
      </c>
      <c r="C197" t="s">
        <v>162</v>
      </c>
      <c r="D197" t="s">
        <v>163</v>
      </c>
      <c r="E197">
        <f t="shared" si="3"/>
        <v>-13521</v>
      </c>
      <c r="H197">
        <v>32283</v>
      </c>
      <c r="L197">
        <v>18762</v>
      </c>
    </row>
    <row r="198" spans="2:12" x14ac:dyDescent="0.4">
      <c r="B198" t="s">
        <v>17</v>
      </c>
      <c r="C198" t="s">
        <v>18</v>
      </c>
      <c r="D198" t="s">
        <v>19</v>
      </c>
      <c r="E198">
        <f t="shared" si="3"/>
        <v>-52857</v>
      </c>
      <c r="H198">
        <v>138688</v>
      </c>
      <c r="L198">
        <v>85831</v>
      </c>
    </row>
    <row r="199" spans="2:12" x14ac:dyDescent="0.4">
      <c r="B199" t="s">
        <v>500</v>
      </c>
      <c r="C199" t="s">
        <v>501</v>
      </c>
      <c r="D199" t="s">
        <v>502</v>
      </c>
      <c r="E199">
        <f t="shared" si="3"/>
        <v>-32595</v>
      </c>
      <c r="H199">
        <v>67286</v>
      </c>
      <c r="L199">
        <v>34691</v>
      </c>
    </row>
    <row r="200" spans="2:12" x14ac:dyDescent="0.4">
      <c r="B200" t="s">
        <v>544</v>
      </c>
      <c r="C200" t="s">
        <v>545</v>
      </c>
      <c r="D200" t="s">
        <v>546</v>
      </c>
      <c r="E200">
        <f t="shared" si="3"/>
        <v>-121062</v>
      </c>
      <c r="H200">
        <v>332704</v>
      </c>
      <c r="L200">
        <v>211642</v>
      </c>
    </row>
    <row r="201" spans="2:12" x14ac:dyDescent="0.4">
      <c r="B201" t="s">
        <v>496</v>
      </c>
      <c r="C201" t="s">
        <v>497</v>
      </c>
      <c r="D201" t="s">
        <v>498</v>
      </c>
      <c r="E201">
        <f t="shared" si="3"/>
        <v>-79571</v>
      </c>
      <c r="H201">
        <v>228121</v>
      </c>
      <c r="L201">
        <v>148550</v>
      </c>
    </row>
    <row r="202" spans="2:12" x14ac:dyDescent="0.4">
      <c r="B202" t="s">
        <v>372</v>
      </c>
      <c r="C202" t="s">
        <v>373</v>
      </c>
      <c r="D202" t="s">
        <v>374</v>
      </c>
      <c r="E202">
        <f t="shared" si="3"/>
        <v>-35261</v>
      </c>
      <c r="H202">
        <v>97999</v>
      </c>
      <c r="L202">
        <v>62738</v>
      </c>
    </row>
    <row r="203" spans="2:12" x14ac:dyDescent="0.4">
      <c r="B203" t="s">
        <v>372</v>
      </c>
      <c r="C203" t="s">
        <v>788</v>
      </c>
      <c r="D203" t="s">
        <v>789</v>
      </c>
      <c r="E203">
        <f t="shared" si="3"/>
        <v>-153946</v>
      </c>
      <c r="H203">
        <v>443413</v>
      </c>
      <c r="L203">
        <v>289467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 (2)</vt:lpstr>
      <vt:lpstr>Synthèse</vt:lpstr>
      <vt:lpstr>Feuil1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Manche</cp:lastModifiedBy>
  <dcterms:created xsi:type="dcterms:W3CDTF">2025-12-15T17:50:41Z</dcterms:created>
  <dcterms:modified xsi:type="dcterms:W3CDTF">2026-03-21T17:04:41Z</dcterms:modified>
</cp:coreProperties>
</file>