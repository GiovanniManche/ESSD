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"/>
    </mc:Choice>
  </mc:AlternateContent>
  <xr:revisionPtr revIDLastSave="13" documentId="13_ncr:1_{EA4EE90D-5F88-5A42-910A-B6446A619315}" xr6:coauthVersionLast="47" xr6:coauthVersionMax="47" xr10:uidLastSave="{FEF5C451-5465-49BF-964E-7B19C5581C9C}"/>
  <bookViews>
    <workbookView xWindow="0" yWindow="10" windowWidth="19190" windowHeight="10070" activeTab="1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3" i="1" l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  <author>tc={0D899E68-CBC0-3C4E-A882-E37DCF27B76E}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0D899E68-CBC0-3C4E-A882-E37DCF27B7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<sst xmlns="http://schemas.openxmlformats.org/spreadsheetml/2006/main" count="97" uniqueCount="44">
  <si>
    <t>Dates</t>
  </si>
  <si>
    <t>Total revenue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</si>
  <si>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</si>
  <si>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</si>
  <si>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</si>
  <si>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</si>
  <si>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</si>
  <si>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</si>
  <si>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</si>
  <si>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</si>
  <si>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</si>
  <si>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</si>
  <si>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</si>
  <si>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</si>
  <si>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</si>
  <si>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Consumer confidence</t>
  </si>
  <si>
    <t>Total expenditure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</si>
  <si>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</si>
  <si>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</si>
  <si>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</si>
  <si>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</si>
  <si>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</si>
  <si>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</si>
  <si>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</si>
  <si>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</si>
  <si>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</si>
  <si>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</si>
  <si>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AAAStable</t>
  </si>
  <si>
    <t>AAANegative watch</t>
  </si>
  <si>
    <t>AA+Negative</t>
  </si>
  <si>
    <t>AaaNegative</t>
  </si>
  <si>
    <t>AAANegative</t>
  </si>
  <si>
    <t>Aa1Negative</t>
  </si>
  <si>
    <t>AA+Stable</t>
  </si>
  <si>
    <t>AAStable</t>
  </si>
  <si>
    <t>AANegative</t>
  </si>
  <si>
    <t>Aa2Stable</t>
  </si>
  <si>
    <t>AAUnder Review</t>
  </si>
  <si>
    <t>Aa2 Positive</t>
  </si>
  <si>
    <t>AA-Stable</t>
  </si>
  <si>
    <t>Aa2Negative</t>
  </si>
  <si>
    <t>Aa3Stable</t>
  </si>
  <si>
    <t>AA-Negative</t>
  </si>
  <si>
    <t>A+Stable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</si>
</sst>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##########"/>
    <numFmt numFmtId="166" formatCode="#,##0.0"/>
  </numFmts>
  <fonts count="2" x14ac:knownFonts="1">
    <font>
      <sz val="12"/>
      <color theme="1"/>
      <name val="Aptos Narrow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3" fontId="1" fillId="3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  <threadedComment ref="P1" dT="2026-02-09T16:16:35.84" personId="{E0F60C48-9375-0B4A-8578-0334C1C9071A}" id="{0D899E68-CBC0-3C4E-A882-E37DCF27B76E}">
    <text>DBnomics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Q314"/>
  <sheetViews>
    <sheetView workbookViewId="0">
      <selection activeCell="C7" sqref="C7"/>
    </sheetView>
  </sheetViews>
  <sheetFormatPr baseColWidth="10" defaultRowHeight="16" x14ac:dyDescent="0.4"/>
  <sheetData>
    <row r="1" spans="1:17" ht="16.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7" x14ac:dyDescent="0.4">
      <c r="A2" s="4">
        <v>36526</v>
      </c>
      <c r="B2" s="6">
        <v>186966</v>
      </c>
      <c r="C2">
        <v>179361.9</v>
      </c>
      <c r="D2">
        <v>95.3</v>
      </c>
      <c r="F2">
        <v>108.8</v>
      </c>
      <c r="G2" s="7">
        <v>68.900000000000006</v>
      </c>
      <c r="H2">
        <v>116.9</v>
      </c>
      <c r="I2">
        <v>52.1</v>
      </c>
      <c r="J2">
        <v>187656</v>
      </c>
      <c r="K2">
        <v>0.8</v>
      </c>
      <c r="L2">
        <v>63.88</v>
      </c>
      <c r="O2">
        <v>8.9699824115209395E-2</v>
      </c>
      <c r="P2">
        <v>-1.4</v>
      </c>
      <c r="Q2" t="str">
        <f>IF(MONTH($A2) = 1, YEAR($A2)&amp;"-Q"&amp;MONTH($A2), IF(MONTH($A2) = 4, YEAR($A2)&amp;"-Q2", IF(MONTH($A2) = 7, YEAR($A2)&amp;"-Q3", IF(MONTH($A2) = 10, YEAR($A2)&amp;"-Q4",""))))</f>
        <v>2000-Q1</v>
      </c>
    </row>
    <row r="3" spans="1:17" x14ac:dyDescent="0.4">
      <c r="A3" s="4">
        <v>36557</v>
      </c>
      <c r="B3" s="6" t="e">
        <v>#N/A</v>
      </c>
      <c r="C3" t="e">
        <v>#N/A</v>
      </c>
      <c r="D3" t="e">
        <v>#N/A</v>
      </c>
      <c r="F3">
        <v>109</v>
      </c>
      <c r="G3" s="7">
        <v>68.8</v>
      </c>
      <c r="H3">
        <v>118.3</v>
      </c>
      <c r="I3">
        <v>52.7</v>
      </c>
      <c r="J3" t="e">
        <v>#N/A</v>
      </c>
      <c r="K3">
        <v>0.4</v>
      </c>
      <c r="L3">
        <v>64.38</v>
      </c>
      <c r="O3">
        <v>1.5242704242000501E-2</v>
      </c>
      <c r="P3">
        <v>-1.8</v>
      </c>
      <c r="Q3" t="str">
        <f t="shared" ref="Q3:Q66" si="0">IF(MONTH($A3) = 1, YEAR($A3)&amp;"-Q"&amp;MONTH($A3), IF(MONTH($A3) = 4, YEAR($A3)&amp;"-Q2", IF(MONTH($A3) = 7, YEAR($A3)&amp;"-Q3", IF(MONTH($A3) = 10, YEAR($A3)&amp;"-Q4",""))))</f>
        <v/>
      </c>
    </row>
    <row r="4" spans="1:17" x14ac:dyDescent="0.4">
      <c r="A4" s="4">
        <v>36586</v>
      </c>
      <c r="B4" s="6" t="e">
        <v>#N/A</v>
      </c>
      <c r="C4" t="e">
        <v>#N/A</v>
      </c>
      <c r="D4" t="e">
        <v>#N/A</v>
      </c>
      <c r="F4">
        <v>109.8</v>
      </c>
      <c r="G4" s="6">
        <v>70</v>
      </c>
      <c r="H4">
        <v>120.7</v>
      </c>
      <c r="I4">
        <v>52.7</v>
      </c>
      <c r="J4" t="e">
        <v>#N/A</v>
      </c>
      <c r="K4">
        <v>0.5</v>
      </c>
      <c r="L4">
        <v>65.459999999999994</v>
      </c>
      <c r="O4">
        <v>2.1041675052957801E-2</v>
      </c>
      <c r="P4">
        <v>-1</v>
      </c>
      <c r="Q4" t="str">
        <f t="shared" si="0"/>
        <v/>
      </c>
    </row>
    <row r="5" spans="1:17" x14ac:dyDescent="0.4">
      <c r="A5" s="4">
        <v>36617</v>
      </c>
      <c r="B5" s="6">
        <v>189314.5</v>
      </c>
      <c r="C5">
        <v>184989.6</v>
      </c>
      <c r="D5">
        <v>95.6</v>
      </c>
      <c r="F5">
        <v>110.5</v>
      </c>
      <c r="G5" s="7">
        <v>70.5</v>
      </c>
      <c r="H5">
        <v>120.4</v>
      </c>
      <c r="I5">
        <v>53.4</v>
      </c>
      <c r="J5">
        <v>190156</v>
      </c>
      <c r="K5">
        <v>0.5</v>
      </c>
      <c r="L5">
        <v>64.72</v>
      </c>
      <c r="O5">
        <v>1.01814752258989E-3</v>
      </c>
      <c r="P5">
        <v>0.1</v>
      </c>
      <c r="Q5" t="str">
        <f t="shared" si="0"/>
        <v>2000-Q2</v>
      </c>
    </row>
    <row r="6" spans="1:17" x14ac:dyDescent="0.4">
      <c r="A6" s="4">
        <v>36647</v>
      </c>
      <c r="B6" s="6" t="e">
        <v>#N/A</v>
      </c>
      <c r="C6" t="e">
        <v>#N/A</v>
      </c>
      <c r="D6" t="e">
        <v>#N/A</v>
      </c>
      <c r="F6">
        <v>111.9</v>
      </c>
      <c r="G6" s="7">
        <v>70.8</v>
      </c>
      <c r="H6">
        <v>120.2</v>
      </c>
      <c r="I6">
        <v>53.6</v>
      </c>
      <c r="J6" t="e">
        <v>#N/A</v>
      </c>
      <c r="K6">
        <v>0.5</v>
      </c>
      <c r="L6">
        <v>65.34</v>
      </c>
      <c r="O6">
        <v>3.15087479394727E-3</v>
      </c>
      <c r="P6">
        <v>-0.1</v>
      </c>
      <c r="Q6" t="str">
        <f t="shared" si="0"/>
        <v/>
      </c>
    </row>
    <row r="7" spans="1:17" x14ac:dyDescent="0.4">
      <c r="A7" s="4">
        <v>36678</v>
      </c>
      <c r="B7" s="6" t="e">
        <v>#N/A</v>
      </c>
      <c r="C7" t="e">
        <v>#N/A</v>
      </c>
      <c r="D7" t="e">
        <v>#N/A</v>
      </c>
      <c r="F7">
        <v>110.4</v>
      </c>
      <c r="G7" s="7">
        <v>71.5</v>
      </c>
      <c r="H7">
        <v>122.6</v>
      </c>
      <c r="I7">
        <v>53.2</v>
      </c>
      <c r="J7" t="e">
        <v>#N/A</v>
      </c>
      <c r="K7">
        <v>0.6</v>
      </c>
      <c r="L7">
        <v>66.430000000000007</v>
      </c>
      <c r="O7">
        <v>1.47743039504462E-2</v>
      </c>
      <c r="P7">
        <v>-0.1</v>
      </c>
      <c r="Q7" t="str">
        <f t="shared" si="0"/>
        <v/>
      </c>
    </row>
    <row r="8" spans="1:17" x14ac:dyDescent="0.4">
      <c r="A8" s="4">
        <v>36708</v>
      </c>
      <c r="B8" s="6">
        <v>191076.2</v>
      </c>
      <c r="C8">
        <v>184807.6</v>
      </c>
      <c r="D8">
        <v>96.2</v>
      </c>
      <c r="F8">
        <v>111.7</v>
      </c>
      <c r="G8" s="6">
        <v>73</v>
      </c>
      <c r="H8">
        <v>121.7</v>
      </c>
      <c r="I8">
        <v>54</v>
      </c>
      <c r="J8">
        <v>192554.2</v>
      </c>
      <c r="K8">
        <v>0.8</v>
      </c>
      <c r="L8">
        <v>66.819999999999993</v>
      </c>
      <c r="O8">
        <v>1.2595891520739101E-2</v>
      </c>
      <c r="P8">
        <v>1.2</v>
      </c>
      <c r="Q8" t="str">
        <f t="shared" si="0"/>
        <v>2000-Q3</v>
      </c>
    </row>
    <row r="9" spans="1:17" x14ac:dyDescent="0.4">
      <c r="A9" s="4">
        <v>36739</v>
      </c>
      <c r="B9" s="6" t="e">
        <v>#N/A</v>
      </c>
      <c r="C9" t="e">
        <v>#N/A</v>
      </c>
      <c r="D9" t="e">
        <v>#N/A</v>
      </c>
      <c r="F9">
        <v>110.6</v>
      </c>
      <c r="G9" s="7">
        <v>72.3</v>
      </c>
      <c r="H9">
        <v>121.4</v>
      </c>
      <c r="I9">
        <v>54.2</v>
      </c>
      <c r="J9" t="e">
        <v>#N/A</v>
      </c>
      <c r="K9">
        <v>1</v>
      </c>
      <c r="L9">
        <v>66.75</v>
      </c>
      <c r="O9">
        <v>-5.5675042910936098E-2</v>
      </c>
      <c r="P9">
        <v>-0.9</v>
      </c>
      <c r="Q9" t="str">
        <f t="shared" si="0"/>
        <v/>
      </c>
    </row>
    <row r="10" spans="1:17" x14ac:dyDescent="0.4">
      <c r="A10" s="4">
        <v>36770</v>
      </c>
      <c r="B10" s="6" t="e">
        <v>#N/A</v>
      </c>
      <c r="C10" t="e">
        <v>#N/A</v>
      </c>
      <c r="D10" t="e">
        <v>#N/A</v>
      </c>
      <c r="F10">
        <v>111</v>
      </c>
      <c r="G10" s="6">
        <v>73</v>
      </c>
      <c r="H10">
        <v>120.8</v>
      </c>
      <c r="I10">
        <v>54.7</v>
      </c>
      <c r="J10" t="e">
        <v>#N/A</v>
      </c>
      <c r="K10">
        <v>1.1000000000000001</v>
      </c>
      <c r="L10">
        <v>69.62</v>
      </c>
      <c r="O10">
        <v>2.0693611544897898E-2</v>
      </c>
      <c r="P10">
        <v>-3.1</v>
      </c>
      <c r="Q10" t="str">
        <f t="shared" si="0"/>
        <v/>
      </c>
    </row>
    <row r="11" spans="1:17" x14ac:dyDescent="0.4">
      <c r="A11" s="4">
        <v>36800</v>
      </c>
      <c r="B11" s="6">
        <v>188896</v>
      </c>
      <c r="C11">
        <v>199495.2</v>
      </c>
      <c r="D11">
        <v>96.7</v>
      </c>
      <c r="F11">
        <v>112.2</v>
      </c>
      <c r="G11" s="7">
        <v>73.3</v>
      </c>
      <c r="H11">
        <v>121.8</v>
      </c>
      <c r="I11">
        <v>55.3</v>
      </c>
      <c r="J11">
        <v>194239.6</v>
      </c>
      <c r="K11">
        <v>1.2</v>
      </c>
      <c r="L11">
        <v>68.12</v>
      </c>
      <c r="O11">
        <v>-7.62319265733193E-2</v>
      </c>
      <c r="P11">
        <v>-0.8</v>
      </c>
      <c r="Q11" t="str">
        <f t="shared" si="0"/>
        <v>2000-Q4</v>
      </c>
    </row>
    <row r="12" spans="1:17" x14ac:dyDescent="0.4">
      <c r="A12" s="4">
        <v>36831</v>
      </c>
      <c r="B12" s="6" t="e">
        <v>#N/A</v>
      </c>
      <c r="C12" t="e">
        <v>#N/A</v>
      </c>
      <c r="D12" t="e">
        <v>#N/A</v>
      </c>
      <c r="F12">
        <v>112.1</v>
      </c>
      <c r="G12" s="7">
        <v>73.5</v>
      </c>
      <c r="H12">
        <v>118.7</v>
      </c>
      <c r="I12">
        <v>56.5</v>
      </c>
      <c r="J12" t="e">
        <v>#N/A</v>
      </c>
      <c r="K12">
        <v>1.3</v>
      </c>
      <c r="L12">
        <v>69.05</v>
      </c>
      <c r="O12">
        <v>-2.8008878668117599E-4</v>
      </c>
      <c r="P12">
        <v>-0.7</v>
      </c>
      <c r="Q12" t="str">
        <f t="shared" si="0"/>
        <v/>
      </c>
    </row>
    <row r="13" spans="1:17" x14ac:dyDescent="0.4">
      <c r="A13" s="4">
        <v>36861</v>
      </c>
      <c r="B13" s="6" t="e">
        <v>#N/A</v>
      </c>
      <c r="C13" t="e">
        <v>#N/A</v>
      </c>
      <c r="D13" t="e">
        <v>#N/A</v>
      </c>
      <c r="F13">
        <v>113.2</v>
      </c>
      <c r="G13" s="7">
        <v>75.099999999999994</v>
      </c>
      <c r="H13">
        <v>116.2</v>
      </c>
      <c r="I13">
        <v>54.7</v>
      </c>
      <c r="J13" t="e">
        <v>#N/A</v>
      </c>
      <c r="K13">
        <v>1.2</v>
      </c>
      <c r="L13">
        <v>67.88</v>
      </c>
      <c r="O13">
        <v>1.20875023888498E-2</v>
      </c>
      <c r="P13">
        <v>1.3</v>
      </c>
      <c r="Q13" t="str">
        <f t="shared" si="0"/>
        <v/>
      </c>
    </row>
    <row r="14" spans="1:17" x14ac:dyDescent="0.4">
      <c r="A14" s="4">
        <v>36892</v>
      </c>
      <c r="B14" s="6">
        <v>192483</v>
      </c>
      <c r="C14">
        <v>188021.3</v>
      </c>
      <c r="D14">
        <v>96.3</v>
      </c>
      <c r="F14">
        <v>112.5</v>
      </c>
      <c r="G14" s="6">
        <v>73</v>
      </c>
      <c r="H14">
        <v>116.5</v>
      </c>
      <c r="I14">
        <v>56</v>
      </c>
      <c r="J14">
        <v>196374.6</v>
      </c>
      <c r="K14">
        <v>1.3</v>
      </c>
      <c r="L14">
        <v>64.790000000000006</v>
      </c>
      <c r="O14">
        <v>-0.111149288964787</v>
      </c>
      <c r="P14">
        <v>2</v>
      </c>
      <c r="Q14" t="str">
        <f t="shared" si="0"/>
        <v>2001-Q1</v>
      </c>
    </row>
    <row r="15" spans="1:17" x14ac:dyDescent="0.4">
      <c r="A15" s="4">
        <v>36923</v>
      </c>
      <c r="B15" s="6" t="e">
        <v>#N/A</v>
      </c>
      <c r="C15" t="e">
        <v>#N/A</v>
      </c>
      <c r="D15" t="e">
        <v>#N/A</v>
      </c>
      <c r="F15">
        <v>113.2</v>
      </c>
      <c r="G15" s="7">
        <v>75.099999999999994</v>
      </c>
      <c r="H15">
        <v>117.1</v>
      </c>
      <c r="I15">
        <v>55.8</v>
      </c>
      <c r="J15" t="e">
        <v>#N/A</v>
      </c>
      <c r="K15">
        <v>1.5</v>
      </c>
      <c r="L15">
        <v>65.260000000000005</v>
      </c>
      <c r="O15">
        <v>-3.5466558208662798E-2</v>
      </c>
      <c r="P15">
        <v>0.5</v>
      </c>
      <c r="Q15" t="str">
        <f t="shared" si="0"/>
        <v/>
      </c>
    </row>
    <row r="16" spans="1:17" x14ac:dyDescent="0.4">
      <c r="A16" s="4">
        <v>36951</v>
      </c>
      <c r="B16" s="6" t="e">
        <v>#N/A</v>
      </c>
      <c r="C16" t="e">
        <v>#N/A</v>
      </c>
      <c r="D16" t="e">
        <v>#N/A</v>
      </c>
      <c r="F16">
        <v>113.8</v>
      </c>
      <c r="G16" s="7">
        <v>74.400000000000006</v>
      </c>
      <c r="H16">
        <v>115.1</v>
      </c>
      <c r="I16">
        <v>56</v>
      </c>
      <c r="J16" t="e">
        <v>#N/A</v>
      </c>
      <c r="K16">
        <v>1.7</v>
      </c>
      <c r="L16">
        <v>65.06</v>
      </c>
      <c r="O16">
        <v>8.4997383765195195E-2</v>
      </c>
      <c r="P16">
        <v>-0.8</v>
      </c>
      <c r="Q16" t="str">
        <f t="shared" si="0"/>
        <v/>
      </c>
    </row>
    <row r="17" spans="1:17" x14ac:dyDescent="0.4">
      <c r="A17" s="4">
        <v>36982</v>
      </c>
      <c r="B17" s="6">
        <v>200179.20000000001</v>
      </c>
      <c r="C17">
        <v>193983.9</v>
      </c>
      <c r="D17">
        <v>95.9</v>
      </c>
      <c r="F17">
        <v>111.9</v>
      </c>
      <c r="G17" s="7">
        <v>73.3</v>
      </c>
      <c r="H17">
        <v>110.9</v>
      </c>
      <c r="I17">
        <v>57.2</v>
      </c>
      <c r="J17">
        <v>199295.7</v>
      </c>
      <c r="K17">
        <v>2</v>
      </c>
      <c r="L17">
        <v>65.72</v>
      </c>
      <c r="O17">
        <v>-3.3505236661358899E-2</v>
      </c>
      <c r="P17">
        <v>-1.5</v>
      </c>
      <c r="Q17" t="str">
        <f t="shared" si="0"/>
        <v>2001-Q2</v>
      </c>
    </row>
    <row r="18" spans="1:17" x14ac:dyDescent="0.4">
      <c r="A18" s="4">
        <v>37012</v>
      </c>
      <c r="B18" s="6" t="e">
        <v>#N/A</v>
      </c>
      <c r="C18" t="e">
        <v>#N/A</v>
      </c>
      <c r="D18" t="e">
        <v>#N/A</v>
      </c>
      <c r="F18">
        <v>112.8</v>
      </c>
      <c r="G18" s="7">
        <v>74.8</v>
      </c>
      <c r="H18">
        <v>106.7</v>
      </c>
      <c r="I18">
        <v>56.6</v>
      </c>
      <c r="J18" t="e">
        <v>#N/A</v>
      </c>
      <c r="K18">
        <v>2.2999999999999998</v>
      </c>
      <c r="L18">
        <v>67.650000000000006</v>
      </c>
      <c r="O18">
        <v>-4.28661411882914E-2</v>
      </c>
      <c r="P18">
        <v>-4.7</v>
      </c>
      <c r="Q18" t="str">
        <f t="shared" si="0"/>
        <v/>
      </c>
    </row>
    <row r="19" spans="1:17" x14ac:dyDescent="0.4">
      <c r="A19" s="4">
        <v>37043</v>
      </c>
      <c r="B19" s="6" t="e">
        <v>#N/A</v>
      </c>
      <c r="C19" t="e">
        <v>#N/A</v>
      </c>
      <c r="D19" t="e">
        <v>#N/A</v>
      </c>
      <c r="F19">
        <v>112.9</v>
      </c>
      <c r="G19" s="7">
        <v>74.599999999999994</v>
      </c>
      <c r="H19">
        <v>107.5</v>
      </c>
      <c r="I19">
        <v>57.8</v>
      </c>
      <c r="J19" t="e">
        <v>#N/A</v>
      </c>
      <c r="K19">
        <v>2.2999999999999998</v>
      </c>
      <c r="L19">
        <v>67.59</v>
      </c>
      <c r="O19">
        <v>-2.7122695332700199E-2</v>
      </c>
      <c r="P19">
        <v>-4.8</v>
      </c>
      <c r="Q19" t="str">
        <f t="shared" si="0"/>
        <v/>
      </c>
    </row>
    <row r="20" spans="1:17" x14ac:dyDescent="0.4">
      <c r="A20" s="4">
        <v>37073</v>
      </c>
      <c r="B20" s="6">
        <v>196251.8</v>
      </c>
      <c r="C20">
        <v>192649.1</v>
      </c>
      <c r="D20">
        <v>95.5</v>
      </c>
      <c r="F20">
        <v>111.2</v>
      </c>
      <c r="G20" s="7">
        <v>74.400000000000006</v>
      </c>
      <c r="H20">
        <v>104.4</v>
      </c>
      <c r="I20">
        <v>56.9</v>
      </c>
      <c r="J20">
        <v>200585.9</v>
      </c>
      <c r="K20">
        <v>2.5</v>
      </c>
      <c r="L20">
        <v>66.36</v>
      </c>
      <c r="O20">
        <v>-8.1103459081191404E-2</v>
      </c>
      <c r="P20">
        <v>-4.7</v>
      </c>
      <c r="Q20" t="str">
        <f t="shared" si="0"/>
        <v>2001-Q3</v>
      </c>
    </row>
    <row r="21" spans="1:17" x14ac:dyDescent="0.4">
      <c r="A21" s="4">
        <v>37104</v>
      </c>
      <c r="B21" s="6" t="e">
        <v>#N/A</v>
      </c>
      <c r="C21" t="e">
        <v>#N/A</v>
      </c>
      <c r="D21" t="e">
        <v>#N/A</v>
      </c>
      <c r="F21">
        <v>114.1</v>
      </c>
      <c r="G21" s="6">
        <v>76</v>
      </c>
      <c r="H21">
        <v>101.2</v>
      </c>
      <c r="I21">
        <v>56.8</v>
      </c>
      <c r="J21" t="e">
        <v>#N/A</v>
      </c>
      <c r="K21">
        <v>2.4</v>
      </c>
      <c r="L21">
        <v>65.459999999999994</v>
      </c>
      <c r="O21">
        <v>-0.139435046014391</v>
      </c>
      <c r="P21">
        <v>-6.1</v>
      </c>
      <c r="Q21" t="str">
        <f t="shared" si="0"/>
        <v/>
      </c>
    </row>
    <row r="22" spans="1:17" x14ac:dyDescent="0.4">
      <c r="A22" s="4">
        <v>37135</v>
      </c>
      <c r="B22" s="6" t="e">
        <v>#N/A</v>
      </c>
      <c r="C22" t="e">
        <v>#N/A</v>
      </c>
      <c r="D22" t="e">
        <v>#N/A</v>
      </c>
      <c r="F22">
        <v>112.4</v>
      </c>
      <c r="G22" s="7">
        <v>74.8</v>
      </c>
      <c r="H22">
        <v>97.8</v>
      </c>
      <c r="I22">
        <v>57</v>
      </c>
      <c r="J22" t="e">
        <v>#N/A</v>
      </c>
      <c r="K22">
        <v>2.2999999999999998</v>
      </c>
      <c r="L22">
        <v>65.989999999999995</v>
      </c>
      <c r="O22">
        <v>6.2314779693515697E-2</v>
      </c>
      <c r="P22">
        <v>-7.6</v>
      </c>
      <c r="Q22" t="str">
        <f t="shared" si="0"/>
        <v/>
      </c>
    </row>
    <row r="23" spans="1:17" x14ac:dyDescent="0.4">
      <c r="A23" s="4">
        <v>37165</v>
      </c>
      <c r="B23" s="6">
        <v>197781.3</v>
      </c>
      <c r="C23">
        <v>206989.2</v>
      </c>
      <c r="D23">
        <v>95.4</v>
      </c>
      <c r="F23">
        <v>111.6</v>
      </c>
      <c r="G23" s="6">
        <v>74</v>
      </c>
      <c r="H23">
        <v>94.9</v>
      </c>
      <c r="I23">
        <v>56.2</v>
      </c>
      <c r="J23">
        <v>201426.2</v>
      </c>
      <c r="K23">
        <v>2.4</v>
      </c>
      <c r="L23">
        <v>65.2</v>
      </c>
      <c r="O23">
        <v>3.0571660308368099E-2</v>
      </c>
      <c r="P23">
        <v>-6.5</v>
      </c>
      <c r="Q23" t="str">
        <f t="shared" si="0"/>
        <v>2001-Q4</v>
      </c>
    </row>
    <row r="24" spans="1:17" x14ac:dyDescent="0.4">
      <c r="A24" s="4">
        <v>37196</v>
      </c>
      <c r="B24" s="6" t="e">
        <v>#N/A</v>
      </c>
      <c r="C24" t="e">
        <v>#N/A</v>
      </c>
      <c r="D24" t="e">
        <v>#N/A</v>
      </c>
      <c r="F24">
        <v>110.3</v>
      </c>
      <c r="G24" s="7">
        <v>73.5</v>
      </c>
      <c r="H24">
        <v>92</v>
      </c>
      <c r="I24">
        <v>56.8</v>
      </c>
      <c r="J24" t="e">
        <v>#N/A</v>
      </c>
      <c r="K24">
        <v>2.1</v>
      </c>
      <c r="L24">
        <v>64.19</v>
      </c>
      <c r="O24">
        <v>3.2642364647406601E-2</v>
      </c>
      <c r="P24">
        <v>-5</v>
      </c>
      <c r="Q24" t="str">
        <f t="shared" si="0"/>
        <v/>
      </c>
    </row>
    <row r="25" spans="1:17" x14ac:dyDescent="0.4">
      <c r="A25" s="4">
        <v>37226</v>
      </c>
      <c r="B25" s="6" t="e">
        <v>#N/A</v>
      </c>
      <c r="C25" t="e">
        <v>#N/A</v>
      </c>
      <c r="D25" t="e">
        <v>#N/A</v>
      </c>
      <c r="F25">
        <v>110.8</v>
      </c>
      <c r="G25" s="7">
        <v>74.400000000000006</v>
      </c>
      <c r="H25">
        <v>94.1</v>
      </c>
      <c r="I25">
        <v>58.2</v>
      </c>
      <c r="J25" t="e">
        <v>#N/A</v>
      </c>
      <c r="K25">
        <v>2.2999999999999998</v>
      </c>
      <c r="L25">
        <v>63.15</v>
      </c>
      <c r="O25">
        <v>-3.5817585990407998E-2</v>
      </c>
      <c r="P25">
        <v>-4.0999999999999996</v>
      </c>
      <c r="Q25" t="str">
        <f t="shared" si="0"/>
        <v/>
      </c>
    </row>
    <row r="26" spans="1:17" x14ac:dyDescent="0.4">
      <c r="A26" s="4">
        <v>37257</v>
      </c>
      <c r="B26" s="6">
        <v>198216.7</v>
      </c>
      <c r="C26">
        <v>196248.7</v>
      </c>
      <c r="D26">
        <v>94.8</v>
      </c>
      <c r="F26">
        <v>110.8</v>
      </c>
      <c r="G26" s="7">
        <v>75.2</v>
      </c>
      <c r="H26">
        <v>99.1</v>
      </c>
      <c r="I26">
        <v>56.1</v>
      </c>
      <c r="J26">
        <v>202714.3</v>
      </c>
      <c r="K26">
        <v>2.9</v>
      </c>
      <c r="L26">
        <v>63.16</v>
      </c>
      <c r="O26">
        <v>2.51010581513E-4</v>
      </c>
      <c r="P26">
        <v>-4</v>
      </c>
      <c r="Q26" t="str">
        <f t="shared" si="0"/>
        <v>2002-Q1</v>
      </c>
    </row>
    <row r="27" spans="1:17" x14ac:dyDescent="0.4">
      <c r="A27" s="4">
        <v>37288</v>
      </c>
      <c r="B27" s="6" t="e">
        <v>#N/A</v>
      </c>
      <c r="C27" t="e">
        <v>#N/A</v>
      </c>
      <c r="D27" t="e">
        <v>#N/A</v>
      </c>
      <c r="F27">
        <v>111.3</v>
      </c>
      <c r="G27" s="7">
        <v>74.599999999999994</v>
      </c>
      <c r="H27">
        <v>100.6</v>
      </c>
      <c r="I27">
        <v>58</v>
      </c>
      <c r="J27" t="e">
        <v>#N/A</v>
      </c>
      <c r="K27">
        <v>2.7</v>
      </c>
      <c r="L27">
        <v>63.17</v>
      </c>
      <c r="O27">
        <v>4.9191325128862901E-2</v>
      </c>
      <c r="P27">
        <v>-3.9</v>
      </c>
      <c r="Q27" t="str">
        <f t="shared" si="0"/>
        <v/>
      </c>
    </row>
    <row r="28" spans="1:17" x14ac:dyDescent="0.4">
      <c r="A28" s="4">
        <v>37316</v>
      </c>
      <c r="B28" s="6" t="e">
        <v>#N/A</v>
      </c>
      <c r="C28" t="e">
        <v>#N/A</v>
      </c>
      <c r="D28" t="e">
        <v>#N/A</v>
      </c>
      <c r="F28">
        <v>111.8</v>
      </c>
      <c r="G28" s="7">
        <v>74.400000000000006</v>
      </c>
      <c r="H28">
        <v>102.9</v>
      </c>
      <c r="I28">
        <v>57.7</v>
      </c>
      <c r="J28" t="e">
        <v>#N/A</v>
      </c>
      <c r="K28">
        <v>2.6</v>
      </c>
      <c r="L28">
        <v>63.7</v>
      </c>
      <c r="O28">
        <v>-4.9247342953048397E-2</v>
      </c>
      <c r="P28">
        <v>-3.8</v>
      </c>
      <c r="Q28" t="str">
        <f t="shared" si="0"/>
        <v/>
      </c>
    </row>
    <row r="29" spans="1:17" x14ac:dyDescent="0.4">
      <c r="A29" s="4">
        <v>37347</v>
      </c>
      <c r="B29" s="6">
        <v>203615.7</v>
      </c>
      <c r="C29">
        <v>202346.4</v>
      </c>
      <c r="D29">
        <v>94.3</v>
      </c>
      <c r="F29">
        <v>112.5</v>
      </c>
      <c r="G29" s="7">
        <v>75.900000000000006</v>
      </c>
      <c r="H29">
        <v>103.7</v>
      </c>
      <c r="I29">
        <v>57.6</v>
      </c>
      <c r="J29">
        <v>204278.1</v>
      </c>
      <c r="K29">
        <v>2.4</v>
      </c>
      <c r="L29">
        <v>65.14</v>
      </c>
      <c r="O29">
        <v>-4.3063059390183497E-2</v>
      </c>
      <c r="P29">
        <v>-5.5</v>
      </c>
      <c r="Q29" t="str">
        <f t="shared" si="0"/>
        <v>2002-Q2</v>
      </c>
    </row>
    <row r="30" spans="1:17" x14ac:dyDescent="0.4">
      <c r="A30" s="4">
        <v>37377</v>
      </c>
      <c r="B30" s="6" t="e">
        <v>#N/A</v>
      </c>
      <c r="C30" t="e">
        <v>#N/A</v>
      </c>
      <c r="D30" t="e">
        <v>#N/A</v>
      </c>
      <c r="F30">
        <v>111.6</v>
      </c>
      <c r="G30" s="7">
        <v>75.599999999999994</v>
      </c>
      <c r="H30">
        <v>108.3</v>
      </c>
      <c r="I30">
        <v>58.5</v>
      </c>
      <c r="J30" t="e">
        <v>#N/A</v>
      </c>
      <c r="K30">
        <v>2.1</v>
      </c>
      <c r="L30">
        <v>64.81</v>
      </c>
      <c r="O30">
        <v>-9.2238887141570899E-2</v>
      </c>
      <c r="P30">
        <v>-2.2000000000000002</v>
      </c>
      <c r="Q30" t="str">
        <f t="shared" si="0"/>
        <v/>
      </c>
    </row>
    <row r="31" spans="1:17" x14ac:dyDescent="0.4">
      <c r="A31" s="4">
        <v>37408</v>
      </c>
      <c r="B31" s="6" t="e">
        <v>#N/A</v>
      </c>
      <c r="C31" t="e">
        <v>#N/A</v>
      </c>
      <c r="D31" t="e">
        <v>#N/A</v>
      </c>
      <c r="F31">
        <v>111.5</v>
      </c>
      <c r="G31" s="7">
        <v>74.5</v>
      </c>
      <c r="H31">
        <v>104.9</v>
      </c>
      <c r="I31">
        <v>58.1</v>
      </c>
      <c r="J31" t="e">
        <v>#N/A</v>
      </c>
      <c r="K31">
        <v>2.1</v>
      </c>
      <c r="L31">
        <v>64.12</v>
      </c>
      <c r="O31">
        <v>-0.132172306845943</v>
      </c>
      <c r="P31">
        <v>-3</v>
      </c>
      <c r="Q31" t="str">
        <f t="shared" si="0"/>
        <v/>
      </c>
    </row>
    <row r="32" spans="1:17" x14ac:dyDescent="0.4">
      <c r="A32" s="4">
        <v>37438</v>
      </c>
      <c r="B32" s="6">
        <v>201005</v>
      </c>
      <c r="C32">
        <v>200497.2</v>
      </c>
      <c r="D32">
        <v>94.2</v>
      </c>
      <c r="F32">
        <v>110.5</v>
      </c>
      <c r="G32" s="7">
        <v>74.400000000000006</v>
      </c>
      <c r="H32">
        <v>101</v>
      </c>
      <c r="I32">
        <v>58.4</v>
      </c>
      <c r="J32">
        <v>206133.3</v>
      </c>
      <c r="K32">
        <v>2.1</v>
      </c>
      <c r="L32">
        <v>63.77</v>
      </c>
      <c r="O32">
        <v>-1.4501255502644E-2</v>
      </c>
      <c r="P32">
        <v>-4.3</v>
      </c>
      <c r="Q32" t="str">
        <f t="shared" si="0"/>
        <v>2002-Q3</v>
      </c>
    </row>
    <row r="33" spans="1:17" x14ac:dyDescent="0.4">
      <c r="A33" s="4">
        <v>37469</v>
      </c>
      <c r="B33" s="6" t="e">
        <v>#N/A</v>
      </c>
      <c r="C33" t="e">
        <v>#N/A</v>
      </c>
      <c r="D33" t="e">
        <v>#N/A</v>
      </c>
      <c r="F33">
        <v>112.4</v>
      </c>
      <c r="G33" s="7">
        <v>75.599999999999994</v>
      </c>
      <c r="H33">
        <v>99.9</v>
      </c>
      <c r="I33">
        <v>58.5</v>
      </c>
      <c r="J33" t="e">
        <v>#N/A</v>
      </c>
      <c r="K33">
        <v>2.1</v>
      </c>
      <c r="L33">
        <v>64.63</v>
      </c>
      <c r="O33">
        <v>-0.192254247820797</v>
      </c>
      <c r="P33">
        <v>-5.4</v>
      </c>
      <c r="Q33" t="str">
        <f t="shared" si="0"/>
        <v/>
      </c>
    </row>
    <row r="34" spans="1:17" x14ac:dyDescent="0.4">
      <c r="A34" s="4">
        <v>37500</v>
      </c>
      <c r="B34" s="6" t="e">
        <v>#N/A</v>
      </c>
      <c r="C34" t="e">
        <v>#N/A</v>
      </c>
      <c r="D34" t="e">
        <v>#N/A</v>
      </c>
      <c r="F34">
        <v>111.1</v>
      </c>
      <c r="G34" s="7">
        <v>75.3</v>
      </c>
      <c r="H34">
        <v>98.8</v>
      </c>
      <c r="I34">
        <v>58.4</v>
      </c>
      <c r="J34" t="e">
        <v>#N/A</v>
      </c>
      <c r="K34">
        <v>2.1</v>
      </c>
      <c r="L34">
        <v>65.5</v>
      </c>
      <c r="O34">
        <v>0.12588194058101901</v>
      </c>
      <c r="P34">
        <v>-6.7</v>
      </c>
      <c r="Q34" t="str">
        <f t="shared" si="0"/>
        <v/>
      </c>
    </row>
    <row r="35" spans="1:17" x14ac:dyDescent="0.4">
      <c r="A35" s="4">
        <v>37530</v>
      </c>
      <c r="B35" s="6">
        <v>198356.8</v>
      </c>
      <c r="C35">
        <v>214701.7</v>
      </c>
      <c r="D35">
        <v>94.4</v>
      </c>
      <c r="F35">
        <v>110.2</v>
      </c>
      <c r="G35" s="7">
        <v>75.099999999999994</v>
      </c>
      <c r="H35">
        <v>98.5</v>
      </c>
      <c r="I35">
        <v>58.5</v>
      </c>
      <c r="J35">
        <v>207828.3</v>
      </c>
      <c r="K35">
        <v>2</v>
      </c>
      <c r="L35">
        <v>66.010000000000005</v>
      </c>
      <c r="O35">
        <v>5.4550598696685902E-2</v>
      </c>
      <c r="P35">
        <v>-5.3</v>
      </c>
      <c r="Q35" t="str">
        <f t="shared" si="0"/>
        <v>2002-Q4</v>
      </c>
    </row>
    <row r="36" spans="1:17" x14ac:dyDescent="0.4">
      <c r="A36" s="4">
        <v>37561</v>
      </c>
      <c r="B36" s="6" t="e">
        <v>#N/A</v>
      </c>
      <c r="C36" t="e">
        <v>#N/A</v>
      </c>
      <c r="D36" t="e">
        <v>#N/A</v>
      </c>
      <c r="F36">
        <v>111.2</v>
      </c>
      <c r="G36" s="7">
        <v>75.400000000000006</v>
      </c>
      <c r="H36">
        <v>97.5</v>
      </c>
      <c r="I36">
        <v>58.8</v>
      </c>
      <c r="J36" t="e">
        <v>#N/A</v>
      </c>
      <c r="K36">
        <v>2.1</v>
      </c>
      <c r="L36">
        <v>65.41</v>
      </c>
      <c r="O36">
        <v>-8.22739128739194E-2</v>
      </c>
      <c r="P36">
        <v>-5.0999999999999996</v>
      </c>
      <c r="Q36" t="str">
        <f t="shared" si="0"/>
        <v/>
      </c>
    </row>
    <row r="37" spans="1:17" x14ac:dyDescent="0.4">
      <c r="A37" s="4">
        <v>37591</v>
      </c>
      <c r="B37" s="6" t="e">
        <v>#N/A</v>
      </c>
      <c r="C37" t="e">
        <v>#N/A</v>
      </c>
      <c r="D37" t="e">
        <v>#N/A</v>
      </c>
      <c r="F37">
        <v>108.6</v>
      </c>
      <c r="G37" s="7">
        <v>75.099999999999994</v>
      </c>
      <c r="H37">
        <v>101.7</v>
      </c>
      <c r="I37">
        <v>57.9</v>
      </c>
      <c r="J37" t="e">
        <v>#N/A</v>
      </c>
      <c r="K37">
        <v>2</v>
      </c>
      <c r="L37">
        <v>65.47</v>
      </c>
      <c r="O37">
        <v>-4.2003656475575503E-2</v>
      </c>
      <c r="P37">
        <v>-4.4000000000000004</v>
      </c>
      <c r="Q37" t="str">
        <f t="shared" si="0"/>
        <v/>
      </c>
    </row>
    <row r="38" spans="1:17" x14ac:dyDescent="0.4">
      <c r="A38" s="4">
        <v>37622</v>
      </c>
      <c r="B38" s="6">
        <v>201412.5</v>
      </c>
      <c r="C38">
        <v>203756.3</v>
      </c>
      <c r="D38">
        <v>94.6</v>
      </c>
      <c r="F38">
        <v>110.8</v>
      </c>
      <c r="G38" s="7">
        <v>75.8</v>
      </c>
      <c r="H38">
        <v>100.7</v>
      </c>
      <c r="I38">
        <v>58.1</v>
      </c>
      <c r="J38">
        <v>210308.7</v>
      </c>
      <c r="K38">
        <v>1.5</v>
      </c>
      <c r="L38">
        <v>66.819999999999993</v>
      </c>
      <c r="O38">
        <v>-6.4608350538345696E-2</v>
      </c>
      <c r="P38">
        <v>-6.7</v>
      </c>
      <c r="Q38" t="str">
        <f t="shared" si="0"/>
        <v>2003-Q1</v>
      </c>
    </row>
    <row r="39" spans="1:17" x14ac:dyDescent="0.4">
      <c r="A39" s="4">
        <v>37653</v>
      </c>
      <c r="B39" s="6" t="e">
        <v>#N/A</v>
      </c>
      <c r="C39" t="e">
        <v>#N/A</v>
      </c>
      <c r="D39" t="e">
        <v>#N/A</v>
      </c>
      <c r="F39">
        <v>111.9</v>
      </c>
      <c r="G39" s="6">
        <v>76</v>
      </c>
      <c r="H39">
        <v>98.4</v>
      </c>
      <c r="I39">
        <v>58.5</v>
      </c>
      <c r="J39" t="e">
        <v>#N/A</v>
      </c>
      <c r="K39">
        <v>2.1</v>
      </c>
      <c r="L39">
        <v>68.17</v>
      </c>
      <c r="O39">
        <v>-5.0493498597819403E-2</v>
      </c>
      <c r="P39">
        <v>-9.1</v>
      </c>
      <c r="Q39" t="str">
        <f t="shared" si="0"/>
        <v/>
      </c>
    </row>
    <row r="40" spans="1:17" x14ac:dyDescent="0.4">
      <c r="A40" s="4">
        <v>37681</v>
      </c>
      <c r="B40" s="6" t="e">
        <v>#N/A</v>
      </c>
      <c r="C40" t="e">
        <v>#N/A</v>
      </c>
      <c r="D40" t="e">
        <v>#N/A</v>
      </c>
      <c r="F40">
        <v>110.9</v>
      </c>
      <c r="G40" s="7">
        <v>76.7</v>
      </c>
      <c r="H40">
        <v>93.8</v>
      </c>
      <c r="I40">
        <v>58.3</v>
      </c>
      <c r="J40" t="e">
        <v>#N/A</v>
      </c>
      <c r="K40">
        <v>2</v>
      </c>
      <c r="L40">
        <v>69.180000000000007</v>
      </c>
      <c r="O40">
        <v>0.120462094705792</v>
      </c>
      <c r="P40">
        <v>-11.4</v>
      </c>
      <c r="Q40" t="str">
        <f t="shared" si="0"/>
        <v/>
      </c>
    </row>
    <row r="41" spans="1:17" x14ac:dyDescent="0.4">
      <c r="A41" s="4">
        <v>37712</v>
      </c>
      <c r="B41" s="6">
        <v>203272.4</v>
      </c>
      <c r="C41">
        <v>206564.9</v>
      </c>
      <c r="D41">
        <v>94.7</v>
      </c>
      <c r="F41">
        <v>111</v>
      </c>
      <c r="G41" s="7">
        <v>76.2</v>
      </c>
      <c r="H41">
        <v>95.2</v>
      </c>
      <c r="I41">
        <v>58.6</v>
      </c>
      <c r="J41">
        <v>210644.9</v>
      </c>
      <c r="K41">
        <v>1.9</v>
      </c>
      <c r="L41">
        <v>66.5</v>
      </c>
      <c r="O41">
        <v>1.2810061984417601E-2</v>
      </c>
      <c r="P41">
        <v>-10.1</v>
      </c>
      <c r="Q41" t="str">
        <f t="shared" si="0"/>
        <v>2003-Q2</v>
      </c>
    </row>
    <row r="42" spans="1:17" x14ac:dyDescent="0.4">
      <c r="A42" s="4">
        <v>37742</v>
      </c>
      <c r="B42" s="6" t="e">
        <v>#N/A</v>
      </c>
      <c r="C42" t="e">
        <v>#N/A</v>
      </c>
      <c r="D42" t="e">
        <v>#N/A</v>
      </c>
      <c r="F42">
        <v>108.2</v>
      </c>
      <c r="G42" s="6">
        <v>74</v>
      </c>
      <c r="H42">
        <v>96.9</v>
      </c>
      <c r="I42">
        <v>58.4</v>
      </c>
      <c r="J42" t="e">
        <v>#N/A</v>
      </c>
      <c r="K42">
        <v>1.9</v>
      </c>
      <c r="L42">
        <v>64.760000000000005</v>
      </c>
      <c r="O42">
        <v>3.0401411789856801E-2</v>
      </c>
      <c r="P42">
        <v>-10.1</v>
      </c>
      <c r="Q42" t="str">
        <f t="shared" si="0"/>
        <v/>
      </c>
    </row>
    <row r="43" spans="1:17" x14ac:dyDescent="0.4">
      <c r="A43" s="4">
        <v>37773</v>
      </c>
      <c r="B43" s="6" t="e">
        <v>#N/A</v>
      </c>
      <c r="C43" t="e">
        <v>#N/A</v>
      </c>
      <c r="D43" t="e">
        <v>#N/A</v>
      </c>
      <c r="F43">
        <v>107.9</v>
      </c>
      <c r="G43" s="7">
        <v>74.900000000000006</v>
      </c>
      <c r="H43">
        <v>95.4</v>
      </c>
      <c r="I43">
        <v>57.9</v>
      </c>
      <c r="J43" t="e">
        <v>#N/A</v>
      </c>
      <c r="K43">
        <v>2.1</v>
      </c>
      <c r="L43">
        <v>64.42</v>
      </c>
      <c r="O43">
        <v>4.0095139576873599E-2</v>
      </c>
      <c r="P43">
        <v>-10</v>
      </c>
      <c r="Q43" t="str">
        <f t="shared" si="0"/>
        <v/>
      </c>
    </row>
    <row r="44" spans="1:17" x14ac:dyDescent="0.4">
      <c r="A44" s="4">
        <v>37803</v>
      </c>
      <c r="B44" s="6">
        <v>204348.79999999999</v>
      </c>
      <c r="C44">
        <v>206162.4</v>
      </c>
      <c r="D44">
        <v>94.8</v>
      </c>
      <c r="F44">
        <v>109.8</v>
      </c>
      <c r="G44" s="7">
        <v>74.400000000000006</v>
      </c>
      <c r="H44">
        <v>97.1</v>
      </c>
      <c r="I44">
        <v>58.3</v>
      </c>
      <c r="J44">
        <v>213046.9</v>
      </c>
      <c r="K44">
        <v>2</v>
      </c>
      <c r="L44">
        <v>65.06</v>
      </c>
      <c r="O44">
        <v>3.10220249838178E-2</v>
      </c>
      <c r="P44">
        <v>-9.6</v>
      </c>
      <c r="Q44" t="str">
        <f t="shared" si="0"/>
        <v>2003-Q3</v>
      </c>
    </row>
    <row r="45" spans="1:17" x14ac:dyDescent="0.4">
      <c r="A45" s="4">
        <v>37834</v>
      </c>
      <c r="B45" s="6" t="e">
        <v>#N/A</v>
      </c>
      <c r="C45" t="e">
        <v>#N/A</v>
      </c>
      <c r="D45" t="e">
        <v>#N/A</v>
      </c>
      <c r="F45">
        <v>109.5</v>
      </c>
      <c r="G45" s="7">
        <v>75.5</v>
      </c>
      <c r="H45">
        <v>96.5</v>
      </c>
      <c r="I45">
        <v>58.8</v>
      </c>
      <c r="J45" t="e">
        <v>#N/A</v>
      </c>
      <c r="K45">
        <v>2</v>
      </c>
      <c r="L45">
        <v>65.569999999999993</v>
      </c>
      <c r="O45">
        <v>-5.4751095649944397E-2</v>
      </c>
      <c r="P45">
        <v>-10.1</v>
      </c>
      <c r="Q45" t="str">
        <f t="shared" si="0"/>
        <v/>
      </c>
    </row>
    <row r="46" spans="1:17" x14ac:dyDescent="0.4">
      <c r="A46" s="4">
        <v>37865</v>
      </c>
      <c r="B46" s="6" t="e">
        <v>#N/A</v>
      </c>
      <c r="C46" t="e">
        <v>#N/A</v>
      </c>
      <c r="D46" t="e">
        <v>#N/A</v>
      </c>
      <c r="F46">
        <v>109.2</v>
      </c>
      <c r="G46" s="7">
        <v>75.5</v>
      </c>
      <c r="H46">
        <v>95.9</v>
      </c>
      <c r="I46">
        <v>59.3</v>
      </c>
      <c r="J46" t="e">
        <v>#N/A</v>
      </c>
      <c r="K46">
        <v>2.4</v>
      </c>
      <c r="L46">
        <v>65.739999999999995</v>
      </c>
      <c r="O46">
        <v>7.3235853070945794E-2</v>
      </c>
      <c r="P46">
        <v>-10.8</v>
      </c>
      <c r="Q46" t="str">
        <f t="shared" si="0"/>
        <v/>
      </c>
    </row>
    <row r="47" spans="1:17" x14ac:dyDescent="0.4">
      <c r="A47" s="4">
        <v>37895</v>
      </c>
      <c r="B47" s="6">
        <v>206744.1</v>
      </c>
      <c r="C47">
        <v>221336.3</v>
      </c>
      <c r="D47">
        <v>94.8</v>
      </c>
      <c r="F47">
        <v>111.9</v>
      </c>
      <c r="G47" s="6">
        <v>76</v>
      </c>
      <c r="H47">
        <v>97.4</v>
      </c>
      <c r="I47">
        <v>60.2</v>
      </c>
      <c r="J47">
        <v>214927.3</v>
      </c>
      <c r="K47">
        <v>2.5</v>
      </c>
      <c r="L47">
        <v>65.790000000000006</v>
      </c>
      <c r="O47">
        <v>1.51783331285742E-2</v>
      </c>
      <c r="P47">
        <v>-10</v>
      </c>
      <c r="Q47" t="str">
        <f t="shared" si="0"/>
        <v>2003-Q4</v>
      </c>
    </row>
    <row r="48" spans="1:17" x14ac:dyDescent="0.4">
      <c r="A48" s="4">
        <v>37926</v>
      </c>
      <c r="B48" s="6" t="e">
        <v>#N/A</v>
      </c>
      <c r="C48" t="e">
        <v>#N/A</v>
      </c>
      <c r="D48" t="e">
        <v>#N/A</v>
      </c>
      <c r="F48">
        <v>109.6</v>
      </c>
      <c r="G48" s="7">
        <v>75.400000000000006</v>
      </c>
      <c r="H48">
        <v>102.2</v>
      </c>
      <c r="I48">
        <v>57.5</v>
      </c>
      <c r="J48" t="e">
        <v>#N/A</v>
      </c>
      <c r="K48">
        <v>2.7</v>
      </c>
      <c r="L48">
        <v>65.5</v>
      </c>
      <c r="O48">
        <v>3.8130288351990102E-2</v>
      </c>
      <c r="P48">
        <v>-9.6999999999999993</v>
      </c>
      <c r="Q48" t="str">
        <f t="shared" si="0"/>
        <v/>
      </c>
    </row>
    <row r="49" spans="1:17" x14ac:dyDescent="0.4">
      <c r="A49" s="4">
        <v>37956</v>
      </c>
      <c r="B49" s="6" t="e">
        <v>#N/A</v>
      </c>
      <c r="C49" t="e">
        <v>#N/A</v>
      </c>
      <c r="D49" t="e">
        <v>#N/A</v>
      </c>
      <c r="F49">
        <v>110.3</v>
      </c>
      <c r="G49" s="7">
        <v>77.099999999999994</v>
      </c>
      <c r="H49">
        <v>101.7</v>
      </c>
      <c r="I49">
        <v>58.8</v>
      </c>
      <c r="J49" t="e">
        <v>#N/A</v>
      </c>
      <c r="K49">
        <v>2.6</v>
      </c>
      <c r="L49">
        <v>65.42</v>
      </c>
      <c r="O49">
        <v>2.23845465294072E-2</v>
      </c>
      <c r="P49">
        <v>-8.8000000000000007</v>
      </c>
      <c r="Q49" t="str">
        <f t="shared" si="0"/>
        <v/>
      </c>
    </row>
    <row r="50" spans="1:17" x14ac:dyDescent="0.4">
      <c r="A50" s="4">
        <v>37987</v>
      </c>
      <c r="B50" s="6">
        <v>209956.9</v>
      </c>
      <c r="C50">
        <v>211459.7</v>
      </c>
      <c r="D50">
        <v>94.8</v>
      </c>
      <c r="F50">
        <v>111.2</v>
      </c>
      <c r="G50" s="7">
        <v>76.7</v>
      </c>
      <c r="H50">
        <v>106</v>
      </c>
      <c r="I50">
        <v>59.8</v>
      </c>
      <c r="J50">
        <v>217436.3</v>
      </c>
      <c r="K50">
        <v>2.5</v>
      </c>
      <c r="L50">
        <v>66.069999999999993</v>
      </c>
      <c r="O50">
        <v>2.3629947680161599E-2</v>
      </c>
      <c r="P50">
        <v>-6.2</v>
      </c>
      <c r="Q50" t="str">
        <f t="shared" si="0"/>
        <v>2004-Q1</v>
      </c>
    </row>
    <row r="51" spans="1:17" x14ac:dyDescent="0.4">
      <c r="A51" s="4">
        <v>38018</v>
      </c>
      <c r="B51" s="6" t="e">
        <v>#N/A</v>
      </c>
      <c r="C51" t="e">
        <v>#N/A</v>
      </c>
      <c r="D51" t="e">
        <v>#N/A</v>
      </c>
      <c r="F51">
        <v>112.2</v>
      </c>
      <c r="G51" s="7">
        <v>76.7</v>
      </c>
      <c r="H51">
        <v>105</v>
      </c>
      <c r="I51">
        <v>58.6</v>
      </c>
      <c r="J51" t="e">
        <v>#N/A</v>
      </c>
      <c r="K51">
        <v>2.4</v>
      </c>
      <c r="L51">
        <v>65.849999999999994</v>
      </c>
      <c r="O51">
        <v>-2.72672207510158E-2</v>
      </c>
      <c r="P51">
        <v>-7</v>
      </c>
      <c r="Q51" t="str">
        <f t="shared" si="0"/>
        <v/>
      </c>
    </row>
    <row r="52" spans="1:17" x14ac:dyDescent="0.4">
      <c r="A52" s="4">
        <v>38047</v>
      </c>
      <c r="B52" s="6" t="e">
        <v>#N/A</v>
      </c>
      <c r="C52" t="e">
        <v>#N/A</v>
      </c>
      <c r="D52" t="e">
        <v>#N/A</v>
      </c>
      <c r="F52">
        <v>111.9</v>
      </c>
      <c r="G52" s="7">
        <v>77.099999999999994</v>
      </c>
      <c r="H52">
        <v>105.6</v>
      </c>
      <c r="I52">
        <v>59.5</v>
      </c>
      <c r="J52" t="e">
        <v>#N/A</v>
      </c>
      <c r="K52">
        <v>2.4</v>
      </c>
      <c r="L52">
        <v>67</v>
      </c>
      <c r="O52">
        <v>1.34394738942891E-2</v>
      </c>
      <c r="P52">
        <v>-7.1</v>
      </c>
      <c r="Q52" t="str">
        <f t="shared" si="0"/>
        <v/>
      </c>
    </row>
    <row r="53" spans="1:17" x14ac:dyDescent="0.4">
      <c r="A53" s="4">
        <v>38078</v>
      </c>
      <c r="B53" s="6">
        <v>213014</v>
      </c>
      <c r="C53">
        <v>214130.4</v>
      </c>
      <c r="D53">
        <v>95</v>
      </c>
      <c r="F53">
        <v>111.9</v>
      </c>
      <c r="G53" s="7">
        <v>76.900000000000006</v>
      </c>
      <c r="H53">
        <v>103.8</v>
      </c>
      <c r="I53">
        <v>59.6</v>
      </c>
      <c r="J53">
        <v>219836.2</v>
      </c>
      <c r="K53">
        <v>2.4</v>
      </c>
      <c r="L53">
        <v>67.42</v>
      </c>
      <c r="O53">
        <v>-1.26639546549612E-3</v>
      </c>
      <c r="P53">
        <v>-9.6999999999999993</v>
      </c>
      <c r="Q53" t="str">
        <f t="shared" si="0"/>
        <v>2004-Q2</v>
      </c>
    </row>
    <row r="54" spans="1:17" x14ac:dyDescent="0.4">
      <c r="A54" s="4">
        <v>38108</v>
      </c>
      <c r="B54" s="6" t="e">
        <v>#N/A</v>
      </c>
      <c r="C54" t="e">
        <v>#N/A</v>
      </c>
      <c r="D54" t="e">
        <v>#N/A</v>
      </c>
      <c r="F54">
        <v>111.3</v>
      </c>
      <c r="G54" s="7">
        <v>76.599999999999994</v>
      </c>
      <c r="H54">
        <v>106.5</v>
      </c>
      <c r="I54">
        <v>59.7</v>
      </c>
      <c r="J54" t="e">
        <v>#N/A</v>
      </c>
      <c r="K54">
        <v>2.5</v>
      </c>
      <c r="L54">
        <v>69.28</v>
      </c>
      <c r="O54">
        <v>1.7118710891269401E-2</v>
      </c>
      <c r="P54">
        <v>-8.1</v>
      </c>
      <c r="Q54" t="str">
        <f t="shared" si="0"/>
        <v/>
      </c>
    </row>
    <row r="55" spans="1:17" x14ac:dyDescent="0.4">
      <c r="A55" s="4">
        <v>38139</v>
      </c>
      <c r="B55" s="6" t="e">
        <v>#N/A</v>
      </c>
      <c r="C55" t="e">
        <v>#N/A</v>
      </c>
      <c r="D55" t="e">
        <v>#N/A</v>
      </c>
      <c r="F55">
        <v>112.5</v>
      </c>
      <c r="G55" s="6">
        <v>78</v>
      </c>
      <c r="H55">
        <v>106.3</v>
      </c>
      <c r="I55">
        <v>60.5</v>
      </c>
      <c r="J55" t="e">
        <v>#N/A</v>
      </c>
      <c r="K55">
        <v>2.2999999999999998</v>
      </c>
      <c r="L55">
        <v>68.63</v>
      </c>
      <c r="O55">
        <v>-2.32771604780844E-2</v>
      </c>
      <c r="P55">
        <v>-8.4</v>
      </c>
      <c r="Q55" t="str">
        <f t="shared" si="0"/>
        <v/>
      </c>
    </row>
    <row r="56" spans="1:17" x14ac:dyDescent="0.4">
      <c r="A56" s="4">
        <v>38169</v>
      </c>
      <c r="B56" s="6">
        <v>214224.3</v>
      </c>
      <c r="C56">
        <v>213003.1</v>
      </c>
      <c r="D56">
        <v>95.2</v>
      </c>
      <c r="F56">
        <v>112.8</v>
      </c>
      <c r="G56" s="7">
        <v>78.5</v>
      </c>
      <c r="H56">
        <v>106.3</v>
      </c>
      <c r="I56">
        <v>59.8</v>
      </c>
      <c r="J56">
        <v>220705.1</v>
      </c>
      <c r="K56">
        <v>2.2999999999999998</v>
      </c>
      <c r="L56">
        <v>68.72</v>
      </c>
      <c r="O56">
        <v>-1.45886569226175E-2</v>
      </c>
      <c r="P56">
        <v>-7.9</v>
      </c>
      <c r="Q56" t="str">
        <f t="shared" si="0"/>
        <v>2004-Q3</v>
      </c>
    </row>
    <row r="57" spans="1:17" x14ac:dyDescent="0.4">
      <c r="A57" s="4">
        <v>38200</v>
      </c>
      <c r="B57" s="6" t="e">
        <v>#N/A</v>
      </c>
      <c r="C57" t="e">
        <v>#N/A</v>
      </c>
      <c r="D57" t="e">
        <v>#N/A</v>
      </c>
      <c r="F57">
        <v>109</v>
      </c>
      <c r="G57" s="7">
        <v>76.5</v>
      </c>
      <c r="H57">
        <v>105.6</v>
      </c>
      <c r="I57">
        <v>60.1</v>
      </c>
      <c r="J57" t="e">
        <v>#N/A</v>
      </c>
      <c r="K57">
        <v>2.2000000000000002</v>
      </c>
      <c r="L57">
        <v>70.14</v>
      </c>
      <c r="O57">
        <v>1.28075784309107E-2</v>
      </c>
      <c r="P57">
        <v>-7.5</v>
      </c>
      <c r="Q57" t="str">
        <f t="shared" si="0"/>
        <v/>
      </c>
    </row>
    <row r="58" spans="1:17" x14ac:dyDescent="0.4">
      <c r="A58" s="4">
        <v>38231</v>
      </c>
      <c r="B58" s="6" t="e">
        <v>#N/A</v>
      </c>
      <c r="C58" t="e">
        <v>#N/A</v>
      </c>
      <c r="D58" t="e">
        <v>#N/A</v>
      </c>
      <c r="F58">
        <v>112.8</v>
      </c>
      <c r="G58" s="7">
        <v>78.099999999999994</v>
      </c>
      <c r="H58">
        <v>104.9</v>
      </c>
      <c r="I58">
        <v>60.2</v>
      </c>
      <c r="J58" t="e">
        <v>#N/A</v>
      </c>
      <c r="K58">
        <v>1.8</v>
      </c>
      <c r="L58">
        <v>70.28</v>
      </c>
      <c r="O58">
        <v>1.8023105114302499E-2</v>
      </c>
      <c r="P58">
        <v>-7.2</v>
      </c>
      <c r="Q58" t="str">
        <f t="shared" si="0"/>
        <v/>
      </c>
    </row>
    <row r="59" spans="1:17" x14ac:dyDescent="0.4">
      <c r="A59" s="4">
        <v>38261</v>
      </c>
      <c r="B59" s="6">
        <v>218104.3</v>
      </c>
      <c r="C59">
        <v>228394.2</v>
      </c>
      <c r="D59">
        <v>95.5</v>
      </c>
      <c r="F59">
        <v>113.8</v>
      </c>
      <c r="G59" s="7">
        <v>78.400000000000006</v>
      </c>
      <c r="H59">
        <v>107.3</v>
      </c>
      <c r="I59">
        <v>60.9</v>
      </c>
      <c r="J59">
        <v>225161.7</v>
      </c>
      <c r="K59">
        <v>1.6</v>
      </c>
      <c r="L59">
        <v>72.400000000000006</v>
      </c>
      <c r="O59">
        <v>1.25809556686747E-2</v>
      </c>
      <c r="P59">
        <v>-6.5</v>
      </c>
      <c r="Q59" t="str">
        <f t="shared" si="0"/>
        <v>2004-Q4</v>
      </c>
    </row>
    <row r="60" spans="1:17" x14ac:dyDescent="0.4">
      <c r="A60" s="4">
        <v>38292</v>
      </c>
      <c r="B60" s="6" t="e">
        <v>#N/A</v>
      </c>
      <c r="C60" t="e">
        <v>#N/A</v>
      </c>
      <c r="D60" t="e">
        <v>#N/A</v>
      </c>
      <c r="F60">
        <v>111.8</v>
      </c>
      <c r="G60" s="7">
        <v>78.400000000000006</v>
      </c>
      <c r="H60">
        <v>104.4</v>
      </c>
      <c r="I60">
        <v>60.3</v>
      </c>
      <c r="J60" t="e">
        <v>#N/A</v>
      </c>
      <c r="K60">
        <v>1.5</v>
      </c>
      <c r="L60">
        <v>72.599999999999994</v>
      </c>
      <c r="O60">
        <v>1.7798678126654401E-2</v>
      </c>
      <c r="P60">
        <v>-8</v>
      </c>
      <c r="Q60" t="str">
        <f t="shared" si="0"/>
        <v/>
      </c>
    </row>
    <row r="61" spans="1:17" x14ac:dyDescent="0.4">
      <c r="A61" s="4">
        <v>38322</v>
      </c>
      <c r="B61" s="6" t="e">
        <v>#N/A</v>
      </c>
      <c r="C61" t="e">
        <v>#N/A</v>
      </c>
      <c r="D61" t="e">
        <v>#N/A</v>
      </c>
      <c r="F61">
        <v>112.1</v>
      </c>
      <c r="G61" s="6">
        <v>78</v>
      </c>
      <c r="H61">
        <v>107.9</v>
      </c>
      <c r="I61">
        <v>61.6</v>
      </c>
      <c r="J61" t="e">
        <v>#N/A</v>
      </c>
      <c r="K61">
        <v>1.6</v>
      </c>
      <c r="L61">
        <v>71.77</v>
      </c>
      <c r="O61">
        <v>2.39266295621068E-2</v>
      </c>
      <c r="P61">
        <v>-6.9</v>
      </c>
      <c r="Q61" t="str">
        <f t="shared" si="0"/>
        <v/>
      </c>
    </row>
    <row r="62" spans="1:17" x14ac:dyDescent="0.4">
      <c r="A62" s="4">
        <v>38353</v>
      </c>
      <c r="B62" s="6">
        <v>222817.5</v>
      </c>
      <c r="C62">
        <v>218640.8</v>
      </c>
      <c r="D62">
        <v>96.4</v>
      </c>
      <c r="F62">
        <v>114.1</v>
      </c>
      <c r="G62" s="7">
        <v>79.2</v>
      </c>
      <c r="H62">
        <v>105.1</v>
      </c>
      <c r="I62">
        <v>61.1</v>
      </c>
      <c r="J62">
        <v>226953.1</v>
      </c>
      <c r="K62">
        <v>1.2</v>
      </c>
      <c r="L62">
        <v>70.510000000000005</v>
      </c>
      <c r="O62">
        <v>2.85807430616778E-2</v>
      </c>
      <c r="P62">
        <v>-8.3000000000000007</v>
      </c>
      <c r="Q62" t="str">
        <f t="shared" si="0"/>
        <v>2005-Q1</v>
      </c>
    </row>
    <row r="63" spans="1:17" x14ac:dyDescent="0.4">
      <c r="A63" s="4">
        <v>38384</v>
      </c>
      <c r="B63" s="6" t="e">
        <v>#N/A</v>
      </c>
      <c r="C63" t="e">
        <v>#N/A</v>
      </c>
      <c r="D63" t="e">
        <v>#N/A</v>
      </c>
      <c r="F63">
        <v>112.6</v>
      </c>
      <c r="G63" s="7">
        <v>78.5</v>
      </c>
      <c r="H63">
        <v>103.6</v>
      </c>
      <c r="I63">
        <v>61.5</v>
      </c>
      <c r="J63" t="e">
        <v>#N/A</v>
      </c>
      <c r="K63">
        <v>1.3</v>
      </c>
      <c r="L63">
        <v>71.61</v>
      </c>
      <c r="O63">
        <v>1.00360122309375E-2</v>
      </c>
      <c r="P63">
        <v>-7.9</v>
      </c>
      <c r="Q63" t="str">
        <f t="shared" si="0"/>
        <v/>
      </c>
    </row>
    <row r="64" spans="1:17" x14ac:dyDescent="0.4">
      <c r="A64" s="4">
        <v>38412</v>
      </c>
      <c r="B64" s="6" t="e">
        <v>#N/A</v>
      </c>
      <c r="C64" t="e">
        <v>#N/A</v>
      </c>
      <c r="D64" t="e">
        <v>#N/A</v>
      </c>
      <c r="F64">
        <v>110.1</v>
      </c>
      <c r="G64" s="7">
        <v>78.8</v>
      </c>
      <c r="H64">
        <v>101.7</v>
      </c>
      <c r="I64">
        <v>61.7</v>
      </c>
      <c r="J64" t="e">
        <v>#N/A</v>
      </c>
      <c r="K64">
        <v>1.5</v>
      </c>
      <c r="L64">
        <v>73.41</v>
      </c>
      <c r="O64">
        <v>-3.9122794737425103E-2</v>
      </c>
      <c r="P64">
        <v>-7.4</v>
      </c>
      <c r="Q64" t="str">
        <f t="shared" si="0"/>
        <v/>
      </c>
    </row>
    <row r="65" spans="1:17" x14ac:dyDescent="0.4">
      <c r="A65" s="4">
        <v>38443</v>
      </c>
      <c r="B65" s="6">
        <v>220774.3</v>
      </c>
      <c r="C65">
        <v>221579.7</v>
      </c>
      <c r="D65">
        <v>96.6</v>
      </c>
      <c r="F65">
        <v>113.2</v>
      </c>
      <c r="G65" s="7">
        <v>79.099999999999994</v>
      </c>
      <c r="H65">
        <v>100.6</v>
      </c>
      <c r="I65">
        <v>61.5</v>
      </c>
      <c r="J65">
        <v>228871.2</v>
      </c>
      <c r="K65">
        <v>1.2</v>
      </c>
      <c r="L65">
        <v>74.67</v>
      </c>
      <c r="O65">
        <v>5.2055718833031499E-2</v>
      </c>
      <c r="P65">
        <v>-10.199999999999999</v>
      </c>
      <c r="Q65" t="str">
        <f t="shared" si="0"/>
        <v>2005-Q2</v>
      </c>
    </row>
    <row r="66" spans="1:17" x14ac:dyDescent="0.4">
      <c r="A66" s="4">
        <v>38473</v>
      </c>
      <c r="B66" s="6" t="e">
        <v>#N/A</v>
      </c>
      <c r="C66" t="e">
        <v>#N/A</v>
      </c>
      <c r="D66" t="e">
        <v>#N/A</v>
      </c>
      <c r="F66">
        <v>111.8</v>
      </c>
      <c r="G66" s="7">
        <v>79.599999999999994</v>
      </c>
      <c r="H66">
        <v>98.1</v>
      </c>
      <c r="I66">
        <v>61.5</v>
      </c>
      <c r="J66" t="e">
        <v>#N/A</v>
      </c>
      <c r="K66">
        <v>1.2</v>
      </c>
      <c r="L66">
        <v>73.69</v>
      </c>
      <c r="O66">
        <v>2.6018012645764099E-2</v>
      </c>
      <c r="P66">
        <v>-13</v>
      </c>
      <c r="Q66" t="str">
        <f t="shared" si="0"/>
        <v/>
      </c>
    </row>
    <row r="67" spans="1:17" x14ac:dyDescent="0.4">
      <c r="A67" s="4">
        <v>38504</v>
      </c>
      <c r="B67" s="6" t="e">
        <v>#N/A</v>
      </c>
      <c r="C67" t="e">
        <v>#N/A</v>
      </c>
      <c r="D67" t="e">
        <v>#N/A</v>
      </c>
      <c r="F67">
        <v>111.8</v>
      </c>
      <c r="G67" s="7">
        <v>79.7</v>
      </c>
      <c r="H67">
        <v>102.5</v>
      </c>
      <c r="I67">
        <v>61.9</v>
      </c>
      <c r="J67" t="e">
        <v>#N/A</v>
      </c>
      <c r="K67">
        <v>1.1000000000000001</v>
      </c>
      <c r="L67">
        <v>75.010000000000005</v>
      </c>
      <c r="O67">
        <v>5.1246743598934302E-2</v>
      </c>
      <c r="P67">
        <v>-8.9</v>
      </c>
      <c r="Q67" t="str">
        <f t="shared" ref="Q67:Q130" si="1">IF(MONTH($A67) = 1, YEAR($A67)&amp;"-Q"&amp;MONTH($A67), IF(MONTH($A67) = 4, YEAR($A67)&amp;"-Q2", IF(MONTH($A67) = 7, YEAR($A67)&amp;"-Q3", IF(MONTH($A67) = 10, YEAR($A67)&amp;"-Q4",""))))</f>
        <v/>
      </c>
    </row>
    <row r="68" spans="1:17" x14ac:dyDescent="0.4">
      <c r="A68" s="4">
        <v>38534</v>
      </c>
      <c r="B68" s="6">
        <v>224617</v>
      </c>
      <c r="C68">
        <v>220963.5</v>
      </c>
      <c r="D68">
        <v>96.9</v>
      </c>
      <c r="F68">
        <v>111.3</v>
      </c>
      <c r="G68" s="7">
        <v>80.400000000000006</v>
      </c>
      <c r="H68">
        <v>103.1</v>
      </c>
      <c r="I68">
        <v>61.7</v>
      </c>
      <c r="J68">
        <v>231778.3</v>
      </c>
      <c r="K68">
        <v>0.9</v>
      </c>
      <c r="L68">
        <v>77.05</v>
      </c>
      <c r="O68">
        <v>-1.18360389148258E-2</v>
      </c>
      <c r="P68">
        <v>-11.3</v>
      </c>
      <c r="Q68" t="str">
        <f t="shared" si="1"/>
        <v>2005-Q3</v>
      </c>
    </row>
    <row r="69" spans="1:17" x14ac:dyDescent="0.4">
      <c r="A69" s="4">
        <v>38565</v>
      </c>
      <c r="B69" s="6" t="e">
        <v>#N/A</v>
      </c>
      <c r="C69" t="e">
        <v>#N/A</v>
      </c>
      <c r="D69" t="e">
        <v>#N/A</v>
      </c>
      <c r="F69">
        <v>110.6</v>
      </c>
      <c r="G69" s="6">
        <v>81</v>
      </c>
      <c r="H69">
        <v>103.3</v>
      </c>
      <c r="I69">
        <v>62.2</v>
      </c>
      <c r="J69" t="e">
        <v>#N/A</v>
      </c>
      <c r="K69">
        <v>1.1000000000000001</v>
      </c>
      <c r="L69">
        <v>78.069999999999993</v>
      </c>
      <c r="O69">
        <v>4.4601610835330902E-2</v>
      </c>
      <c r="P69">
        <v>-9.1999999999999993</v>
      </c>
      <c r="Q69" t="str">
        <f t="shared" si="1"/>
        <v/>
      </c>
    </row>
    <row r="70" spans="1:17" x14ac:dyDescent="0.4">
      <c r="A70" s="4">
        <v>38596</v>
      </c>
      <c r="B70" s="6" t="e">
        <v>#N/A</v>
      </c>
      <c r="C70" t="e">
        <v>#N/A</v>
      </c>
      <c r="D70" t="e">
        <v>#N/A</v>
      </c>
      <c r="F70">
        <v>113.7</v>
      </c>
      <c r="G70" s="7">
        <v>81.900000000000006</v>
      </c>
      <c r="H70">
        <v>103.3</v>
      </c>
      <c r="I70">
        <v>62.4</v>
      </c>
      <c r="J70" t="e">
        <v>#N/A</v>
      </c>
      <c r="K70">
        <v>1.2</v>
      </c>
      <c r="L70">
        <v>80.680000000000007</v>
      </c>
      <c r="O70">
        <v>-3.6206104448727003E-2</v>
      </c>
      <c r="P70">
        <v>-7.2</v>
      </c>
      <c r="Q70" t="str">
        <f t="shared" si="1"/>
        <v/>
      </c>
    </row>
    <row r="71" spans="1:17" x14ac:dyDescent="0.4">
      <c r="A71" s="4">
        <v>38626</v>
      </c>
      <c r="B71" s="6">
        <v>225928.3</v>
      </c>
      <c r="C71">
        <v>238089.60000000001</v>
      </c>
      <c r="D71">
        <v>97</v>
      </c>
      <c r="F71">
        <v>110.3</v>
      </c>
      <c r="G71" s="7">
        <v>80.5</v>
      </c>
      <c r="H71">
        <v>103.6</v>
      </c>
      <c r="I71">
        <v>62.8</v>
      </c>
      <c r="J71">
        <v>234608.2</v>
      </c>
      <c r="K71">
        <v>1.1000000000000001</v>
      </c>
      <c r="L71">
        <v>80.81</v>
      </c>
      <c r="O71">
        <v>2.9091787743288602E-2</v>
      </c>
      <c r="P71">
        <v>-12.5</v>
      </c>
      <c r="Q71" t="str">
        <f t="shared" si="1"/>
        <v>2005-Q4</v>
      </c>
    </row>
    <row r="72" spans="1:17" x14ac:dyDescent="0.4">
      <c r="A72" s="4">
        <v>38657</v>
      </c>
      <c r="B72" s="6" t="e">
        <v>#N/A</v>
      </c>
      <c r="C72" t="e">
        <v>#N/A</v>
      </c>
      <c r="D72" t="e">
        <v>#N/A</v>
      </c>
      <c r="F72">
        <v>114.8</v>
      </c>
      <c r="G72" s="6">
        <v>84</v>
      </c>
      <c r="H72">
        <v>101</v>
      </c>
      <c r="I72">
        <v>63.2</v>
      </c>
      <c r="J72" t="e">
        <v>#N/A</v>
      </c>
      <c r="K72">
        <v>1.1000000000000001</v>
      </c>
      <c r="L72">
        <v>78.59</v>
      </c>
      <c r="O72">
        <v>3.1851352389182401E-2</v>
      </c>
      <c r="P72">
        <v>-13.9</v>
      </c>
      <c r="Q72" t="str">
        <f t="shared" si="1"/>
        <v/>
      </c>
    </row>
    <row r="73" spans="1:17" x14ac:dyDescent="0.4">
      <c r="A73" s="4">
        <v>38687</v>
      </c>
      <c r="B73" s="6" t="e">
        <v>#N/A</v>
      </c>
      <c r="C73" t="e">
        <v>#N/A</v>
      </c>
      <c r="D73" t="e">
        <v>#N/A</v>
      </c>
      <c r="F73">
        <v>113.3</v>
      </c>
      <c r="G73" s="7">
        <v>81.3</v>
      </c>
      <c r="H73">
        <v>103.1</v>
      </c>
      <c r="I73">
        <v>63.2</v>
      </c>
      <c r="J73" t="e">
        <v>#N/A</v>
      </c>
      <c r="K73">
        <v>1.2</v>
      </c>
      <c r="L73">
        <v>77.510000000000005</v>
      </c>
      <c r="O73">
        <v>4.8183789635990203E-2</v>
      </c>
      <c r="P73">
        <v>-10.5</v>
      </c>
      <c r="Q73" t="str">
        <f t="shared" si="1"/>
        <v/>
      </c>
    </row>
    <row r="74" spans="1:17" x14ac:dyDescent="0.4">
      <c r="A74" s="4">
        <v>38718</v>
      </c>
      <c r="B74" s="6">
        <v>232077</v>
      </c>
      <c r="C74">
        <v>225934.6</v>
      </c>
      <c r="D74">
        <v>96.9</v>
      </c>
      <c r="F74">
        <v>112.6</v>
      </c>
      <c r="G74" s="7">
        <v>81.900000000000006</v>
      </c>
      <c r="H74">
        <v>105.6</v>
      </c>
      <c r="I74">
        <v>63.1</v>
      </c>
      <c r="J74">
        <v>238299.4</v>
      </c>
      <c r="K74">
        <v>1.3</v>
      </c>
      <c r="L74">
        <v>78.83</v>
      </c>
      <c r="O74">
        <v>1.0546466566003301E-2</v>
      </c>
      <c r="P74">
        <v>-9</v>
      </c>
      <c r="Q74" t="str">
        <f t="shared" si="1"/>
        <v>2006-Q1</v>
      </c>
    </row>
    <row r="75" spans="1:17" x14ac:dyDescent="0.4">
      <c r="A75" s="4">
        <v>38749</v>
      </c>
      <c r="B75" s="6" t="e">
        <v>#N/A</v>
      </c>
      <c r="C75" t="e">
        <v>#N/A</v>
      </c>
      <c r="D75" t="e">
        <v>#N/A</v>
      </c>
      <c r="F75">
        <v>111.8</v>
      </c>
      <c r="G75" s="7">
        <v>82.2</v>
      </c>
      <c r="H75">
        <v>105.2</v>
      </c>
      <c r="I75">
        <v>63.5</v>
      </c>
      <c r="J75" t="e">
        <v>#N/A</v>
      </c>
      <c r="K75">
        <v>1.2</v>
      </c>
      <c r="L75">
        <v>79.11</v>
      </c>
      <c r="O75">
        <v>4.31322951490909E-2</v>
      </c>
      <c r="P75">
        <v>-9.6</v>
      </c>
      <c r="Q75" t="str">
        <f t="shared" si="1"/>
        <v/>
      </c>
    </row>
    <row r="76" spans="1:17" x14ac:dyDescent="0.4">
      <c r="A76" s="4">
        <v>38777</v>
      </c>
      <c r="B76" s="6" t="e">
        <v>#N/A</v>
      </c>
      <c r="C76" t="e">
        <v>#N/A</v>
      </c>
      <c r="D76" t="e">
        <v>#N/A</v>
      </c>
      <c r="F76">
        <v>114</v>
      </c>
      <c r="G76" s="7">
        <v>82.9</v>
      </c>
      <c r="H76">
        <v>105</v>
      </c>
      <c r="I76">
        <v>63.1</v>
      </c>
      <c r="J76" t="e">
        <v>#N/A</v>
      </c>
      <c r="K76">
        <v>1.1000000000000001</v>
      </c>
      <c r="L76">
        <v>79.5</v>
      </c>
      <c r="O76">
        <v>-6.2348969300725096E-3</v>
      </c>
      <c r="P76">
        <v>-10.8</v>
      </c>
      <c r="Q76" t="str">
        <f t="shared" si="1"/>
        <v/>
      </c>
    </row>
    <row r="77" spans="1:17" x14ac:dyDescent="0.4">
      <c r="A77" s="4">
        <v>38808</v>
      </c>
      <c r="B77" s="6">
        <v>233944.5</v>
      </c>
      <c r="C77">
        <v>232096.1</v>
      </c>
      <c r="D77">
        <v>97.1</v>
      </c>
      <c r="F77">
        <v>113.3</v>
      </c>
      <c r="G77" s="7">
        <v>83.9</v>
      </c>
      <c r="H77">
        <v>107.8</v>
      </c>
      <c r="I77">
        <v>63.8</v>
      </c>
      <c r="J77">
        <v>241939.8</v>
      </c>
      <c r="K77">
        <v>1.3</v>
      </c>
      <c r="L77">
        <v>81.599999999999994</v>
      </c>
      <c r="O77">
        <v>-5.10498114639528E-2</v>
      </c>
      <c r="P77">
        <v>-7.6</v>
      </c>
      <c r="Q77" t="str">
        <f t="shared" si="1"/>
        <v>2006-Q2</v>
      </c>
    </row>
    <row r="78" spans="1:17" x14ac:dyDescent="0.4">
      <c r="A78" s="4">
        <v>38838</v>
      </c>
      <c r="B78" s="6" t="e">
        <v>#N/A</v>
      </c>
      <c r="C78" t="e">
        <v>#N/A</v>
      </c>
      <c r="D78" t="e">
        <v>#N/A</v>
      </c>
      <c r="F78">
        <v>115.2</v>
      </c>
      <c r="G78" s="7">
        <v>84.7</v>
      </c>
      <c r="H78">
        <v>108.1</v>
      </c>
      <c r="I78">
        <v>63.7</v>
      </c>
      <c r="J78" t="e">
        <v>#N/A</v>
      </c>
      <c r="K78">
        <v>1.4</v>
      </c>
      <c r="L78">
        <v>82.97</v>
      </c>
      <c r="O78">
        <v>7.2310902166368204E-3</v>
      </c>
      <c r="P78">
        <v>-12</v>
      </c>
      <c r="Q78" t="str">
        <f t="shared" si="1"/>
        <v/>
      </c>
    </row>
    <row r="79" spans="1:17" x14ac:dyDescent="0.4">
      <c r="A79" s="4">
        <v>38869</v>
      </c>
      <c r="B79" s="6" t="e">
        <v>#N/A</v>
      </c>
      <c r="C79" t="e">
        <v>#N/A</v>
      </c>
      <c r="D79" t="e">
        <v>#N/A</v>
      </c>
      <c r="F79">
        <v>115</v>
      </c>
      <c r="G79" s="6">
        <v>85</v>
      </c>
      <c r="H79">
        <v>107.2</v>
      </c>
      <c r="I79">
        <v>64.099999999999994</v>
      </c>
      <c r="J79" t="e">
        <v>#N/A</v>
      </c>
      <c r="K79">
        <v>1.5</v>
      </c>
      <c r="L79">
        <v>82.42</v>
      </c>
      <c r="O79">
        <v>8.7134999213667203E-3</v>
      </c>
      <c r="P79">
        <v>-12.1</v>
      </c>
      <c r="Q79" t="str">
        <f t="shared" si="1"/>
        <v/>
      </c>
    </row>
    <row r="80" spans="1:17" x14ac:dyDescent="0.4">
      <c r="A80" s="4">
        <v>38899</v>
      </c>
      <c r="B80" s="6">
        <v>235336.6</v>
      </c>
      <c r="C80">
        <v>229453.6</v>
      </c>
      <c r="D80">
        <v>97.6</v>
      </c>
      <c r="F80">
        <v>113.3</v>
      </c>
      <c r="G80" s="7">
        <v>84.5</v>
      </c>
      <c r="H80">
        <v>108.9</v>
      </c>
      <c r="I80">
        <v>64.599999999999994</v>
      </c>
      <c r="J80">
        <v>244006.2</v>
      </c>
      <c r="K80">
        <v>1.6</v>
      </c>
      <c r="L80">
        <v>83.06</v>
      </c>
      <c r="O80">
        <v>3.05927302017714E-2</v>
      </c>
      <c r="P80">
        <v>-8.8000000000000007</v>
      </c>
      <c r="Q80" t="str">
        <f t="shared" si="1"/>
        <v>2006-Q3</v>
      </c>
    </row>
    <row r="81" spans="1:17" x14ac:dyDescent="0.4">
      <c r="A81" s="4">
        <v>38930</v>
      </c>
      <c r="B81" s="6" t="e">
        <v>#N/A</v>
      </c>
      <c r="C81" t="e">
        <v>#N/A</v>
      </c>
      <c r="D81" t="e">
        <v>#N/A</v>
      </c>
      <c r="F81">
        <v>112.6</v>
      </c>
      <c r="G81" s="7">
        <v>84.1</v>
      </c>
      <c r="H81">
        <v>109.4</v>
      </c>
      <c r="I81">
        <v>64.3</v>
      </c>
      <c r="J81" t="e">
        <v>#N/A</v>
      </c>
      <c r="K81">
        <v>1.6</v>
      </c>
      <c r="L81">
        <v>83.52</v>
      </c>
      <c r="O81">
        <v>1.63170821826828E-2</v>
      </c>
      <c r="P81">
        <v>-8.6999999999999993</v>
      </c>
      <c r="Q81" t="str">
        <f t="shared" si="1"/>
        <v/>
      </c>
    </row>
    <row r="82" spans="1:17" x14ac:dyDescent="0.4">
      <c r="A82" s="4">
        <v>38961</v>
      </c>
      <c r="B82" s="6" t="e">
        <v>#N/A</v>
      </c>
      <c r="C82" t="e">
        <v>#N/A</v>
      </c>
      <c r="D82" t="e">
        <v>#N/A</v>
      </c>
      <c r="F82">
        <v>114.4</v>
      </c>
      <c r="G82" s="7">
        <v>85.6</v>
      </c>
      <c r="H82">
        <v>109.5</v>
      </c>
      <c r="I82">
        <v>64.400000000000006</v>
      </c>
      <c r="J82" t="e">
        <v>#N/A</v>
      </c>
      <c r="K82">
        <v>1.5</v>
      </c>
      <c r="L82">
        <v>81.42</v>
      </c>
      <c r="O82">
        <v>1.8629209178079999E-2</v>
      </c>
      <c r="P82">
        <v>-8.8000000000000007</v>
      </c>
      <c r="Q82" t="str">
        <f t="shared" si="1"/>
        <v/>
      </c>
    </row>
    <row r="83" spans="1:17" x14ac:dyDescent="0.4">
      <c r="A83" s="4">
        <v>38991</v>
      </c>
      <c r="B83" s="6">
        <v>242047.7</v>
      </c>
      <c r="C83">
        <v>249841.5</v>
      </c>
      <c r="D83">
        <v>98.2</v>
      </c>
      <c r="F83">
        <v>113.5</v>
      </c>
      <c r="G83" s="7">
        <v>86.4</v>
      </c>
      <c r="H83">
        <v>110.8</v>
      </c>
      <c r="I83">
        <v>64.7</v>
      </c>
      <c r="J83">
        <v>244681</v>
      </c>
      <c r="K83">
        <v>1.5</v>
      </c>
      <c r="L83">
        <v>79.489999999999995</v>
      </c>
      <c r="O83">
        <v>-3.9507568490417802E-3</v>
      </c>
      <c r="P83">
        <v>-6.7</v>
      </c>
      <c r="Q83" t="str">
        <f t="shared" si="1"/>
        <v>2006-Q4</v>
      </c>
    </row>
    <row r="84" spans="1:17" x14ac:dyDescent="0.4">
      <c r="A84" s="4">
        <v>39022</v>
      </c>
      <c r="B84" s="6" t="e">
        <v>#N/A</v>
      </c>
      <c r="C84" t="e">
        <v>#N/A</v>
      </c>
      <c r="D84" t="e">
        <v>#N/A</v>
      </c>
      <c r="F84">
        <v>112.9</v>
      </c>
      <c r="G84" s="7">
        <v>85.8</v>
      </c>
      <c r="H84">
        <v>111.3</v>
      </c>
      <c r="I84">
        <v>65.599999999999994</v>
      </c>
      <c r="J84" t="e">
        <v>#N/A</v>
      </c>
      <c r="K84">
        <v>1.7</v>
      </c>
      <c r="L84">
        <v>79.08</v>
      </c>
      <c r="O84">
        <v>3.9403708494834398E-2</v>
      </c>
      <c r="P84">
        <v>-7.3</v>
      </c>
      <c r="Q84" t="str">
        <f t="shared" si="1"/>
        <v/>
      </c>
    </row>
    <row r="85" spans="1:17" x14ac:dyDescent="0.4">
      <c r="A85" s="4">
        <v>39052</v>
      </c>
      <c r="B85" s="6" t="e">
        <v>#N/A</v>
      </c>
      <c r="C85" t="e">
        <v>#N/A</v>
      </c>
      <c r="D85" t="e">
        <v>#N/A</v>
      </c>
      <c r="F85">
        <v>114.7</v>
      </c>
      <c r="G85" s="7">
        <v>86.1</v>
      </c>
      <c r="H85">
        <v>110.2</v>
      </c>
      <c r="I85">
        <v>65.099999999999994</v>
      </c>
      <c r="J85" t="e">
        <v>#N/A</v>
      </c>
      <c r="K85">
        <v>1.7</v>
      </c>
      <c r="L85">
        <v>79.150000000000006</v>
      </c>
      <c r="O85">
        <v>1.1937339281487901E-2</v>
      </c>
      <c r="P85">
        <v>-7</v>
      </c>
      <c r="Q85" t="str">
        <f t="shared" si="1"/>
        <v/>
      </c>
    </row>
    <row r="86" spans="1:17" x14ac:dyDescent="0.4">
      <c r="A86" s="4">
        <v>39083</v>
      </c>
      <c r="B86" s="6">
        <v>240805.8</v>
      </c>
      <c r="C86">
        <v>235515.8</v>
      </c>
      <c r="D86">
        <v>99.1</v>
      </c>
      <c r="F86">
        <v>113.4</v>
      </c>
      <c r="G86" s="7">
        <v>86.2</v>
      </c>
      <c r="H86">
        <v>110.7</v>
      </c>
      <c r="I86">
        <v>65.400000000000006</v>
      </c>
      <c r="J86">
        <v>247604.4</v>
      </c>
      <c r="K86">
        <v>1.6</v>
      </c>
      <c r="L86">
        <v>78.61</v>
      </c>
      <c r="O86">
        <v>-1.6538497390584401E-2</v>
      </c>
      <c r="P86">
        <v>-6.8</v>
      </c>
      <c r="Q86" t="str">
        <f t="shared" si="1"/>
        <v>2007-Q1</v>
      </c>
    </row>
    <row r="87" spans="1:17" x14ac:dyDescent="0.4">
      <c r="A87" s="4">
        <v>39114</v>
      </c>
      <c r="B87" s="6" t="e">
        <v>#N/A</v>
      </c>
      <c r="C87" t="e">
        <v>#N/A</v>
      </c>
      <c r="D87" t="e">
        <v>#N/A</v>
      </c>
      <c r="F87">
        <v>114.5</v>
      </c>
      <c r="G87" s="7">
        <v>86.8</v>
      </c>
      <c r="H87">
        <v>111.3</v>
      </c>
      <c r="I87">
        <v>65.8</v>
      </c>
      <c r="J87" t="e">
        <v>#N/A</v>
      </c>
      <c r="K87">
        <v>1.4</v>
      </c>
      <c r="L87">
        <v>78.78</v>
      </c>
      <c r="O87">
        <v>2.1137156353962201E-2</v>
      </c>
      <c r="P87">
        <v>-6.1</v>
      </c>
      <c r="Q87" t="str">
        <f t="shared" si="1"/>
        <v/>
      </c>
    </row>
    <row r="88" spans="1:17" x14ac:dyDescent="0.4">
      <c r="A88" s="4">
        <v>39142</v>
      </c>
      <c r="B88" s="6" t="e">
        <v>#N/A</v>
      </c>
      <c r="C88" t="e">
        <v>#N/A</v>
      </c>
      <c r="D88" t="e">
        <v>#N/A</v>
      </c>
      <c r="F88">
        <v>115.5</v>
      </c>
      <c r="G88" s="7">
        <v>88.4</v>
      </c>
      <c r="H88">
        <v>110.8</v>
      </c>
      <c r="I88">
        <v>66.900000000000006</v>
      </c>
      <c r="J88" t="e">
        <v>#N/A</v>
      </c>
      <c r="K88">
        <v>1.3</v>
      </c>
      <c r="L88">
        <v>79.98</v>
      </c>
      <c r="O88">
        <v>5.62291032286115E-2</v>
      </c>
      <c r="P88">
        <v>-6.3</v>
      </c>
      <c r="Q88" t="str">
        <f t="shared" si="1"/>
        <v/>
      </c>
    </row>
    <row r="89" spans="1:17" x14ac:dyDescent="0.4">
      <c r="A89" s="4">
        <v>39173</v>
      </c>
      <c r="B89" s="6">
        <v>245190.1</v>
      </c>
      <c r="C89">
        <v>242158</v>
      </c>
      <c r="D89">
        <v>99.8</v>
      </c>
      <c r="F89">
        <v>113.4</v>
      </c>
      <c r="G89" s="7">
        <v>88.3</v>
      </c>
      <c r="H89">
        <v>110.9</v>
      </c>
      <c r="I89">
        <v>66.900000000000006</v>
      </c>
      <c r="J89">
        <v>251805.1</v>
      </c>
      <c r="K89">
        <v>1.5</v>
      </c>
      <c r="L89">
        <v>81.25</v>
      </c>
      <c r="O89">
        <v>2.38670949639559E-2</v>
      </c>
      <c r="P89">
        <v>-5.9</v>
      </c>
      <c r="Q89" t="str">
        <f t="shared" si="1"/>
        <v>2007-Q2</v>
      </c>
    </row>
    <row r="90" spans="1:17" x14ac:dyDescent="0.4">
      <c r="A90" s="4">
        <v>39203</v>
      </c>
      <c r="B90" s="6" t="e">
        <v>#N/A</v>
      </c>
      <c r="C90" t="e">
        <v>#N/A</v>
      </c>
      <c r="D90" t="e">
        <v>#N/A</v>
      </c>
      <c r="F90">
        <v>116.1</v>
      </c>
      <c r="G90" s="6">
        <v>89</v>
      </c>
      <c r="H90">
        <v>112.5</v>
      </c>
      <c r="I90">
        <v>65.8</v>
      </c>
      <c r="J90" t="e">
        <v>#N/A</v>
      </c>
      <c r="K90">
        <v>1.4</v>
      </c>
      <c r="L90">
        <v>81.819999999999993</v>
      </c>
      <c r="O90">
        <v>-8.0714487064721396E-3</v>
      </c>
      <c r="P90">
        <v>-1.7</v>
      </c>
      <c r="Q90" t="str">
        <f t="shared" si="1"/>
        <v/>
      </c>
    </row>
    <row r="91" spans="1:17" x14ac:dyDescent="0.4">
      <c r="A91" s="4">
        <v>39234</v>
      </c>
      <c r="B91" s="6" t="e">
        <v>#N/A</v>
      </c>
      <c r="C91" t="e">
        <v>#N/A</v>
      </c>
      <c r="D91" t="e">
        <v>#N/A</v>
      </c>
      <c r="F91">
        <v>115.8</v>
      </c>
      <c r="G91" s="7">
        <v>89.5</v>
      </c>
      <c r="H91">
        <v>113.9</v>
      </c>
      <c r="I91">
        <v>67</v>
      </c>
      <c r="J91" t="e">
        <v>#N/A</v>
      </c>
      <c r="K91">
        <v>1.5</v>
      </c>
      <c r="L91">
        <v>82.23</v>
      </c>
      <c r="O91">
        <v>-5.1485168432174398E-2</v>
      </c>
      <c r="P91">
        <v>-1.4</v>
      </c>
      <c r="Q91" t="str">
        <f t="shared" si="1"/>
        <v/>
      </c>
    </row>
    <row r="92" spans="1:17" x14ac:dyDescent="0.4">
      <c r="A92" s="4">
        <v>39264</v>
      </c>
      <c r="B92" s="6">
        <v>247394.4</v>
      </c>
      <c r="C92">
        <v>238024.4</v>
      </c>
      <c r="D92">
        <v>100.3</v>
      </c>
      <c r="F92">
        <v>116</v>
      </c>
      <c r="G92" s="7">
        <v>88.4</v>
      </c>
      <c r="H92">
        <v>113.9</v>
      </c>
      <c r="I92">
        <v>68</v>
      </c>
      <c r="J92">
        <v>255394.6</v>
      </c>
      <c r="K92">
        <v>1.4</v>
      </c>
      <c r="L92">
        <v>82.55</v>
      </c>
      <c r="O92">
        <v>-1.5486832078741099E-2</v>
      </c>
      <c r="P92">
        <v>-2.4</v>
      </c>
      <c r="Q92" t="str">
        <f t="shared" si="1"/>
        <v>2007-Q3</v>
      </c>
    </row>
    <row r="93" spans="1:17" x14ac:dyDescent="0.4">
      <c r="A93" s="4">
        <v>39295</v>
      </c>
      <c r="B93" s="6" t="e">
        <v>#N/A</v>
      </c>
      <c r="C93" t="e">
        <v>#N/A</v>
      </c>
      <c r="D93" t="e">
        <v>#N/A</v>
      </c>
      <c r="F93">
        <v>116.7</v>
      </c>
      <c r="G93" s="7">
        <v>88.7</v>
      </c>
      <c r="H93">
        <v>111.8</v>
      </c>
      <c r="I93">
        <v>67.5</v>
      </c>
      <c r="J93" t="e">
        <v>#N/A</v>
      </c>
      <c r="K93">
        <v>1.6</v>
      </c>
      <c r="L93">
        <v>82.12</v>
      </c>
      <c r="O93">
        <v>9.3141698508834008E-3</v>
      </c>
      <c r="P93">
        <v>-4.3</v>
      </c>
      <c r="Q93" t="str">
        <f t="shared" si="1"/>
        <v/>
      </c>
    </row>
    <row r="94" spans="1:17" x14ac:dyDescent="0.4">
      <c r="A94" s="4">
        <v>39326</v>
      </c>
      <c r="B94" s="6" t="e">
        <v>#N/A</v>
      </c>
      <c r="C94" t="e">
        <v>#N/A</v>
      </c>
      <c r="D94" t="e">
        <v>#N/A</v>
      </c>
      <c r="F94">
        <v>114.1</v>
      </c>
      <c r="G94" s="7">
        <v>88.6</v>
      </c>
      <c r="H94">
        <v>109.2</v>
      </c>
      <c r="I94">
        <v>67.099999999999994</v>
      </c>
      <c r="J94" t="e">
        <v>#N/A</v>
      </c>
      <c r="K94">
        <v>1.6</v>
      </c>
      <c r="L94">
        <v>82.63</v>
      </c>
      <c r="O94">
        <v>2.2876191262129801E-2</v>
      </c>
      <c r="P94">
        <v>-6.4</v>
      </c>
      <c r="Q94" t="str">
        <f t="shared" si="1"/>
        <v/>
      </c>
    </row>
    <row r="95" spans="1:17" x14ac:dyDescent="0.4">
      <c r="A95" s="4">
        <v>39356</v>
      </c>
      <c r="B95" s="6">
        <v>248156.3</v>
      </c>
      <c r="C95">
        <v>258637</v>
      </c>
      <c r="D95">
        <v>100.5</v>
      </c>
      <c r="F95">
        <v>116.8</v>
      </c>
      <c r="G95" s="7">
        <v>91.1</v>
      </c>
      <c r="H95">
        <v>111.6</v>
      </c>
      <c r="I95">
        <v>68.099999999999994</v>
      </c>
      <c r="J95">
        <v>258901.2</v>
      </c>
      <c r="K95">
        <v>1.8</v>
      </c>
      <c r="L95">
        <v>83.62</v>
      </c>
      <c r="O95">
        <v>-3.0801595089171099E-2</v>
      </c>
      <c r="P95">
        <v>-7.1</v>
      </c>
      <c r="Q95" t="str">
        <f t="shared" si="1"/>
        <v>2007-Q4</v>
      </c>
    </row>
    <row r="96" spans="1:17" x14ac:dyDescent="0.4">
      <c r="A96" s="4">
        <v>39387</v>
      </c>
      <c r="B96" s="6" t="e">
        <v>#N/A</v>
      </c>
      <c r="C96" t="e">
        <v>#N/A</v>
      </c>
      <c r="D96" t="e">
        <v>#N/A</v>
      </c>
      <c r="F96">
        <v>114.5</v>
      </c>
      <c r="G96" s="7">
        <v>89.1</v>
      </c>
      <c r="H96">
        <v>111.8</v>
      </c>
      <c r="I96">
        <v>67.7</v>
      </c>
      <c r="J96" t="e">
        <v>#N/A</v>
      </c>
      <c r="K96">
        <v>1.9</v>
      </c>
      <c r="L96">
        <v>87.01</v>
      </c>
      <c r="O96">
        <v>-1.00118689454831E-2</v>
      </c>
      <c r="P96">
        <v>-11.2</v>
      </c>
      <c r="Q96" t="str">
        <f t="shared" si="1"/>
        <v/>
      </c>
    </row>
    <row r="97" spans="1:17" x14ac:dyDescent="0.4">
      <c r="A97" s="4">
        <v>39417</v>
      </c>
      <c r="B97" s="6" t="e">
        <v>#N/A</v>
      </c>
      <c r="C97" t="e">
        <v>#N/A</v>
      </c>
      <c r="D97" t="e">
        <v>#N/A</v>
      </c>
      <c r="F97">
        <v>114.8</v>
      </c>
      <c r="G97" s="7">
        <v>89.3</v>
      </c>
      <c r="H97">
        <v>109.9</v>
      </c>
      <c r="I97">
        <v>68.099999999999994</v>
      </c>
      <c r="J97" t="e">
        <v>#N/A</v>
      </c>
      <c r="K97">
        <v>2.1</v>
      </c>
      <c r="L97">
        <v>87.46</v>
      </c>
      <c r="O97">
        <v>-0.14222691880687699</v>
      </c>
      <c r="P97">
        <v>-9.9</v>
      </c>
      <c r="Q97" t="str">
        <f t="shared" si="1"/>
        <v/>
      </c>
    </row>
    <row r="98" spans="1:17" x14ac:dyDescent="0.4">
      <c r="A98" s="4">
        <v>39448</v>
      </c>
      <c r="B98" s="6">
        <v>251523.7</v>
      </c>
      <c r="C98">
        <v>244680</v>
      </c>
      <c r="D98">
        <v>100.4</v>
      </c>
      <c r="F98">
        <v>115.8</v>
      </c>
      <c r="G98" s="6">
        <v>93</v>
      </c>
      <c r="H98">
        <v>108.7</v>
      </c>
      <c r="I98">
        <v>68.2</v>
      </c>
      <c r="J98">
        <v>260723</v>
      </c>
      <c r="K98">
        <v>2.2999999999999998</v>
      </c>
      <c r="L98">
        <v>88.16</v>
      </c>
      <c r="O98">
        <v>-1.6382601433276599E-2</v>
      </c>
      <c r="P98">
        <v>-14.6</v>
      </c>
      <c r="Q98" t="str">
        <f t="shared" si="1"/>
        <v>2008-Q1</v>
      </c>
    </row>
    <row r="99" spans="1:17" x14ac:dyDescent="0.4">
      <c r="A99" s="4">
        <v>39479</v>
      </c>
      <c r="B99" s="6" t="e">
        <v>#N/A</v>
      </c>
      <c r="C99" t="e">
        <v>#N/A</v>
      </c>
      <c r="D99" t="e">
        <v>#N/A</v>
      </c>
      <c r="F99">
        <v>116.8</v>
      </c>
      <c r="G99" s="7">
        <v>92.4</v>
      </c>
      <c r="H99">
        <v>106.2</v>
      </c>
      <c r="I99">
        <v>68</v>
      </c>
      <c r="J99" t="e">
        <v>#N/A</v>
      </c>
      <c r="K99">
        <v>2.4</v>
      </c>
      <c r="L99">
        <v>87.67</v>
      </c>
      <c r="O99">
        <v>-1.7602625170612299E-2</v>
      </c>
      <c r="P99">
        <v>-13.6</v>
      </c>
      <c r="Q99" t="str">
        <f t="shared" si="1"/>
        <v/>
      </c>
    </row>
    <row r="100" spans="1:17" x14ac:dyDescent="0.4">
      <c r="A100" s="4">
        <v>39508</v>
      </c>
      <c r="B100" s="6" t="e">
        <v>#N/A</v>
      </c>
      <c r="C100" t="e">
        <v>#N/A</v>
      </c>
      <c r="D100" t="e">
        <v>#N/A</v>
      </c>
      <c r="F100">
        <v>115.4</v>
      </c>
      <c r="G100" s="7">
        <v>92.1</v>
      </c>
      <c r="H100">
        <v>105.9</v>
      </c>
      <c r="I100">
        <v>67.3</v>
      </c>
      <c r="J100" t="e">
        <v>#N/A</v>
      </c>
      <c r="K100">
        <v>2.7</v>
      </c>
      <c r="L100">
        <v>89.96</v>
      </c>
      <c r="O100">
        <v>5.9680084277132998E-2</v>
      </c>
      <c r="P100">
        <v>-14.5</v>
      </c>
      <c r="Q100" t="str">
        <f t="shared" si="1"/>
        <v/>
      </c>
    </row>
    <row r="101" spans="1:17" x14ac:dyDescent="0.4">
      <c r="A101" s="4">
        <v>39539</v>
      </c>
      <c r="B101" s="6">
        <v>252990.8</v>
      </c>
      <c r="C101">
        <v>250244.8</v>
      </c>
      <c r="D101">
        <v>100.3</v>
      </c>
      <c r="F101">
        <v>118.1</v>
      </c>
      <c r="G101" s="7">
        <v>92.5</v>
      </c>
      <c r="H101">
        <v>103</v>
      </c>
      <c r="I101">
        <v>67.5</v>
      </c>
      <c r="J101">
        <v>262977.59999999998</v>
      </c>
      <c r="K101">
        <v>2.6</v>
      </c>
      <c r="L101">
        <v>90.88</v>
      </c>
      <c r="O101">
        <v>3.5441182588407099E-3</v>
      </c>
      <c r="P101">
        <v>-15.7</v>
      </c>
      <c r="Q101" t="str">
        <f t="shared" si="1"/>
        <v>2008-Q2</v>
      </c>
    </row>
    <row r="102" spans="1:17" x14ac:dyDescent="0.4">
      <c r="A102" s="4">
        <v>39569</v>
      </c>
      <c r="B102" s="6" t="e">
        <v>#N/A</v>
      </c>
      <c r="C102" t="e">
        <v>#N/A</v>
      </c>
      <c r="D102" t="e">
        <v>#N/A</v>
      </c>
      <c r="F102">
        <v>112.4</v>
      </c>
      <c r="G102" s="7">
        <v>90.7</v>
      </c>
      <c r="H102">
        <v>99.7</v>
      </c>
      <c r="I102">
        <v>68.2</v>
      </c>
      <c r="J102" t="e">
        <v>#N/A</v>
      </c>
      <c r="K102">
        <v>2.6</v>
      </c>
      <c r="L102">
        <v>94.13</v>
      </c>
      <c r="O102">
        <v>-0.12279598363005</v>
      </c>
      <c r="P102">
        <v>-17.600000000000001</v>
      </c>
      <c r="Q102" t="str">
        <f t="shared" si="1"/>
        <v/>
      </c>
    </row>
    <row r="103" spans="1:17" x14ac:dyDescent="0.4">
      <c r="A103" s="4">
        <v>39600</v>
      </c>
      <c r="B103" s="6" t="e">
        <v>#N/A</v>
      </c>
      <c r="C103" t="e">
        <v>#N/A</v>
      </c>
      <c r="D103" t="e">
        <v>#N/A</v>
      </c>
      <c r="F103">
        <v>112.3</v>
      </c>
      <c r="G103" s="6">
        <v>93</v>
      </c>
      <c r="H103">
        <v>96.6</v>
      </c>
      <c r="I103">
        <v>68.099999999999994</v>
      </c>
      <c r="J103" t="e">
        <v>#N/A</v>
      </c>
      <c r="K103">
        <v>2.6</v>
      </c>
      <c r="L103">
        <v>97.39</v>
      </c>
      <c r="O103">
        <v>-9.6271784035604196E-3</v>
      </c>
      <c r="P103">
        <v>-20.6</v>
      </c>
      <c r="Q103" t="str">
        <f t="shared" si="1"/>
        <v/>
      </c>
    </row>
    <row r="104" spans="1:17" x14ac:dyDescent="0.4">
      <c r="A104" s="4">
        <v>39630</v>
      </c>
      <c r="B104" s="6">
        <v>256101.6</v>
      </c>
      <c r="C104">
        <v>245582.6</v>
      </c>
      <c r="D104">
        <v>100.2</v>
      </c>
      <c r="F104">
        <v>113</v>
      </c>
      <c r="G104" s="6">
        <v>92</v>
      </c>
      <c r="H104">
        <v>92.1</v>
      </c>
      <c r="I104">
        <v>68</v>
      </c>
      <c r="J104">
        <v>263532.09999999998</v>
      </c>
      <c r="K104">
        <v>2.7</v>
      </c>
      <c r="L104">
        <v>97.56</v>
      </c>
      <c r="O104">
        <v>2.03366200785755E-2</v>
      </c>
      <c r="P104">
        <v>-19.899999999999999</v>
      </c>
      <c r="Q104" t="str">
        <f t="shared" si="1"/>
        <v>2008-Q3</v>
      </c>
    </row>
    <row r="105" spans="1:17" x14ac:dyDescent="0.4">
      <c r="A105" s="4">
        <v>39661</v>
      </c>
      <c r="B105" s="6" t="e">
        <v>#N/A</v>
      </c>
      <c r="C105" t="e">
        <v>#N/A</v>
      </c>
      <c r="D105" t="e">
        <v>#N/A</v>
      </c>
      <c r="F105">
        <v>111.3</v>
      </c>
      <c r="G105" s="7">
        <v>92.7</v>
      </c>
      <c r="H105">
        <v>91.9</v>
      </c>
      <c r="I105">
        <v>68.5</v>
      </c>
      <c r="J105" t="e">
        <v>#N/A</v>
      </c>
      <c r="K105">
        <v>2.5</v>
      </c>
      <c r="L105">
        <v>94.45</v>
      </c>
      <c r="O105">
        <v>-0.105915900744787</v>
      </c>
      <c r="P105">
        <v>-18.3</v>
      </c>
      <c r="Q105" t="str">
        <f t="shared" si="1"/>
        <v/>
      </c>
    </row>
    <row r="106" spans="1:17" x14ac:dyDescent="0.4">
      <c r="A106" s="4">
        <v>39692</v>
      </c>
      <c r="B106" s="6" t="e">
        <v>#N/A</v>
      </c>
      <c r="C106" t="e">
        <v>#N/A</v>
      </c>
      <c r="D106" t="e">
        <v>#N/A</v>
      </c>
      <c r="F106">
        <v>111</v>
      </c>
      <c r="G106" s="7">
        <v>92.5</v>
      </c>
      <c r="H106">
        <v>90.7</v>
      </c>
      <c r="I106">
        <v>68.8</v>
      </c>
      <c r="J106" t="e">
        <v>#N/A</v>
      </c>
      <c r="K106">
        <v>2.4</v>
      </c>
      <c r="L106">
        <v>94.14</v>
      </c>
      <c r="O106">
        <v>-0.14522549461015699</v>
      </c>
      <c r="P106">
        <v>-17.2</v>
      </c>
      <c r="Q106" t="str">
        <f t="shared" si="1"/>
        <v/>
      </c>
    </row>
    <row r="107" spans="1:17" x14ac:dyDescent="0.4">
      <c r="A107" s="4">
        <v>39722</v>
      </c>
      <c r="B107" s="6">
        <v>249861.1</v>
      </c>
      <c r="C107">
        <v>263377.40000000002</v>
      </c>
      <c r="D107">
        <v>99.8</v>
      </c>
      <c r="F107">
        <v>109</v>
      </c>
      <c r="G107" s="7">
        <v>90.3</v>
      </c>
      <c r="H107">
        <v>82.2</v>
      </c>
      <c r="I107">
        <v>67.8</v>
      </c>
      <c r="J107">
        <v>260285.7</v>
      </c>
      <c r="K107">
        <v>2.4</v>
      </c>
      <c r="L107">
        <v>91.58</v>
      </c>
      <c r="O107">
        <v>-6.6512939069601998E-2</v>
      </c>
      <c r="P107">
        <v>-19.8</v>
      </c>
      <c r="Q107" t="str">
        <f t="shared" si="1"/>
        <v>2008-Q4</v>
      </c>
    </row>
    <row r="108" spans="1:17" x14ac:dyDescent="0.4">
      <c r="A108" s="4">
        <v>39753</v>
      </c>
      <c r="B108" s="6" t="e">
        <v>#N/A</v>
      </c>
      <c r="C108" t="e">
        <v>#N/A</v>
      </c>
      <c r="D108" t="e">
        <v>#N/A</v>
      </c>
      <c r="F108">
        <v>103.5</v>
      </c>
      <c r="G108" s="6">
        <v>88</v>
      </c>
      <c r="H108">
        <v>80</v>
      </c>
      <c r="I108">
        <v>68</v>
      </c>
      <c r="J108" t="e">
        <v>#N/A</v>
      </c>
      <c r="K108">
        <v>2.1</v>
      </c>
      <c r="L108">
        <v>86.7</v>
      </c>
      <c r="O108">
        <v>-1.3798205726763201E-2</v>
      </c>
      <c r="P108">
        <v>-16.899999999999999</v>
      </c>
      <c r="Q108" t="str">
        <f t="shared" si="1"/>
        <v/>
      </c>
    </row>
    <row r="109" spans="1:17" x14ac:dyDescent="0.4">
      <c r="A109" s="4">
        <v>39783</v>
      </c>
      <c r="B109" s="6" t="e">
        <v>#N/A</v>
      </c>
      <c r="C109" t="e">
        <v>#N/A</v>
      </c>
      <c r="D109" t="e">
        <v>#N/A</v>
      </c>
      <c r="F109">
        <v>102.3</v>
      </c>
      <c r="G109" s="7">
        <v>86.4</v>
      </c>
      <c r="H109">
        <v>68.599999999999994</v>
      </c>
      <c r="I109">
        <v>68.099999999999994</v>
      </c>
      <c r="J109" t="e">
        <v>#N/A</v>
      </c>
      <c r="K109">
        <v>1.9</v>
      </c>
      <c r="L109">
        <v>82.11</v>
      </c>
      <c r="O109">
        <v>-7.8869795254126601E-2</v>
      </c>
      <c r="P109">
        <v>-18.3</v>
      </c>
      <c r="Q109" t="str">
        <f t="shared" si="1"/>
        <v/>
      </c>
    </row>
    <row r="110" spans="1:17" x14ac:dyDescent="0.4">
      <c r="A110" s="4">
        <v>39814</v>
      </c>
      <c r="B110" s="6">
        <v>240840.3</v>
      </c>
      <c r="C110">
        <v>246081.9</v>
      </c>
      <c r="D110">
        <v>99.2</v>
      </c>
      <c r="F110">
        <v>98</v>
      </c>
      <c r="G110" s="7">
        <v>82.3</v>
      </c>
      <c r="H110">
        <v>70.7</v>
      </c>
      <c r="I110">
        <v>68.5</v>
      </c>
      <c r="J110">
        <v>257542.5</v>
      </c>
      <c r="K110">
        <v>1.7</v>
      </c>
      <c r="L110">
        <v>80.39</v>
      </c>
      <c r="O110">
        <v>-9.5711058886221806E-2</v>
      </c>
      <c r="P110">
        <v>-18</v>
      </c>
      <c r="Q110" t="str">
        <f t="shared" si="1"/>
        <v>2009-Q1</v>
      </c>
    </row>
    <row r="111" spans="1:17" x14ac:dyDescent="0.4">
      <c r="A111" s="4">
        <v>39845</v>
      </c>
      <c r="B111" s="6" t="e">
        <v>#N/A</v>
      </c>
      <c r="C111" t="e">
        <v>#N/A</v>
      </c>
      <c r="D111" t="e">
        <v>#N/A</v>
      </c>
      <c r="F111">
        <v>96.8</v>
      </c>
      <c r="G111" s="7">
        <v>81.8</v>
      </c>
      <c r="H111">
        <v>69.7</v>
      </c>
      <c r="I111">
        <v>67.400000000000006</v>
      </c>
      <c r="J111" t="e">
        <v>#N/A</v>
      </c>
      <c r="K111">
        <v>1.8</v>
      </c>
      <c r="L111">
        <v>80.849999999999994</v>
      </c>
      <c r="O111">
        <v>3.8067584387445001E-2</v>
      </c>
      <c r="P111">
        <v>-19</v>
      </c>
      <c r="Q111" t="str">
        <f t="shared" si="1"/>
        <v/>
      </c>
    </row>
    <row r="112" spans="1:17" x14ac:dyDescent="0.4">
      <c r="A112" s="4">
        <v>39873</v>
      </c>
      <c r="B112" s="6" t="e">
        <v>#N/A</v>
      </c>
      <c r="C112" t="e">
        <v>#N/A</v>
      </c>
      <c r="D112" t="e">
        <v>#N/A</v>
      </c>
      <c r="F112">
        <v>95</v>
      </c>
      <c r="G112" s="7">
        <v>80.5</v>
      </c>
      <c r="H112">
        <v>68.3</v>
      </c>
      <c r="I112">
        <v>66.900000000000006</v>
      </c>
      <c r="J112" t="e">
        <v>#N/A</v>
      </c>
      <c r="K112">
        <v>1.6</v>
      </c>
      <c r="L112">
        <v>79.31</v>
      </c>
      <c r="O112">
        <v>0.11828714191398899</v>
      </c>
      <c r="P112">
        <v>-19.899999999999999</v>
      </c>
      <c r="Q112" t="str">
        <f t="shared" si="1"/>
        <v/>
      </c>
    </row>
    <row r="113" spans="1:17" x14ac:dyDescent="0.4">
      <c r="A113" s="4">
        <v>39904</v>
      </c>
      <c r="B113" s="6">
        <v>246323</v>
      </c>
      <c r="C113">
        <v>249858.7</v>
      </c>
      <c r="D113">
        <v>98.8</v>
      </c>
      <c r="F113">
        <v>95</v>
      </c>
      <c r="G113" s="7">
        <v>80.900000000000006</v>
      </c>
      <c r="H113">
        <v>70.2</v>
      </c>
      <c r="I113">
        <v>67.8</v>
      </c>
      <c r="J113">
        <v>257657.60000000001</v>
      </c>
      <c r="K113">
        <v>1.4</v>
      </c>
      <c r="L113">
        <v>79.290000000000006</v>
      </c>
      <c r="O113">
        <v>3.6602083381177798E-2</v>
      </c>
      <c r="P113">
        <v>-15.7</v>
      </c>
      <c r="Q113" t="str">
        <f t="shared" si="1"/>
        <v>2009-Q2</v>
      </c>
    </row>
    <row r="114" spans="1:17" x14ac:dyDescent="0.4">
      <c r="A114" s="4">
        <v>39934</v>
      </c>
      <c r="B114" s="6" t="e">
        <v>#N/A</v>
      </c>
      <c r="C114" t="e">
        <v>#N/A</v>
      </c>
      <c r="D114" t="e">
        <v>#N/A</v>
      </c>
      <c r="F114">
        <v>96.3</v>
      </c>
      <c r="G114" s="7">
        <v>81.099999999999994</v>
      </c>
      <c r="H114">
        <v>77.099999999999994</v>
      </c>
      <c r="I114">
        <v>67.5</v>
      </c>
      <c r="J114" t="e">
        <v>#N/A</v>
      </c>
      <c r="K114">
        <v>1.3</v>
      </c>
      <c r="L114">
        <v>78.86</v>
      </c>
      <c r="O114">
        <v>-4.2763773570298397E-2</v>
      </c>
      <c r="P114">
        <v>-15.4</v>
      </c>
      <c r="Q114" t="str">
        <f t="shared" si="1"/>
        <v/>
      </c>
    </row>
    <row r="115" spans="1:17" x14ac:dyDescent="0.4">
      <c r="A115" s="4">
        <v>39965</v>
      </c>
      <c r="B115" s="6" t="e">
        <v>#N/A</v>
      </c>
      <c r="C115" t="e">
        <v>#N/A</v>
      </c>
      <c r="D115" t="e">
        <v>#N/A</v>
      </c>
      <c r="F115">
        <v>97.5</v>
      </c>
      <c r="G115" s="7">
        <v>81.3</v>
      </c>
      <c r="H115">
        <v>80.3</v>
      </c>
      <c r="I115">
        <v>68.7</v>
      </c>
      <c r="J115" t="e">
        <v>#N/A</v>
      </c>
      <c r="K115">
        <v>1.1000000000000001</v>
      </c>
      <c r="L115">
        <v>81.3</v>
      </c>
      <c r="O115">
        <v>8.7109312769969804E-2</v>
      </c>
      <c r="P115">
        <v>-14</v>
      </c>
      <c r="Q115" t="str">
        <f t="shared" si="1"/>
        <v/>
      </c>
    </row>
    <row r="116" spans="1:17" x14ac:dyDescent="0.4">
      <c r="A116" s="4">
        <v>39995</v>
      </c>
      <c r="B116" s="6">
        <v>243050.9</v>
      </c>
      <c r="C116">
        <v>244943.9</v>
      </c>
      <c r="D116">
        <v>98.6</v>
      </c>
      <c r="F116">
        <v>97.1</v>
      </c>
      <c r="G116" s="7">
        <v>82.7</v>
      </c>
      <c r="H116">
        <v>82.4</v>
      </c>
      <c r="I116">
        <v>67.5</v>
      </c>
      <c r="J116">
        <v>257439.6</v>
      </c>
      <c r="K116">
        <v>1</v>
      </c>
      <c r="L116">
        <v>80.540000000000006</v>
      </c>
      <c r="O116">
        <v>6.4224359682599499E-2</v>
      </c>
      <c r="P116">
        <v>-13.4</v>
      </c>
      <c r="Q116" t="str">
        <f t="shared" si="1"/>
        <v>2009-Q3</v>
      </c>
    </row>
    <row r="117" spans="1:17" x14ac:dyDescent="0.4">
      <c r="A117" s="4">
        <v>40026</v>
      </c>
      <c r="B117" s="6" t="e">
        <v>#N/A</v>
      </c>
      <c r="C117" t="e">
        <v>#N/A</v>
      </c>
      <c r="D117" t="e">
        <v>#N/A</v>
      </c>
      <c r="F117">
        <v>98.5</v>
      </c>
      <c r="G117" s="7">
        <v>81.7</v>
      </c>
      <c r="H117">
        <v>83.7</v>
      </c>
      <c r="I117">
        <v>67.599999999999994</v>
      </c>
      <c r="J117" t="e">
        <v>#N/A</v>
      </c>
      <c r="K117">
        <v>1.1000000000000001</v>
      </c>
      <c r="L117">
        <v>82.02</v>
      </c>
      <c r="O117">
        <v>3.8095847459066703E-2</v>
      </c>
      <c r="P117">
        <v>-15.8</v>
      </c>
      <c r="Q117" t="str">
        <f t="shared" si="1"/>
        <v/>
      </c>
    </row>
    <row r="118" spans="1:17" x14ac:dyDescent="0.4">
      <c r="A118" s="4">
        <v>40057</v>
      </c>
      <c r="B118" s="6" t="e">
        <v>#N/A</v>
      </c>
      <c r="C118" t="e">
        <v>#N/A</v>
      </c>
      <c r="D118" t="e">
        <v>#N/A</v>
      </c>
      <c r="F118">
        <v>99.3</v>
      </c>
      <c r="G118" s="7">
        <v>81.7</v>
      </c>
      <c r="H118">
        <v>89.5</v>
      </c>
      <c r="I118">
        <v>68.3</v>
      </c>
      <c r="J118" t="e">
        <v>#N/A</v>
      </c>
      <c r="K118">
        <v>1</v>
      </c>
      <c r="L118">
        <v>81.430000000000007</v>
      </c>
      <c r="O118">
        <v>-5.0724756655295501E-2</v>
      </c>
      <c r="P118">
        <v>-11.6</v>
      </c>
      <c r="Q118" t="str">
        <f t="shared" si="1"/>
        <v/>
      </c>
    </row>
    <row r="119" spans="1:17" x14ac:dyDescent="0.4">
      <c r="A119" s="4">
        <v>40087</v>
      </c>
      <c r="B119" s="6">
        <v>249665.1</v>
      </c>
      <c r="C119">
        <v>265748.59999999998</v>
      </c>
      <c r="D119">
        <v>98.6</v>
      </c>
      <c r="F119">
        <v>98.5</v>
      </c>
      <c r="G119" s="6">
        <v>82</v>
      </c>
      <c r="H119">
        <v>91.2</v>
      </c>
      <c r="I119">
        <v>68.7</v>
      </c>
      <c r="J119">
        <v>259955.1</v>
      </c>
      <c r="K119">
        <v>0.8</v>
      </c>
      <c r="L119">
        <v>81.819999999999993</v>
      </c>
      <c r="O119">
        <v>1.9885823593464001E-2</v>
      </c>
      <c r="P119">
        <v>-10.4</v>
      </c>
      <c r="Q119" t="str">
        <f t="shared" si="1"/>
        <v>2009-Q4</v>
      </c>
    </row>
    <row r="120" spans="1:17" x14ac:dyDescent="0.4">
      <c r="A120" s="4">
        <v>40118</v>
      </c>
      <c r="B120" s="6" t="e">
        <v>#N/A</v>
      </c>
      <c r="C120" t="e">
        <v>#N/A</v>
      </c>
      <c r="D120" t="e">
        <v>#N/A</v>
      </c>
      <c r="F120">
        <v>99.6</v>
      </c>
      <c r="G120" s="7">
        <v>83.1</v>
      </c>
      <c r="H120">
        <v>92.7</v>
      </c>
      <c r="I120">
        <v>68.2</v>
      </c>
      <c r="J120" t="e">
        <v>#N/A</v>
      </c>
      <c r="K120">
        <v>0.9</v>
      </c>
      <c r="L120">
        <v>83.36</v>
      </c>
      <c r="O120">
        <v>6.7295351302329096E-2</v>
      </c>
      <c r="P120">
        <v>-8.5</v>
      </c>
      <c r="Q120" t="str">
        <f t="shared" si="1"/>
        <v/>
      </c>
    </row>
    <row r="121" spans="1:17" x14ac:dyDescent="0.4">
      <c r="A121" s="4">
        <v>40148</v>
      </c>
      <c r="B121" s="6" t="e">
        <v>#N/A</v>
      </c>
      <c r="C121" t="e">
        <v>#N/A</v>
      </c>
      <c r="D121" t="e">
        <v>#N/A</v>
      </c>
      <c r="F121">
        <v>99.2</v>
      </c>
      <c r="G121" s="7">
        <v>82.8</v>
      </c>
      <c r="H121">
        <v>95.5</v>
      </c>
      <c r="I121">
        <v>69.5</v>
      </c>
      <c r="J121" t="e">
        <v>#N/A</v>
      </c>
      <c r="K121">
        <v>1</v>
      </c>
      <c r="L121">
        <v>83.06</v>
      </c>
      <c r="O121">
        <v>-5.1307631456934302E-2</v>
      </c>
      <c r="P121">
        <v>-9</v>
      </c>
      <c r="Q121" t="str">
        <f t="shared" si="1"/>
        <v/>
      </c>
    </row>
    <row r="122" spans="1:17" x14ac:dyDescent="0.4">
      <c r="A122" s="4">
        <v>40179</v>
      </c>
      <c r="B122" s="6">
        <v>246686.7</v>
      </c>
      <c r="C122">
        <v>251246.2</v>
      </c>
      <c r="D122">
        <v>98.4</v>
      </c>
      <c r="F122">
        <v>99.9</v>
      </c>
      <c r="G122" s="7">
        <v>82.2</v>
      </c>
      <c r="H122">
        <v>97.1</v>
      </c>
      <c r="I122">
        <v>68.5</v>
      </c>
      <c r="J122">
        <v>262285</v>
      </c>
      <c r="K122">
        <v>0.8</v>
      </c>
      <c r="L122">
        <v>85.13</v>
      </c>
      <c r="O122">
        <v>-8.2328182003816898E-3</v>
      </c>
      <c r="P122">
        <v>-8.1999999999999993</v>
      </c>
      <c r="Q122" t="str">
        <f t="shared" si="1"/>
        <v>2010-Q1</v>
      </c>
    </row>
    <row r="123" spans="1:17" x14ac:dyDescent="0.4">
      <c r="A123" s="4">
        <v>40210</v>
      </c>
      <c r="B123" s="6" t="e">
        <v>#N/A</v>
      </c>
      <c r="C123" t="e">
        <v>#N/A</v>
      </c>
      <c r="D123" t="e">
        <v>#N/A</v>
      </c>
      <c r="F123">
        <v>99.4</v>
      </c>
      <c r="G123" s="7">
        <v>82.8</v>
      </c>
      <c r="H123">
        <v>93.5</v>
      </c>
      <c r="I123">
        <v>69</v>
      </c>
      <c r="J123" t="e">
        <v>#N/A</v>
      </c>
      <c r="K123">
        <v>1.1000000000000001</v>
      </c>
      <c r="L123">
        <v>85.14</v>
      </c>
      <c r="O123">
        <v>6.9067275611374199E-2</v>
      </c>
      <c r="P123">
        <v>-10.6</v>
      </c>
      <c r="Q123" t="str">
        <f t="shared" si="1"/>
        <v/>
      </c>
    </row>
    <row r="124" spans="1:17" x14ac:dyDescent="0.4">
      <c r="A124" s="4">
        <v>40238</v>
      </c>
      <c r="B124" s="6" t="e">
        <v>#N/A</v>
      </c>
      <c r="C124" t="e">
        <v>#N/A</v>
      </c>
      <c r="D124" t="e">
        <v>#N/A</v>
      </c>
      <c r="F124">
        <v>101.4</v>
      </c>
      <c r="G124" s="6">
        <v>83</v>
      </c>
      <c r="H124">
        <v>95.9</v>
      </c>
      <c r="I124">
        <v>69.900000000000006</v>
      </c>
      <c r="J124" t="e">
        <v>#N/A</v>
      </c>
      <c r="K124">
        <v>1.1000000000000001</v>
      </c>
      <c r="L124">
        <v>86.87</v>
      </c>
      <c r="O124">
        <v>-4.0313511597476599E-2</v>
      </c>
      <c r="P124">
        <v>-12.5</v>
      </c>
      <c r="Q124" t="str">
        <f t="shared" si="1"/>
        <v/>
      </c>
    </row>
    <row r="125" spans="1:17" x14ac:dyDescent="0.4">
      <c r="A125" s="4">
        <v>40269</v>
      </c>
      <c r="B125" s="6">
        <v>250573.4</v>
      </c>
      <c r="C125">
        <v>257171.4</v>
      </c>
      <c r="D125">
        <v>98.9</v>
      </c>
      <c r="F125">
        <v>101</v>
      </c>
      <c r="G125" s="7">
        <v>84.8</v>
      </c>
      <c r="H125">
        <v>99.1</v>
      </c>
      <c r="I125">
        <v>70.3</v>
      </c>
      <c r="J125">
        <v>264463.3</v>
      </c>
      <c r="K125">
        <v>1</v>
      </c>
      <c r="L125">
        <v>89.16</v>
      </c>
      <c r="O125">
        <v>-8.4541495588513996E-2</v>
      </c>
      <c r="P125">
        <v>-12.4</v>
      </c>
      <c r="Q125" t="str">
        <f t="shared" si="1"/>
        <v>2010-Q2</v>
      </c>
    </row>
    <row r="126" spans="1:17" x14ac:dyDescent="0.4">
      <c r="A126" s="4">
        <v>40299</v>
      </c>
      <c r="B126" s="6" t="e">
        <v>#N/A</v>
      </c>
      <c r="C126" t="e">
        <v>#N/A</v>
      </c>
      <c r="D126" t="e">
        <v>#N/A</v>
      </c>
      <c r="F126">
        <v>102</v>
      </c>
      <c r="G126" s="7">
        <v>84.9</v>
      </c>
      <c r="H126">
        <v>97.2</v>
      </c>
      <c r="I126">
        <v>70.900000000000006</v>
      </c>
      <c r="J126" t="e">
        <v>#N/A</v>
      </c>
      <c r="K126">
        <v>0.9</v>
      </c>
      <c r="L126">
        <v>89.31</v>
      </c>
      <c r="O126">
        <v>-1.8609451991013201E-2</v>
      </c>
      <c r="P126">
        <v>-14.8</v>
      </c>
      <c r="Q126" t="str">
        <f t="shared" si="1"/>
        <v/>
      </c>
    </row>
    <row r="127" spans="1:17" x14ac:dyDescent="0.4">
      <c r="A127" s="4">
        <v>40330</v>
      </c>
      <c r="B127" s="6" t="e">
        <v>#N/A</v>
      </c>
      <c r="C127" t="e">
        <v>#N/A</v>
      </c>
      <c r="D127" t="e">
        <v>#N/A</v>
      </c>
      <c r="F127">
        <v>101.5</v>
      </c>
      <c r="G127" s="6">
        <v>86</v>
      </c>
      <c r="H127">
        <v>95.9</v>
      </c>
      <c r="I127">
        <v>69.7</v>
      </c>
      <c r="J127" t="e">
        <v>#N/A</v>
      </c>
      <c r="K127">
        <v>1.1000000000000001</v>
      </c>
      <c r="L127">
        <v>88.75</v>
      </c>
      <c r="O127">
        <v>5.6534713904302002E-2</v>
      </c>
      <c r="P127">
        <v>-15.6</v>
      </c>
      <c r="Q127" t="str">
        <f t="shared" si="1"/>
        <v/>
      </c>
    </row>
    <row r="128" spans="1:17" x14ac:dyDescent="0.4">
      <c r="A128" s="4">
        <v>40360</v>
      </c>
      <c r="B128" s="6">
        <v>254612.8</v>
      </c>
      <c r="C128">
        <v>252120.4</v>
      </c>
      <c r="D128">
        <v>99</v>
      </c>
      <c r="F128">
        <v>102.1</v>
      </c>
      <c r="G128" s="7">
        <v>86.9</v>
      </c>
      <c r="H128">
        <v>98.6</v>
      </c>
      <c r="I128">
        <v>71</v>
      </c>
      <c r="J128">
        <v>267020</v>
      </c>
      <c r="K128">
        <v>1.2</v>
      </c>
      <c r="L128">
        <v>88.75</v>
      </c>
      <c r="O128">
        <v>-4.2717834847223898E-2</v>
      </c>
      <c r="P128">
        <v>-14.8</v>
      </c>
      <c r="Q128" t="str">
        <f t="shared" si="1"/>
        <v>2010-Q3</v>
      </c>
    </row>
    <row r="129" spans="1:17" x14ac:dyDescent="0.4">
      <c r="A129" s="4">
        <v>40391</v>
      </c>
      <c r="B129" s="6" t="e">
        <v>#N/A</v>
      </c>
      <c r="C129" t="e">
        <v>#N/A</v>
      </c>
      <c r="D129" t="e">
        <v>#N/A</v>
      </c>
      <c r="F129">
        <v>101.2</v>
      </c>
      <c r="G129" s="7">
        <v>85.4</v>
      </c>
      <c r="H129">
        <v>100.8</v>
      </c>
      <c r="I129">
        <v>70.7</v>
      </c>
      <c r="J129" t="e">
        <v>#N/A</v>
      </c>
      <c r="K129">
        <v>1</v>
      </c>
      <c r="L129">
        <v>88.75</v>
      </c>
      <c r="O129">
        <v>6.2299027996440201E-2</v>
      </c>
      <c r="P129">
        <v>-12.9</v>
      </c>
      <c r="Q129" t="str">
        <f t="shared" si="1"/>
        <v/>
      </c>
    </row>
    <row r="130" spans="1:17" x14ac:dyDescent="0.4">
      <c r="A130" s="4">
        <v>40422</v>
      </c>
      <c r="B130" s="6" t="e">
        <v>#N/A</v>
      </c>
      <c r="C130" t="e">
        <v>#N/A</v>
      </c>
      <c r="D130" t="e">
        <v>#N/A</v>
      </c>
      <c r="F130">
        <v>102.5</v>
      </c>
      <c r="G130" s="7">
        <v>87.4</v>
      </c>
      <c r="H130">
        <v>101.1</v>
      </c>
      <c r="I130">
        <v>71.3</v>
      </c>
      <c r="J130" t="e">
        <v>#N/A</v>
      </c>
      <c r="K130">
        <v>1.1000000000000001</v>
      </c>
      <c r="L130">
        <v>89.19</v>
      </c>
      <c r="O130">
        <v>3.13511132001505E-2</v>
      </c>
      <c r="P130">
        <v>-13.7</v>
      </c>
      <c r="Q130" t="str">
        <f t="shared" si="1"/>
        <v/>
      </c>
    </row>
    <row r="131" spans="1:17" x14ac:dyDescent="0.4">
      <c r="A131" s="4">
        <v>40452</v>
      </c>
      <c r="B131" s="6">
        <v>257138.1</v>
      </c>
      <c r="C131">
        <v>272190.7</v>
      </c>
      <c r="D131">
        <v>99.4</v>
      </c>
      <c r="F131">
        <v>102.4</v>
      </c>
      <c r="G131" s="7">
        <v>85.6</v>
      </c>
      <c r="H131">
        <v>103.5</v>
      </c>
      <c r="I131">
        <v>70.900000000000006</v>
      </c>
      <c r="J131">
        <v>270196</v>
      </c>
      <c r="K131">
        <v>1.1000000000000001</v>
      </c>
      <c r="L131">
        <v>90.59</v>
      </c>
      <c r="O131">
        <v>-5.9948591671700399E-2</v>
      </c>
      <c r="P131">
        <v>-12.5</v>
      </c>
      <c r="Q131" t="str">
        <f t="shared" ref="Q131:Q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7" x14ac:dyDescent="0.4">
      <c r="A132" s="4">
        <v>40483</v>
      </c>
      <c r="B132" s="6" t="e">
        <v>#N/A</v>
      </c>
      <c r="C132" t="e">
        <v>#N/A</v>
      </c>
      <c r="D132" t="e">
        <v>#N/A</v>
      </c>
      <c r="F132">
        <v>103.6</v>
      </c>
      <c r="G132" s="7">
        <v>89.3</v>
      </c>
      <c r="H132">
        <v>102.9</v>
      </c>
      <c r="I132">
        <v>72.2</v>
      </c>
      <c r="J132" t="e">
        <v>#N/A</v>
      </c>
      <c r="K132">
        <v>1.1000000000000001</v>
      </c>
      <c r="L132">
        <v>91.43</v>
      </c>
      <c r="O132">
        <v>5.2428546337333501E-2</v>
      </c>
      <c r="P132">
        <v>-9.4</v>
      </c>
      <c r="Q132" t="str">
        <f t="shared" si="2"/>
        <v/>
      </c>
    </row>
    <row r="133" spans="1:17" x14ac:dyDescent="0.4">
      <c r="A133" s="4">
        <v>40513</v>
      </c>
      <c r="B133" s="6" t="e">
        <v>#N/A</v>
      </c>
      <c r="C133" t="e">
        <v>#N/A</v>
      </c>
      <c r="D133" t="e">
        <v>#N/A</v>
      </c>
      <c r="F133">
        <v>104.9</v>
      </c>
      <c r="G133" s="7">
        <v>89.1</v>
      </c>
      <c r="H133">
        <v>104.6</v>
      </c>
      <c r="I133">
        <v>72.599999999999994</v>
      </c>
      <c r="J133" t="e">
        <v>#N/A</v>
      </c>
      <c r="K133">
        <v>1.1000000000000001</v>
      </c>
      <c r="L133">
        <v>93.15</v>
      </c>
      <c r="O133">
        <v>5.1410237990589601E-2</v>
      </c>
      <c r="P133">
        <v>-12.4</v>
      </c>
      <c r="Q133" t="str">
        <f t="shared" si="2"/>
        <v/>
      </c>
    </row>
    <row r="134" spans="1:17" x14ac:dyDescent="0.4">
      <c r="A134" s="4">
        <v>40544</v>
      </c>
      <c r="B134" s="6">
        <v>262873.3</v>
      </c>
      <c r="C134">
        <v>259459.7</v>
      </c>
      <c r="D134">
        <v>99.9</v>
      </c>
      <c r="F134">
        <v>106.1</v>
      </c>
      <c r="G134" s="7">
        <v>89.7</v>
      </c>
      <c r="H134">
        <v>107.4</v>
      </c>
      <c r="I134">
        <v>72.599999999999994</v>
      </c>
      <c r="J134">
        <v>274070</v>
      </c>
      <c r="K134">
        <v>0.9</v>
      </c>
      <c r="L134">
        <v>96.4</v>
      </c>
      <c r="O134">
        <v>2.5839790118832098E-2</v>
      </c>
      <c r="P134">
        <v>-14.4</v>
      </c>
      <c r="Q134" t="str">
        <f t="shared" si="2"/>
        <v>2011-Q1</v>
      </c>
    </row>
    <row r="135" spans="1:17" x14ac:dyDescent="0.4">
      <c r="A135" s="4">
        <v>40575</v>
      </c>
      <c r="B135" s="6" t="e">
        <v>#N/A</v>
      </c>
      <c r="C135" t="e">
        <v>#N/A</v>
      </c>
      <c r="D135" t="e">
        <v>#N/A</v>
      </c>
      <c r="F135">
        <v>106.6</v>
      </c>
      <c r="G135" s="7">
        <v>90.1</v>
      </c>
      <c r="H135">
        <v>106.2</v>
      </c>
      <c r="I135">
        <v>73.400000000000006</v>
      </c>
      <c r="J135" t="e">
        <v>#N/A</v>
      </c>
      <c r="K135">
        <v>0.7</v>
      </c>
      <c r="L135">
        <v>97.39</v>
      </c>
      <c r="O135">
        <v>-2.9922527931605099E-2</v>
      </c>
      <c r="P135">
        <v>-14.8</v>
      </c>
      <c r="Q135" t="str">
        <f t="shared" si="2"/>
        <v/>
      </c>
    </row>
    <row r="136" spans="1:17" x14ac:dyDescent="0.4">
      <c r="A136" s="4">
        <v>40603</v>
      </c>
      <c r="B136" s="6" t="e">
        <v>#N/A</v>
      </c>
      <c r="C136" t="e">
        <v>#N/A</v>
      </c>
      <c r="D136" t="e">
        <v>#N/A</v>
      </c>
      <c r="F136">
        <v>105.3</v>
      </c>
      <c r="G136" s="7">
        <v>90.8</v>
      </c>
      <c r="H136">
        <v>107</v>
      </c>
      <c r="I136">
        <v>73.2</v>
      </c>
      <c r="J136" t="e">
        <v>#N/A</v>
      </c>
      <c r="K136">
        <v>1</v>
      </c>
      <c r="L136">
        <v>99.64</v>
      </c>
      <c r="O136">
        <v>2.90876579632737E-2</v>
      </c>
      <c r="P136">
        <v>-16</v>
      </c>
      <c r="Q136" t="str">
        <f t="shared" si="2"/>
        <v/>
      </c>
    </row>
    <row r="137" spans="1:17" x14ac:dyDescent="0.4">
      <c r="A137" s="4">
        <v>40634</v>
      </c>
      <c r="B137" s="6">
        <v>264726.40000000002</v>
      </c>
      <c r="C137">
        <v>265212.2</v>
      </c>
      <c r="D137">
        <v>100.2</v>
      </c>
      <c r="F137">
        <v>103.5</v>
      </c>
      <c r="G137" s="7">
        <v>90.8</v>
      </c>
      <c r="H137">
        <v>106.4</v>
      </c>
      <c r="I137">
        <v>73.900000000000006</v>
      </c>
      <c r="J137">
        <v>271678.59999999998</v>
      </c>
      <c r="K137">
        <v>1.2</v>
      </c>
      <c r="L137">
        <v>100.87</v>
      </c>
      <c r="O137">
        <v>-2.4645493700560898E-2</v>
      </c>
      <c r="P137">
        <v>-16.600000000000001</v>
      </c>
      <c r="Q137" t="str">
        <f t="shared" si="2"/>
        <v>2011-Q2</v>
      </c>
    </row>
    <row r="138" spans="1:17" x14ac:dyDescent="0.4">
      <c r="A138" s="4">
        <v>40664</v>
      </c>
      <c r="B138" s="6" t="e">
        <v>#N/A</v>
      </c>
      <c r="C138" t="e">
        <v>#N/A</v>
      </c>
      <c r="D138" t="e">
        <v>#N/A</v>
      </c>
      <c r="F138">
        <v>107</v>
      </c>
      <c r="G138" s="7">
        <v>90.9</v>
      </c>
      <c r="H138">
        <v>104.7</v>
      </c>
      <c r="I138">
        <v>72.7</v>
      </c>
      <c r="J138" t="e">
        <v>#N/A</v>
      </c>
      <c r="K138">
        <v>1.3</v>
      </c>
      <c r="L138">
        <v>99.29</v>
      </c>
      <c r="O138">
        <v>-6.1909113628555402E-3</v>
      </c>
      <c r="P138">
        <v>-15.4</v>
      </c>
      <c r="Q138" t="str">
        <f t="shared" si="2"/>
        <v/>
      </c>
    </row>
    <row r="139" spans="1:17" x14ac:dyDescent="0.4">
      <c r="A139" s="4">
        <v>40695</v>
      </c>
      <c r="B139" s="6" t="e">
        <v>#N/A</v>
      </c>
      <c r="C139" t="e">
        <v>#N/A</v>
      </c>
      <c r="D139" t="e">
        <v>#N/A</v>
      </c>
      <c r="F139">
        <v>103.8</v>
      </c>
      <c r="G139" s="7">
        <v>90.7</v>
      </c>
      <c r="H139">
        <v>105.6</v>
      </c>
      <c r="I139">
        <v>73.3</v>
      </c>
      <c r="J139" t="e">
        <v>#N/A</v>
      </c>
      <c r="K139">
        <v>1.4</v>
      </c>
      <c r="L139">
        <v>98.81</v>
      </c>
      <c r="O139">
        <v>-8.0890780677837198E-2</v>
      </c>
      <c r="P139">
        <v>-16.100000000000001</v>
      </c>
      <c r="Q139" t="str">
        <f t="shared" si="2"/>
        <v/>
      </c>
    </row>
    <row r="140" spans="1:17" x14ac:dyDescent="0.4">
      <c r="A140" s="4">
        <v>40725</v>
      </c>
      <c r="B140" s="6">
        <v>268752.09999999998</v>
      </c>
      <c r="C140">
        <v>259323.4</v>
      </c>
      <c r="D140">
        <v>100.2</v>
      </c>
      <c r="F140">
        <v>105.1</v>
      </c>
      <c r="G140" s="7">
        <v>92.7</v>
      </c>
      <c r="H140">
        <v>102.8</v>
      </c>
      <c r="I140">
        <v>73.099999999999994</v>
      </c>
      <c r="J140">
        <v>272339.20000000001</v>
      </c>
      <c r="K140">
        <v>1.2</v>
      </c>
      <c r="L140">
        <v>98.81</v>
      </c>
      <c r="O140">
        <v>-0.120213311947099</v>
      </c>
      <c r="P140">
        <v>-15</v>
      </c>
      <c r="Q140" t="str">
        <f t="shared" si="2"/>
        <v>2011-Q3</v>
      </c>
    </row>
    <row r="141" spans="1:17" x14ac:dyDescent="0.4">
      <c r="A141" s="4">
        <v>40756</v>
      </c>
      <c r="B141" s="6" t="e">
        <v>#N/A</v>
      </c>
      <c r="C141" t="e">
        <v>#N/A</v>
      </c>
      <c r="D141" t="e">
        <v>#N/A</v>
      </c>
      <c r="F141">
        <v>104</v>
      </c>
      <c r="G141" s="7">
        <v>91.4</v>
      </c>
      <c r="H141">
        <v>96.6</v>
      </c>
      <c r="I141">
        <v>73</v>
      </c>
      <c r="J141" t="e">
        <v>#N/A</v>
      </c>
      <c r="K141">
        <v>1.5</v>
      </c>
      <c r="L141">
        <v>99.2</v>
      </c>
      <c r="O141">
        <v>-8.8152049798438298E-2</v>
      </c>
      <c r="P141">
        <v>-19</v>
      </c>
      <c r="Q141" t="str">
        <f t="shared" si="2"/>
        <v/>
      </c>
    </row>
    <row r="142" spans="1:17" x14ac:dyDescent="0.4">
      <c r="A142" s="4">
        <v>40787</v>
      </c>
      <c r="B142" s="6" t="e">
        <v>#N/A</v>
      </c>
      <c r="C142" t="e">
        <v>#N/A</v>
      </c>
      <c r="D142" t="e">
        <v>#N/A</v>
      </c>
      <c r="F142">
        <v>103.4</v>
      </c>
      <c r="G142" s="7">
        <v>92.4</v>
      </c>
      <c r="H142">
        <v>94.2</v>
      </c>
      <c r="I142">
        <v>73.599999999999994</v>
      </c>
      <c r="J142" t="e">
        <v>#N/A</v>
      </c>
      <c r="K142">
        <v>1.5</v>
      </c>
      <c r="L142">
        <v>99.9</v>
      </c>
      <c r="O142">
        <v>8.38687268406932E-2</v>
      </c>
      <c r="P142">
        <v>-18.7</v>
      </c>
      <c r="Q142" t="str">
        <f t="shared" si="2"/>
        <v/>
      </c>
    </row>
    <row r="143" spans="1:17" x14ac:dyDescent="0.4">
      <c r="A143" s="4">
        <v>40817</v>
      </c>
      <c r="B143" s="6">
        <v>269792.40000000002</v>
      </c>
      <c r="C143">
        <v>280382.8</v>
      </c>
      <c r="D143">
        <v>100.3</v>
      </c>
      <c r="F143">
        <v>103.7</v>
      </c>
      <c r="G143" s="7">
        <v>91.4</v>
      </c>
      <c r="H143">
        <v>93.1</v>
      </c>
      <c r="I143">
        <v>73.8</v>
      </c>
      <c r="J143">
        <v>272678.5</v>
      </c>
      <c r="K143">
        <v>1.7</v>
      </c>
      <c r="L143">
        <v>100.51</v>
      </c>
      <c r="O143">
        <v>-2.7581434030389901E-2</v>
      </c>
      <c r="P143">
        <v>-16.2</v>
      </c>
      <c r="Q143" t="str">
        <f t="shared" si="2"/>
        <v>2011-Q4</v>
      </c>
    </row>
    <row r="144" spans="1:17" x14ac:dyDescent="0.4">
      <c r="A144" s="4">
        <v>40848</v>
      </c>
      <c r="B144" s="6" t="e">
        <v>#N/A</v>
      </c>
      <c r="C144" t="e">
        <v>#N/A</v>
      </c>
      <c r="D144" t="e">
        <v>#N/A</v>
      </c>
      <c r="F144">
        <v>105.9</v>
      </c>
      <c r="G144" s="6">
        <v>94</v>
      </c>
      <c r="H144">
        <v>91</v>
      </c>
      <c r="I144">
        <v>74</v>
      </c>
      <c r="J144" t="e">
        <v>#N/A</v>
      </c>
      <c r="K144">
        <v>1.9</v>
      </c>
      <c r="L144">
        <v>101.58</v>
      </c>
      <c r="O144">
        <v>1.64383560525927E-3</v>
      </c>
      <c r="P144">
        <v>-18.899999999999999</v>
      </c>
      <c r="Q144" t="str">
        <f t="shared" si="2"/>
        <v/>
      </c>
    </row>
    <row r="145" spans="1:17" x14ac:dyDescent="0.4">
      <c r="A145" s="4">
        <v>40878</v>
      </c>
      <c r="B145" s="6" t="e">
        <v>#N/A</v>
      </c>
      <c r="C145" t="e">
        <v>#N/A</v>
      </c>
      <c r="D145" t="e">
        <v>#N/A</v>
      </c>
      <c r="F145">
        <v>103.8</v>
      </c>
      <c r="G145" s="7">
        <v>91.3</v>
      </c>
      <c r="H145">
        <v>89.8</v>
      </c>
      <c r="I145">
        <v>73.5</v>
      </c>
      <c r="J145" t="e">
        <v>#N/A</v>
      </c>
      <c r="K145">
        <v>2</v>
      </c>
      <c r="L145">
        <v>101.53</v>
      </c>
      <c r="O145">
        <v>4.2971075021835503E-2</v>
      </c>
      <c r="P145">
        <v>-19.8</v>
      </c>
      <c r="Q145" t="str">
        <f t="shared" si="2"/>
        <v/>
      </c>
    </row>
    <row r="146" spans="1:17" x14ac:dyDescent="0.4">
      <c r="A146" s="4">
        <v>40909</v>
      </c>
      <c r="B146" s="6">
        <v>270976.7</v>
      </c>
      <c r="C146">
        <v>265737</v>
      </c>
      <c r="D146">
        <v>100.3</v>
      </c>
      <c r="F146">
        <v>103</v>
      </c>
      <c r="G146" s="7">
        <v>93.1</v>
      </c>
      <c r="H146">
        <v>89</v>
      </c>
      <c r="I146">
        <v>74.099999999999994</v>
      </c>
      <c r="J146">
        <v>274783.90000000002</v>
      </c>
      <c r="K146">
        <v>2</v>
      </c>
      <c r="L146">
        <v>103.85</v>
      </c>
      <c r="O146">
        <v>4.5601117020028802E-2</v>
      </c>
      <c r="P146">
        <v>-18.8</v>
      </c>
      <c r="Q146" t="str">
        <f t="shared" si="2"/>
        <v>2012-Q1</v>
      </c>
    </row>
    <row r="147" spans="1:17" x14ac:dyDescent="0.4">
      <c r="A147" s="4">
        <v>40940</v>
      </c>
      <c r="B147" s="6" t="e">
        <v>#N/A</v>
      </c>
      <c r="C147" t="e">
        <v>#N/A</v>
      </c>
      <c r="D147" t="e">
        <v>#N/A</v>
      </c>
      <c r="F147">
        <v>103.4</v>
      </c>
      <c r="G147" s="7">
        <v>92.1</v>
      </c>
      <c r="H147">
        <v>91.1</v>
      </c>
      <c r="I147">
        <v>74.900000000000006</v>
      </c>
      <c r="J147" t="e">
        <v>#N/A</v>
      </c>
      <c r="K147">
        <v>2</v>
      </c>
      <c r="L147">
        <v>104.97</v>
      </c>
      <c r="O147">
        <v>-8.3301265949344803E-3</v>
      </c>
      <c r="P147">
        <v>-16.8</v>
      </c>
      <c r="Q147" t="str">
        <f t="shared" si="2"/>
        <v/>
      </c>
    </row>
    <row r="148" spans="1:17" x14ac:dyDescent="0.4">
      <c r="A148" s="4">
        <v>40969</v>
      </c>
      <c r="B148" s="6" t="e">
        <v>#N/A</v>
      </c>
      <c r="C148" t="e">
        <v>#N/A</v>
      </c>
      <c r="D148" t="e">
        <v>#N/A</v>
      </c>
      <c r="F148">
        <v>102.8</v>
      </c>
      <c r="G148" s="7">
        <v>91.9</v>
      </c>
      <c r="H148">
        <v>93.8</v>
      </c>
      <c r="I148">
        <v>75.599999999999994</v>
      </c>
      <c r="J148" t="e">
        <v>#N/A</v>
      </c>
      <c r="K148">
        <v>2.2000000000000002</v>
      </c>
      <c r="L148">
        <v>106.15</v>
      </c>
      <c r="O148">
        <v>-6.3611136926022396E-2</v>
      </c>
      <c r="P148">
        <v>-13.3</v>
      </c>
      <c r="Q148" t="str">
        <f t="shared" si="2"/>
        <v/>
      </c>
    </row>
    <row r="149" spans="1:17" x14ac:dyDescent="0.4">
      <c r="A149" s="4">
        <v>41000</v>
      </c>
      <c r="B149" s="6">
        <v>271359.8</v>
      </c>
      <c r="C149">
        <v>271347.90000000002</v>
      </c>
      <c r="D149">
        <v>100.2</v>
      </c>
      <c r="F149">
        <v>103.7</v>
      </c>
      <c r="G149" s="7">
        <v>91.8</v>
      </c>
      <c r="H149">
        <v>94.1</v>
      </c>
      <c r="I149">
        <v>73.8</v>
      </c>
      <c r="J149">
        <v>274937.8</v>
      </c>
      <c r="K149">
        <v>2.1</v>
      </c>
      <c r="L149">
        <v>106.3</v>
      </c>
      <c r="O149">
        <v>-6.2876568314051098E-2</v>
      </c>
      <c r="P149">
        <v>-13.6</v>
      </c>
      <c r="Q149" t="str">
        <f t="shared" si="2"/>
        <v>2012-Q2</v>
      </c>
    </row>
    <row r="150" spans="1:17" x14ac:dyDescent="0.4">
      <c r="A150" s="4">
        <v>41030</v>
      </c>
      <c r="B150" s="6" t="e">
        <v>#N/A</v>
      </c>
      <c r="C150" t="e">
        <v>#N/A</v>
      </c>
      <c r="D150" t="e">
        <v>#N/A</v>
      </c>
      <c r="F150">
        <v>101.6</v>
      </c>
      <c r="G150" s="7">
        <v>93.4</v>
      </c>
      <c r="H150">
        <v>92.6</v>
      </c>
      <c r="I150">
        <v>74.7</v>
      </c>
      <c r="J150" t="e">
        <v>#N/A</v>
      </c>
      <c r="K150">
        <v>2</v>
      </c>
      <c r="L150">
        <v>104.18</v>
      </c>
      <c r="O150">
        <v>5.7837077940583001E-2</v>
      </c>
      <c r="P150">
        <v>-11.3</v>
      </c>
      <c r="Q150" t="str">
        <f t="shared" si="2"/>
        <v/>
      </c>
    </row>
    <row r="151" spans="1:17" x14ac:dyDescent="0.4">
      <c r="A151" s="4">
        <v>41061</v>
      </c>
      <c r="B151" s="6" t="e">
        <v>#N/A</v>
      </c>
      <c r="C151" t="e">
        <v>#N/A</v>
      </c>
      <c r="D151" t="e">
        <v>#N/A</v>
      </c>
      <c r="F151">
        <v>101.5</v>
      </c>
      <c r="G151" s="7">
        <v>91.3</v>
      </c>
      <c r="H151">
        <v>90.8</v>
      </c>
      <c r="I151">
        <v>75.400000000000006</v>
      </c>
      <c r="J151" t="e">
        <v>#N/A</v>
      </c>
      <c r="K151">
        <v>2.1</v>
      </c>
      <c r="L151">
        <v>102.09</v>
      </c>
      <c r="O151">
        <v>2.92886141998192E-2</v>
      </c>
      <c r="P151">
        <v>-12.2</v>
      </c>
      <c r="Q151" t="str">
        <f t="shared" si="2"/>
        <v/>
      </c>
    </row>
    <row r="152" spans="1:17" x14ac:dyDescent="0.4">
      <c r="A152" s="4">
        <v>41091</v>
      </c>
      <c r="B152" s="6">
        <v>274719.7</v>
      </c>
      <c r="C152">
        <v>265391.09999999998</v>
      </c>
      <c r="D152">
        <v>100.1</v>
      </c>
      <c r="F152">
        <v>102.3</v>
      </c>
      <c r="G152" s="7">
        <v>91.7</v>
      </c>
      <c r="H152">
        <v>88</v>
      </c>
      <c r="I152">
        <v>75.599999999999994</v>
      </c>
      <c r="J152">
        <v>275253.8</v>
      </c>
      <c r="K152">
        <v>2.1</v>
      </c>
      <c r="L152">
        <v>102.34</v>
      </c>
      <c r="O152">
        <v>3.6220229458797E-2</v>
      </c>
      <c r="P152">
        <v>-15.7</v>
      </c>
      <c r="Q152" t="str">
        <f t="shared" si="2"/>
        <v>2012-Q3</v>
      </c>
    </row>
    <row r="153" spans="1:17" x14ac:dyDescent="0.4">
      <c r="A153" s="4">
        <v>41122</v>
      </c>
      <c r="B153" s="6" t="e">
        <v>#N/A</v>
      </c>
      <c r="C153" t="e">
        <v>#N/A</v>
      </c>
      <c r="D153" t="e">
        <v>#N/A</v>
      </c>
      <c r="F153">
        <v>103.5</v>
      </c>
      <c r="G153" s="7">
        <v>92.3</v>
      </c>
      <c r="H153">
        <v>87.8</v>
      </c>
      <c r="I153">
        <v>74.900000000000006</v>
      </c>
      <c r="J153" t="e">
        <v>#N/A</v>
      </c>
      <c r="K153">
        <v>1.9</v>
      </c>
      <c r="L153">
        <v>105.89</v>
      </c>
      <c r="O153">
        <v>-1.7214061464299501E-2</v>
      </c>
      <c r="P153">
        <v>-16</v>
      </c>
      <c r="Q153" t="str">
        <f t="shared" si="2"/>
        <v/>
      </c>
    </row>
    <row r="154" spans="1:17" x14ac:dyDescent="0.4">
      <c r="A154" s="4">
        <v>41153</v>
      </c>
      <c r="B154" s="6" t="e">
        <v>#N/A</v>
      </c>
      <c r="C154" t="e">
        <v>#N/A</v>
      </c>
      <c r="D154" t="e">
        <v>#N/A</v>
      </c>
      <c r="F154">
        <v>102</v>
      </c>
      <c r="G154" s="7">
        <v>92.1</v>
      </c>
      <c r="H154">
        <v>87.2</v>
      </c>
      <c r="I154">
        <v>75.400000000000006</v>
      </c>
      <c r="J154" t="e">
        <v>#N/A</v>
      </c>
      <c r="K154">
        <v>1.8</v>
      </c>
      <c r="L154">
        <v>105.59</v>
      </c>
      <c r="O154">
        <v>2.1949278139810999E-2</v>
      </c>
      <c r="P154">
        <v>-18.899999999999999</v>
      </c>
      <c r="Q154" t="str">
        <f t="shared" si="2"/>
        <v/>
      </c>
    </row>
    <row r="155" spans="1:17" x14ac:dyDescent="0.4">
      <c r="A155" s="4">
        <v>41183</v>
      </c>
      <c r="B155" s="6">
        <v>283916.2</v>
      </c>
      <c r="C155">
        <v>286303.59999999998</v>
      </c>
      <c r="D155">
        <v>99.9</v>
      </c>
      <c r="F155">
        <v>100.4</v>
      </c>
      <c r="G155" s="7">
        <v>91.5</v>
      </c>
      <c r="H155">
        <v>83.3</v>
      </c>
      <c r="I155">
        <v>75.7</v>
      </c>
      <c r="J155">
        <v>276161.7</v>
      </c>
      <c r="K155">
        <v>1.8</v>
      </c>
      <c r="L155">
        <v>105.57</v>
      </c>
      <c r="O155">
        <v>3.6648799890897997E-2</v>
      </c>
      <c r="P155">
        <v>-19.3</v>
      </c>
      <c r="Q155" t="str">
        <f t="shared" si="2"/>
        <v>2012-Q4</v>
      </c>
    </row>
    <row r="156" spans="1:17" x14ac:dyDescent="0.4">
      <c r="A156" s="4">
        <v>41214</v>
      </c>
      <c r="B156" s="6" t="e">
        <v>#N/A</v>
      </c>
      <c r="C156" t="e">
        <v>#N/A</v>
      </c>
      <c r="D156" t="e">
        <v>#N/A</v>
      </c>
      <c r="F156">
        <v>100.5</v>
      </c>
      <c r="G156" s="7">
        <v>90.2</v>
      </c>
      <c r="H156">
        <v>84.6</v>
      </c>
      <c r="I156">
        <v>75</v>
      </c>
      <c r="J156" t="e">
        <v>#N/A</v>
      </c>
      <c r="K156">
        <v>1.5</v>
      </c>
      <c r="L156">
        <v>104.43</v>
      </c>
      <c r="O156">
        <v>2.3281397145748201E-2</v>
      </c>
      <c r="P156">
        <v>-18.3</v>
      </c>
      <c r="Q156" t="str">
        <f t="shared" si="2"/>
        <v/>
      </c>
    </row>
    <row r="157" spans="1:17" x14ac:dyDescent="0.4">
      <c r="A157" s="4">
        <v>41244</v>
      </c>
      <c r="B157" s="6" t="e">
        <v>#N/A</v>
      </c>
      <c r="C157" t="e">
        <v>#N/A</v>
      </c>
      <c r="D157" t="e">
        <v>#N/A</v>
      </c>
      <c r="F157">
        <v>101.7</v>
      </c>
      <c r="G157" s="7">
        <v>92.4</v>
      </c>
      <c r="H157">
        <v>85.2</v>
      </c>
      <c r="I157">
        <v>75.400000000000006</v>
      </c>
      <c r="J157" t="e">
        <v>#N/A</v>
      </c>
      <c r="K157">
        <v>1.4</v>
      </c>
      <c r="L157">
        <v>104.26</v>
      </c>
      <c r="O157">
        <v>2.4827454659433802E-2</v>
      </c>
      <c r="P157">
        <v>-18</v>
      </c>
      <c r="Q157" t="str">
        <f t="shared" si="2"/>
        <v/>
      </c>
    </row>
    <row r="158" spans="1:17" x14ac:dyDescent="0.4">
      <c r="A158" s="4">
        <v>41275</v>
      </c>
      <c r="B158" s="6">
        <v>279934.09999999998</v>
      </c>
      <c r="C158">
        <v>269793.40000000002</v>
      </c>
      <c r="D158">
        <v>100</v>
      </c>
      <c r="F158">
        <v>101.1</v>
      </c>
      <c r="G158" s="6">
        <v>91</v>
      </c>
      <c r="H158">
        <v>87.5</v>
      </c>
      <c r="I158">
        <v>75.900000000000006</v>
      </c>
      <c r="J158">
        <v>277464.09999999998</v>
      </c>
      <c r="K158">
        <v>1.3</v>
      </c>
      <c r="L158">
        <v>106.05</v>
      </c>
      <c r="O158">
        <v>-2.5752730393744398E-3</v>
      </c>
      <c r="P158">
        <v>-19.2</v>
      </c>
      <c r="Q158" t="str">
        <f t="shared" si="2"/>
        <v>2013-Q1</v>
      </c>
    </row>
    <row r="159" spans="1:17" x14ac:dyDescent="0.4">
      <c r="A159" s="4">
        <v>41306</v>
      </c>
      <c r="B159" s="6" t="e">
        <v>#N/A</v>
      </c>
      <c r="C159" t="e">
        <v>#N/A</v>
      </c>
      <c r="D159" t="e">
        <v>#N/A</v>
      </c>
      <c r="F159">
        <v>102.6</v>
      </c>
      <c r="G159" s="7">
        <v>91.1</v>
      </c>
      <c r="H159">
        <v>86.5</v>
      </c>
      <c r="I159">
        <v>75.900000000000006</v>
      </c>
      <c r="J159" t="e">
        <v>#N/A</v>
      </c>
      <c r="K159">
        <v>1.1000000000000001</v>
      </c>
      <c r="L159">
        <v>107.56</v>
      </c>
      <c r="O159">
        <v>2.25904243227681E-3</v>
      </c>
      <c r="P159">
        <v>-18.8</v>
      </c>
      <c r="Q159" t="str">
        <f t="shared" si="2"/>
        <v/>
      </c>
    </row>
    <row r="160" spans="1:17" x14ac:dyDescent="0.4">
      <c r="A160" s="4">
        <v>41334</v>
      </c>
      <c r="B160" s="6" t="e">
        <v>#N/A</v>
      </c>
      <c r="C160" t="e">
        <v>#N/A</v>
      </c>
      <c r="D160" t="e">
        <v>#N/A</v>
      </c>
      <c r="F160">
        <v>102.8</v>
      </c>
      <c r="G160" s="7">
        <v>92.2</v>
      </c>
      <c r="H160">
        <v>87.1</v>
      </c>
      <c r="I160">
        <v>75.8</v>
      </c>
      <c r="J160" t="e">
        <v>#N/A</v>
      </c>
      <c r="K160">
        <v>1.1000000000000001</v>
      </c>
      <c r="L160">
        <v>107.44</v>
      </c>
      <c r="O160">
        <v>3.3036022587055E-2</v>
      </c>
      <c r="P160">
        <v>-19.899999999999999</v>
      </c>
      <c r="Q160" t="str">
        <f t="shared" si="2"/>
        <v/>
      </c>
    </row>
    <row r="161" spans="1:17" x14ac:dyDescent="0.4">
      <c r="A161" s="4">
        <v>41365</v>
      </c>
      <c r="B161" s="6">
        <v>283476.8</v>
      </c>
      <c r="C161">
        <v>276193.40000000002</v>
      </c>
      <c r="D161">
        <v>99.9</v>
      </c>
      <c r="F161">
        <v>104.1</v>
      </c>
      <c r="G161" s="7">
        <v>92.2</v>
      </c>
      <c r="H161">
        <v>84.3</v>
      </c>
      <c r="I161">
        <v>76.400000000000006</v>
      </c>
      <c r="J161">
        <v>278203.7</v>
      </c>
      <c r="K161">
        <v>0.9</v>
      </c>
      <c r="L161">
        <v>106.32</v>
      </c>
      <c r="O161">
        <v>2.3533715510430001E-2</v>
      </c>
      <c r="P161">
        <v>-19.399999999999999</v>
      </c>
      <c r="Q161" t="str">
        <f t="shared" si="2"/>
        <v>2013-Q2</v>
      </c>
    </row>
    <row r="162" spans="1:17" x14ac:dyDescent="0.4">
      <c r="A162" s="4">
        <v>41395</v>
      </c>
      <c r="B162" s="6" t="e">
        <v>#N/A</v>
      </c>
      <c r="C162" t="e">
        <v>#N/A</v>
      </c>
      <c r="D162" t="e">
        <v>#N/A</v>
      </c>
      <c r="F162">
        <v>103.8</v>
      </c>
      <c r="G162" s="7">
        <v>91.5</v>
      </c>
      <c r="H162">
        <v>84</v>
      </c>
      <c r="I162">
        <v>76.599999999999994</v>
      </c>
      <c r="J162" t="e">
        <v>#N/A</v>
      </c>
      <c r="K162">
        <v>1</v>
      </c>
      <c r="L162">
        <v>103.9</v>
      </c>
      <c r="O162">
        <v>-5.4564473829199003E-2</v>
      </c>
      <c r="P162">
        <v>-22.1</v>
      </c>
      <c r="Q162" t="str">
        <f t="shared" si="2"/>
        <v/>
      </c>
    </row>
    <row r="163" spans="1:17" x14ac:dyDescent="0.4">
      <c r="A163" s="4">
        <v>41426</v>
      </c>
      <c r="B163" s="6" t="e">
        <v>#N/A</v>
      </c>
      <c r="C163" t="e">
        <v>#N/A</v>
      </c>
      <c r="D163" t="e">
        <v>#N/A</v>
      </c>
      <c r="F163">
        <v>102.2</v>
      </c>
      <c r="G163" s="7">
        <v>90.6</v>
      </c>
      <c r="H163">
        <v>86.5</v>
      </c>
      <c r="I163">
        <v>75.900000000000006</v>
      </c>
      <c r="J163" t="e">
        <v>#N/A</v>
      </c>
      <c r="K163">
        <v>0.9</v>
      </c>
      <c r="L163">
        <v>103.92</v>
      </c>
      <c r="O163">
        <v>6.5671072938105396E-2</v>
      </c>
      <c r="P163">
        <v>-22</v>
      </c>
      <c r="Q163" t="str">
        <f t="shared" si="2"/>
        <v/>
      </c>
    </row>
    <row r="164" spans="1:17" x14ac:dyDescent="0.4">
      <c r="A164" s="4">
        <v>41456</v>
      </c>
      <c r="B164" s="6">
        <v>286286.09999999998</v>
      </c>
      <c r="C164">
        <v>270997.5</v>
      </c>
      <c r="D164">
        <v>100.1</v>
      </c>
      <c r="F164">
        <v>101.6</v>
      </c>
      <c r="G164" s="6">
        <v>91</v>
      </c>
      <c r="H164">
        <v>87.6</v>
      </c>
      <c r="I164">
        <v>76.900000000000006</v>
      </c>
      <c r="J164">
        <v>278939.8</v>
      </c>
      <c r="K164">
        <v>1.1000000000000001</v>
      </c>
      <c r="L164">
        <v>104.23</v>
      </c>
      <c r="O164">
        <v>-1.4864371403565E-2</v>
      </c>
      <c r="P164">
        <v>-19.3</v>
      </c>
      <c r="Q164" t="str">
        <f t="shared" si="2"/>
        <v>2013-Q3</v>
      </c>
    </row>
    <row r="165" spans="1:17" x14ac:dyDescent="0.4">
      <c r="A165" s="4">
        <v>41487</v>
      </c>
      <c r="B165" s="6" t="e">
        <v>#N/A</v>
      </c>
      <c r="C165" t="e">
        <v>#N/A</v>
      </c>
      <c r="D165" t="e">
        <v>#N/A</v>
      </c>
      <c r="F165">
        <v>100.5</v>
      </c>
      <c r="G165" s="7">
        <v>91.5</v>
      </c>
      <c r="H165">
        <v>88.3</v>
      </c>
      <c r="I165">
        <v>77.3</v>
      </c>
      <c r="J165" t="e">
        <v>#N/A</v>
      </c>
      <c r="K165">
        <v>1.1000000000000001</v>
      </c>
      <c r="L165">
        <v>105.66</v>
      </c>
      <c r="O165">
        <v>5.19255434234598E-2</v>
      </c>
      <c r="P165">
        <v>-16.399999999999999</v>
      </c>
      <c r="Q165" t="str">
        <f t="shared" si="2"/>
        <v/>
      </c>
    </row>
    <row r="166" spans="1:17" x14ac:dyDescent="0.4">
      <c r="A166" s="4">
        <v>41518</v>
      </c>
      <c r="B166" s="6" t="e">
        <v>#N/A</v>
      </c>
      <c r="C166" t="e">
        <v>#N/A</v>
      </c>
      <c r="D166" t="e">
        <v>#N/A</v>
      </c>
      <c r="F166">
        <v>101.6</v>
      </c>
      <c r="G166" s="7">
        <v>90.9</v>
      </c>
      <c r="H166">
        <v>90.8</v>
      </c>
      <c r="I166">
        <v>76.599999999999994</v>
      </c>
      <c r="J166" t="e">
        <v>#N/A</v>
      </c>
      <c r="K166">
        <v>1.1000000000000001</v>
      </c>
      <c r="L166">
        <v>106.44</v>
      </c>
      <c r="O166">
        <v>3.70631262236856E-2</v>
      </c>
      <c r="P166">
        <v>-15.1</v>
      </c>
      <c r="Q166" t="str">
        <f t="shared" si="2"/>
        <v/>
      </c>
    </row>
    <row r="167" spans="1:17" x14ac:dyDescent="0.4">
      <c r="A167" s="4">
        <v>41548</v>
      </c>
      <c r="B167" s="6">
        <v>288194.3</v>
      </c>
      <c r="C167">
        <v>290930.59999999998</v>
      </c>
      <c r="D167">
        <v>100.2</v>
      </c>
      <c r="F167">
        <v>101.4</v>
      </c>
      <c r="G167" s="7">
        <v>91.2</v>
      </c>
      <c r="H167">
        <v>92.2</v>
      </c>
      <c r="I167">
        <v>76.900000000000006</v>
      </c>
      <c r="J167">
        <v>280467.59999999998</v>
      </c>
      <c r="K167">
        <v>0.8</v>
      </c>
      <c r="L167">
        <v>105.31</v>
      </c>
      <c r="O167">
        <v>-1.08903356345458E-3</v>
      </c>
      <c r="P167">
        <v>-14.8</v>
      </c>
      <c r="Q167" t="str">
        <f t="shared" si="2"/>
        <v>2013-Q4</v>
      </c>
    </row>
    <row r="168" spans="1:17" x14ac:dyDescent="0.4">
      <c r="A168" s="4">
        <v>41579</v>
      </c>
      <c r="B168" s="6" t="e">
        <v>#N/A</v>
      </c>
      <c r="C168" t="e">
        <v>#N/A</v>
      </c>
      <c r="D168" t="e">
        <v>#N/A</v>
      </c>
      <c r="F168">
        <v>102.9</v>
      </c>
      <c r="G168" s="7">
        <v>91.4</v>
      </c>
      <c r="H168">
        <v>90.4</v>
      </c>
      <c r="I168">
        <v>77.5</v>
      </c>
      <c r="J168" t="e">
        <v>#N/A</v>
      </c>
      <c r="K168">
        <v>0.9</v>
      </c>
      <c r="L168">
        <v>104.68</v>
      </c>
      <c r="O168">
        <v>1.72324660084655E-4</v>
      </c>
      <c r="P168">
        <v>-18.100000000000001</v>
      </c>
      <c r="Q168" t="str">
        <f t="shared" si="2"/>
        <v/>
      </c>
    </row>
    <row r="169" spans="1:17" x14ac:dyDescent="0.4">
      <c r="A169" s="4">
        <v>41609</v>
      </c>
      <c r="B169" s="6" t="e">
        <v>#N/A</v>
      </c>
      <c r="C169" t="e">
        <v>#N/A</v>
      </c>
      <c r="D169" t="e">
        <v>#N/A</v>
      </c>
      <c r="F169">
        <v>101.9</v>
      </c>
      <c r="G169" s="7">
        <v>90.2</v>
      </c>
      <c r="H169">
        <v>91</v>
      </c>
      <c r="I169">
        <v>77</v>
      </c>
      <c r="J169" t="e">
        <v>#N/A</v>
      </c>
      <c r="K169">
        <v>0.8</v>
      </c>
      <c r="L169">
        <v>105.43</v>
      </c>
      <c r="O169">
        <v>-3.0783582468925999E-2</v>
      </c>
      <c r="P169">
        <v>-16.600000000000001</v>
      </c>
      <c r="Q169" t="str">
        <f t="shared" si="2"/>
        <v/>
      </c>
    </row>
    <row r="170" spans="1:17" x14ac:dyDescent="0.4">
      <c r="A170" s="4">
        <v>41640</v>
      </c>
      <c r="B170" s="6">
        <v>289412.2</v>
      </c>
      <c r="C170">
        <v>275142.5</v>
      </c>
      <c r="D170">
        <v>100.2</v>
      </c>
      <c r="F170">
        <v>100.4</v>
      </c>
      <c r="G170" s="6">
        <v>92</v>
      </c>
      <c r="H170">
        <v>93.3</v>
      </c>
      <c r="I170">
        <v>77.400000000000006</v>
      </c>
      <c r="J170">
        <v>280157.40000000002</v>
      </c>
      <c r="K170">
        <v>0.8</v>
      </c>
      <c r="L170">
        <v>106.31</v>
      </c>
      <c r="O170">
        <v>5.6550056828855902E-2</v>
      </c>
      <c r="P170">
        <v>-16</v>
      </c>
      <c r="Q170" t="str">
        <f t="shared" si="2"/>
        <v>2014-Q1</v>
      </c>
    </row>
    <row r="171" spans="1:17" x14ac:dyDescent="0.4">
      <c r="A171" s="4">
        <v>41671</v>
      </c>
      <c r="B171" s="6" t="e">
        <v>#N/A</v>
      </c>
      <c r="C171" t="e">
        <v>#N/A</v>
      </c>
      <c r="D171" t="e">
        <v>#N/A</v>
      </c>
      <c r="F171">
        <v>102.3</v>
      </c>
      <c r="G171" s="7">
        <v>90.7</v>
      </c>
      <c r="H171">
        <v>91.5</v>
      </c>
      <c r="I171">
        <v>76.900000000000006</v>
      </c>
      <c r="J171" t="e">
        <v>#N/A</v>
      </c>
      <c r="K171">
        <v>1.3</v>
      </c>
      <c r="L171">
        <v>106.45</v>
      </c>
      <c r="O171">
        <v>-3.7683838543536301E-3</v>
      </c>
      <c r="P171">
        <v>-16.100000000000001</v>
      </c>
      <c r="Q171" t="str">
        <f t="shared" si="2"/>
        <v/>
      </c>
    </row>
    <row r="172" spans="1:17" x14ac:dyDescent="0.4">
      <c r="A172" s="4">
        <v>41699</v>
      </c>
      <c r="B172" s="6" t="e">
        <v>#N/A</v>
      </c>
      <c r="C172" t="e">
        <v>#N/A</v>
      </c>
      <c r="D172" t="e">
        <v>#N/A</v>
      </c>
      <c r="F172">
        <v>101.6</v>
      </c>
      <c r="G172" s="7">
        <v>91.5</v>
      </c>
      <c r="H172">
        <v>93</v>
      </c>
      <c r="I172">
        <v>77.8</v>
      </c>
      <c r="J172" t="e">
        <v>#N/A</v>
      </c>
      <c r="K172">
        <v>1</v>
      </c>
      <c r="L172">
        <v>105.79</v>
      </c>
      <c r="O172">
        <v>2.1600417071425699E-2</v>
      </c>
      <c r="P172">
        <v>-15.2</v>
      </c>
      <c r="Q172" t="str">
        <f t="shared" si="2"/>
        <v/>
      </c>
    </row>
    <row r="173" spans="1:17" x14ac:dyDescent="0.4">
      <c r="A173" s="4">
        <v>41730</v>
      </c>
      <c r="B173" s="6">
        <v>288844.7</v>
      </c>
      <c r="C173">
        <v>281262.90000000002</v>
      </c>
      <c r="D173">
        <v>100.1</v>
      </c>
      <c r="F173">
        <v>101.6</v>
      </c>
      <c r="G173" s="7">
        <v>91.3</v>
      </c>
      <c r="H173">
        <v>93.5</v>
      </c>
      <c r="I173">
        <v>77.400000000000006</v>
      </c>
      <c r="J173">
        <v>281594.59999999998</v>
      </c>
      <c r="K173">
        <v>1</v>
      </c>
      <c r="L173">
        <v>105.63</v>
      </c>
      <c r="O173">
        <v>7.1455462355522999E-3</v>
      </c>
      <c r="P173">
        <v>-16.2</v>
      </c>
      <c r="Q173" t="str">
        <f t="shared" si="2"/>
        <v>2014-Q2</v>
      </c>
    </row>
    <row r="174" spans="1:17" x14ac:dyDescent="0.4">
      <c r="A174" s="4">
        <v>41760</v>
      </c>
      <c r="B174" s="6" t="e">
        <v>#N/A</v>
      </c>
      <c r="C174" t="e">
        <v>#N/A</v>
      </c>
      <c r="D174" t="e">
        <v>#N/A</v>
      </c>
      <c r="F174">
        <v>100</v>
      </c>
      <c r="G174" s="7">
        <v>89.5</v>
      </c>
      <c r="H174">
        <v>91.9</v>
      </c>
      <c r="I174">
        <v>77.8</v>
      </c>
      <c r="J174" t="e">
        <v>#N/A</v>
      </c>
      <c r="K174">
        <v>0.8</v>
      </c>
      <c r="L174">
        <v>104.99</v>
      </c>
      <c r="O174">
        <v>-2.16348293202842E-2</v>
      </c>
      <c r="P174">
        <v>-16.8</v>
      </c>
      <c r="Q174" t="str">
        <f t="shared" si="2"/>
        <v/>
      </c>
    </row>
    <row r="175" spans="1:17" x14ac:dyDescent="0.4">
      <c r="A175" s="4">
        <v>41791</v>
      </c>
      <c r="B175" s="6" t="e">
        <v>#N/A</v>
      </c>
      <c r="C175" t="e">
        <v>#N/A</v>
      </c>
      <c r="D175" t="e">
        <v>#N/A</v>
      </c>
      <c r="F175">
        <v>101.5</v>
      </c>
      <c r="G175" s="7">
        <v>92.2</v>
      </c>
      <c r="H175">
        <v>89.3</v>
      </c>
      <c r="I175">
        <v>78</v>
      </c>
      <c r="J175" t="e">
        <v>#N/A</v>
      </c>
      <c r="K175">
        <v>0.6</v>
      </c>
      <c r="L175">
        <v>104.94</v>
      </c>
      <c r="O175">
        <v>-4.0771621216736199E-2</v>
      </c>
      <c r="P175">
        <v>-18</v>
      </c>
      <c r="Q175" t="str">
        <f t="shared" si="2"/>
        <v/>
      </c>
    </row>
    <row r="176" spans="1:17" x14ac:dyDescent="0.4">
      <c r="A176" s="4">
        <v>41821</v>
      </c>
      <c r="B176" s="6">
        <v>290877.59999999998</v>
      </c>
      <c r="C176">
        <v>275262.40000000002</v>
      </c>
      <c r="D176">
        <v>100.1</v>
      </c>
      <c r="F176">
        <v>102.5</v>
      </c>
      <c r="G176" s="7">
        <v>90.7</v>
      </c>
      <c r="H176">
        <v>90.5</v>
      </c>
      <c r="I176">
        <v>77.7</v>
      </c>
      <c r="J176">
        <v>282031</v>
      </c>
      <c r="K176">
        <v>0.5</v>
      </c>
      <c r="L176">
        <v>105.07</v>
      </c>
      <c r="O176">
        <v>3.1275780896889302E-2</v>
      </c>
      <c r="P176">
        <v>-16.399999999999999</v>
      </c>
      <c r="Q176" t="str">
        <f t="shared" si="2"/>
        <v>2014-Q3</v>
      </c>
    </row>
    <row r="177" spans="1:17" x14ac:dyDescent="0.4">
      <c r="A177" s="4">
        <v>41852</v>
      </c>
      <c r="B177" s="6" t="e">
        <v>#N/A</v>
      </c>
      <c r="C177" t="e">
        <v>#N/A</v>
      </c>
      <c r="D177" t="e">
        <v>#N/A</v>
      </c>
      <c r="F177">
        <v>100.8</v>
      </c>
      <c r="G177" s="7">
        <v>89.7</v>
      </c>
      <c r="H177">
        <v>88.8</v>
      </c>
      <c r="I177">
        <v>78.599999999999994</v>
      </c>
      <c r="J177" t="e">
        <v>#N/A</v>
      </c>
      <c r="K177">
        <v>0.7</v>
      </c>
      <c r="L177">
        <v>104.23</v>
      </c>
      <c r="O177">
        <v>8.0025603533719902E-3</v>
      </c>
      <c r="P177">
        <v>-16.5</v>
      </c>
      <c r="Q177" t="str">
        <f t="shared" si="2"/>
        <v/>
      </c>
    </row>
    <row r="178" spans="1:17" x14ac:dyDescent="0.4">
      <c r="A178" s="4">
        <v>41883</v>
      </c>
      <c r="B178" s="6" t="e">
        <v>#N/A</v>
      </c>
      <c r="C178" t="e">
        <v>#N/A</v>
      </c>
      <c r="D178" t="e">
        <v>#N/A</v>
      </c>
      <c r="F178">
        <v>101.9</v>
      </c>
      <c r="G178" s="7">
        <v>90.7</v>
      </c>
      <c r="H178">
        <v>89.3</v>
      </c>
      <c r="I178">
        <v>78.5</v>
      </c>
      <c r="J178" t="e">
        <v>#N/A</v>
      </c>
      <c r="K178">
        <v>0.6</v>
      </c>
      <c r="L178">
        <v>104.01</v>
      </c>
      <c r="O178">
        <v>-4.2356522477407003E-2</v>
      </c>
      <c r="P178">
        <v>-17.600000000000001</v>
      </c>
      <c r="Q178" t="str">
        <f t="shared" si="2"/>
        <v/>
      </c>
    </row>
    <row r="179" spans="1:17" x14ac:dyDescent="0.4">
      <c r="A179" s="4">
        <v>41913</v>
      </c>
      <c r="B179" s="6">
        <v>290395.2</v>
      </c>
      <c r="C179">
        <v>295186.7</v>
      </c>
      <c r="D179">
        <v>99.9</v>
      </c>
      <c r="F179">
        <v>100.3</v>
      </c>
      <c r="G179" s="7">
        <v>89.9</v>
      </c>
      <c r="H179">
        <v>91.5</v>
      </c>
      <c r="I179">
        <v>78.3</v>
      </c>
      <c r="J179">
        <v>283750.3</v>
      </c>
      <c r="K179">
        <v>0.7</v>
      </c>
      <c r="L179">
        <v>104.25</v>
      </c>
      <c r="O179">
        <v>3.6438082646212101E-2</v>
      </c>
      <c r="P179">
        <v>-17</v>
      </c>
      <c r="Q179" t="str">
        <f t="shared" si="2"/>
        <v>2014-Q4</v>
      </c>
    </row>
    <row r="180" spans="1:17" x14ac:dyDescent="0.4">
      <c r="A180" s="4">
        <v>41944</v>
      </c>
      <c r="B180" s="6" t="e">
        <v>#N/A</v>
      </c>
      <c r="C180" t="e">
        <v>#N/A</v>
      </c>
      <c r="D180" t="e">
        <v>#N/A</v>
      </c>
      <c r="F180">
        <v>98.8</v>
      </c>
      <c r="G180" s="7">
        <v>88.8</v>
      </c>
      <c r="H180">
        <v>91.8</v>
      </c>
      <c r="I180">
        <v>78.5</v>
      </c>
      <c r="J180" t="e">
        <v>#N/A</v>
      </c>
      <c r="K180">
        <v>0.5</v>
      </c>
      <c r="L180">
        <v>103.66</v>
      </c>
      <c r="O180">
        <v>-2.71126205175811E-2</v>
      </c>
      <c r="P180">
        <v>-16.2</v>
      </c>
      <c r="Q180" t="str">
        <f t="shared" si="2"/>
        <v/>
      </c>
    </row>
    <row r="181" spans="1:17" x14ac:dyDescent="0.4">
      <c r="A181" s="4">
        <v>41974</v>
      </c>
      <c r="B181" s="6" t="e">
        <v>#N/A</v>
      </c>
      <c r="C181" t="e">
        <v>#N/A</v>
      </c>
      <c r="D181" t="e">
        <v>#N/A</v>
      </c>
      <c r="F181">
        <v>102.4</v>
      </c>
      <c r="G181" s="7">
        <v>90.2</v>
      </c>
      <c r="H181">
        <v>90.2</v>
      </c>
      <c r="I181">
        <v>79.2</v>
      </c>
      <c r="J181" t="e">
        <v>#N/A</v>
      </c>
      <c r="K181">
        <v>0.5</v>
      </c>
      <c r="L181">
        <v>101.11</v>
      </c>
      <c r="O181">
        <v>7.4722141947100695E-2</v>
      </c>
      <c r="P181">
        <v>-14.2</v>
      </c>
      <c r="Q181" t="str">
        <f t="shared" si="2"/>
        <v/>
      </c>
    </row>
    <row r="182" spans="1:17" x14ac:dyDescent="0.4">
      <c r="A182" s="4">
        <v>42005</v>
      </c>
      <c r="B182" s="6">
        <v>293959</v>
      </c>
      <c r="C182">
        <v>278929.90000000002</v>
      </c>
      <c r="D182">
        <v>99.9</v>
      </c>
      <c r="F182">
        <v>102</v>
      </c>
      <c r="G182" s="7">
        <v>89.7</v>
      </c>
      <c r="H182">
        <v>92</v>
      </c>
      <c r="I182">
        <v>79.599999999999994</v>
      </c>
      <c r="J182">
        <v>285124.2</v>
      </c>
      <c r="K182">
        <v>0.3</v>
      </c>
      <c r="L182">
        <v>99.12</v>
      </c>
      <c r="O182">
        <v>7.2706727852910505E-2</v>
      </c>
      <c r="P182">
        <v>-13.6</v>
      </c>
      <c r="Q182" t="str">
        <f t="shared" si="2"/>
        <v>2015-Q1</v>
      </c>
    </row>
    <row r="183" spans="1:17" x14ac:dyDescent="0.4">
      <c r="A183" s="4">
        <v>42036</v>
      </c>
      <c r="B183" s="6" t="e">
        <v>#N/A</v>
      </c>
      <c r="C183" t="e">
        <v>#N/A</v>
      </c>
      <c r="D183" t="e">
        <v>#N/A</v>
      </c>
      <c r="F183">
        <v>103</v>
      </c>
      <c r="G183" s="7">
        <v>90.8</v>
      </c>
      <c r="H183">
        <v>95</v>
      </c>
      <c r="I183">
        <v>79.400000000000006</v>
      </c>
      <c r="J183" t="e">
        <v>#N/A</v>
      </c>
      <c r="K183">
        <v>0.2</v>
      </c>
      <c r="L183">
        <v>101.12</v>
      </c>
      <c r="O183">
        <v>1.6456889763624399E-2</v>
      </c>
      <c r="P183">
        <v>-11.2</v>
      </c>
      <c r="Q183" t="str">
        <f t="shared" si="2"/>
        <v/>
      </c>
    </row>
    <row r="184" spans="1:17" x14ac:dyDescent="0.4">
      <c r="A184" s="4">
        <v>42064</v>
      </c>
      <c r="B184" s="6" t="e">
        <v>#N/A</v>
      </c>
      <c r="C184" t="e">
        <v>#N/A</v>
      </c>
      <c r="D184" t="e">
        <v>#N/A</v>
      </c>
      <c r="F184">
        <v>102.9</v>
      </c>
      <c r="G184" s="7">
        <v>90.8</v>
      </c>
      <c r="H184">
        <v>96</v>
      </c>
      <c r="I184">
        <v>79</v>
      </c>
      <c r="J184" t="e">
        <v>#N/A</v>
      </c>
      <c r="K184">
        <v>0.3</v>
      </c>
      <c r="L184">
        <v>102.1</v>
      </c>
      <c r="O184">
        <v>2.54959095648388E-3</v>
      </c>
      <c r="P184">
        <v>-10.7</v>
      </c>
      <c r="Q184" t="str">
        <f t="shared" si="2"/>
        <v/>
      </c>
    </row>
    <row r="185" spans="1:17" x14ac:dyDescent="0.4">
      <c r="A185" s="4">
        <v>42095</v>
      </c>
      <c r="B185" s="6">
        <v>294619.3</v>
      </c>
      <c r="C185">
        <v>285293</v>
      </c>
      <c r="D185">
        <v>99.9</v>
      </c>
      <c r="F185">
        <v>101.8</v>
      </c>
      <c r="G185" s="7">
        <v>90.8</v>
      </c>
      <c r="H185">
        <v>96.1</v>
      </c>
      <c r="I185">
        <v>80.3</v>
      </c>
      <c r="J185">
        <v>286824.3</v>
      </c>
      <c r="K185">
        <v>0.5</v>
      </c>
      <c r="L185">
        <v>102.29</v>
      </c>
      <c r="O185">
        <v>-7.6783025655924302E-3</v>
      </c>
      <c r="P185">
        <v>-10.1</v>
      </c>
      <c r="Q185" t="str">
        <f t="shared" si="2"/>
        <v>2015-Q2</v>
      </c>
    </row>
    <row r="186" spans="1:17" x14ac:dyDescent="0.4">
      <c r="A186" s="4">
        <v>42125</v>
      </c>
      <c r="B186" s="6" t="e">
        <v>#N/A</v>
      </c>
      <c r="C186" t="e">
        <v>#N/A</v>
      </c>
      <c r="D186" t="e">
        <v>#N/A</v>
      </c>
      <c r="F186">
        <v>102.5</v>
      </c>
      <c r="G186" s="7">
        <v>90.6</v>
      </c>
      <c r="H186">
        <v>95.9</v>
      </c>
      <c r="I186">
        <v>80.599999999999994</v>
      </c>
      <c r="J186" t="e">
        <v>#N/A</v>
      </c>
      <c r="K186">
        <v>0.6</v>
      </c>
      <c r="L186">
        <v>102.64</v>
      </c>
      <c r="O186">
        <v>-4.4442491023046302E-2</v>
      </c>
      <c r="P186">
        <v>-12</v>
      </c>
      <c r="Q186" t="str">
        <f t="shared" si="2"/>
        <v/>
      </c>
    </row>
    <row r="187" spans="1:17" x14ac:dyDescent="0.4">
      <c r="A187" s="4">
        <v>42156</v>
      </c>
      <c r="B187" s="6" t="e">
        <v>#N/A</v>
      </c>
      <c r="C187" t="e">
        <v>#N/A</v>
      </c>
      <c r="D187" t="e">
        <v>#N/A</v>
      </c>
      <c r="F187">
        <v>102.8</v>
      </c>
      <c r="G187" s="7">
        <v>93.1</v>
      </c>
      <c r="H187">
        <v>96.2</v>
      </c>
      <c r="I187">
        <v>80.900000000000006</v>
      </c>
      <c r="J187" t="e">
        <v>#N/A</v>
      </c>
      <c r="K187">
        <v>0.7</v>
      </c>
      <c r="L187">
        <v>102.17</v>
      </c>
      <c r="O187">
        <v>5.9252677301159899E-2</v>
      </c>
      <c r="P187">
        <v>-11.8</v>
      </c>
      <c r="Q187" t="str">
        <f t="shared" si="2"/>
        <v/>
      </c>
    </row>
    <row r="188" spans="1:17" x14ac:dyDescent="0.4">
      <c r="A188" s="4">
        <v>42186</v>
      </c>
      <c r="B188" s="6">
        <v>296863.2</v>
      </c>
      <c r="C188">
        <v>279081.90000000002</v>
      </c>
      <c r="D188">
        <v>100.1</v>
      </c>
      <c r="F188">
        <v>101.9</v>
      </c>
      <c r="G188" s="7">
        <v>90.1</v>
      </c>
      <c r="H188">
        <v>96.9</v>
      </c>
      <c r="I188">
        <v>81</v>
      </c>
      <c r="J188">
        <v>288020.2</v>
      </c>
      <c r="K188">
        <v>0.7</v>
      </c>
      <c r="L188">
        <v>100.96</v>
      </c>
      <c r="O188">
        <v>-8.8323413253712998E-2</v>
      </c>
      <c r="P188">
        <v>-12.9</v>
      </c>
      <c r="Q188" t="str">
        <f t="shared" si="2"/>
        <v>2015-Q3</v>
      </c>
    </row>
    <row r="189" spans="1:17" x14ac:dyDescent="0.4">
      <c r="A189" s="4">
        <v>42217</v>
      </c>
      <c r="B189" s="6" t="e">
        <v>#N/A</v>
      </c>
      <c r="C189" t="e">
        <v>#N/A</v>
      </c>
      <c r="D189" t="e">
        <v>#N/A</v>
      </c>
      <c r="F189">
        <v>102.8</v>
      </c>
      <c r="G189" s="7">
        <v>89.8</v>
      </c>
      <c r="H189">
        <v>97</v>
      </c>
      <c r="I189">
        <v>82.2</v>
      </c>
      <c r="J189" t="e">
        <v>#N/A</v>
      </c>
      <c r="K189">
        <v>0.6</v>
      </c>
      <c r="L189">
        <v>99.12</v>
      </c>
      <c r="O189">
        <v>-4.3409306055151503E-2</v>
      </c>
      <c r="P189">
        <v>-11.1</v>
      </c>
      <c r="Q189" t="str">
        <f t="shared" si="2"/>
        <v/>
      </c>
    </row>
    <row r="190" spans="1:17" x14ac:dyDescent="0.4">
      <c r="A190" s="4">
        <v>42248</v>
      </c>
      <c r="B190" s="6" t="e">
        <v>#N/A</v>
      </c>
      <c r="C190" t="e">
        <v>#N/A</v>
      </c>
      <c r="D190" t="e">
        <v>#N/A</v>
      </c>
      <c r="F190">
        <v>103.9</v>
      </c>
      <c r="G190" s="7">
        <v>90.8</v>
      </c>
      <c r="H190">
        <v>97.8</v>
      </c>
      <c r="I190">
        <v>82.3</v>
      </c>
      <c r="J190" t="e">
        <v>#N/A</v>
      </c>
      <c r="K190">
        <v>0.7</v>
      </c>
      <c r="L190">
        <v>98.13</v>
      </c>
      <c r="O190">
        <v>9.4665408965104406E-2</v>
      </c>
      <c r="P190">
        <v>-10.199999999999999</v>
      </c>
      <c r="Q190" t="str">
        <f t="shared" si="2"/>
        <v/>
      </c>
    </row>
    <row r="191" spans="1:17" x14ac:dyDescent="0.4">
      <c r="A191" s="4">
        <v>42278</v>
      </c>
      <c r="B191" s="6">
        <v>296971.7</v>
      </c>
      <c r="C191">
        <v>299785.8</v>
      </c>
      <c r="D191">
        <v>100.1</v>
      </c>
      <c r="F191">
        <v>103.9</v>
      </c>
      <c r="G191" s="7">
        <v>89.7</v>
      </c>
      <c r="H191">
        <v>101.3</v>
      </c>
      <c r="I191">
        <v>81.8</v>
      </c>
      <c r="J191">
        <v>287758</v>
      </c>
      <c r="K191">
        <v>0.8</v>
      </c>
      <c r="L191">
        <v>98.13</v>
      </c>
      <c r="O191">
        <v>1.2164200428692601E-2</v>
      </c>
      <c r="P191">
        <v>-9.9</v>
      </c>
      <c r="Q191" t="str">
        <f t="shared" si="2"/>
        <v>2015-Q4</v>
      </c>
    </row>
    <row r="192" spans="1:17" x14ac:dyDescent="0.4">
      <c r="A192" s="4">
        <v>42309</v>
      </c>
      <c r="B192" s="6" t="e">
        <v>#N/A</v>
      </c>
      <c r="C192" t="e">
        <v>#N/A</v>
      </c>
      <c r="D192" t="e">
        <v>#N/A</v>
      </c>
      <c r="F192">
        <v>101.6</v>
      </c>
      <c r="G192" s="7">
        <v>90.9</v>
      </c>
      <c r="H192">
        <v>98.4</v>
      </c>
      <c r="I192">
        <v>79.8</v>
      </c>
      <c r="J192" t="e">
        <v>#N/A</v>
      </c>
      <c r="K192">
        <v>0.7</v>
      </c>
      <c r="L192">
        <v>97.69</v>
      </c>
      <c r="O192">
        <v>-6.6841215001996801E-2</v>
      </c>
      <c r="P192">
        <v>-9.1</v>
      </c>
      <c r="Q192" t="str">
        <f t="shared" si="2"/>
        <v/>
      </c>
    </row>
    <row r="193" spans="1:17" x14ac:dyDescent="0.4">
      <c r="A193" s="4">
        <v>42339</v>
      </c>
      <c r="B193" s="6" t="e">
        <v>#N/A</v>
      </c>
      <c r="C193" t="e">
        <v>#N/A</v>
      </c>
      <c r="D193" t="e">
        <v>#N/A</v>
      </c>
      <c r="F193">
        <v>101.9</v>
      </c>
      <c r="G193" s="7">
        <v>89.9</v>
      </c>
      <c r="H193">
        <v>98.2</v>
      </c>
      <c r="I193">
        <v>83.1</v>
      </c>
      <c r="J193" t="e">
        <v>#N/A</v>
      </c>
      <c r="K193">
        <v>0.8</v>
      </c>
      <c r="L193">
        <v>96.53</v>
      </c>
      <c r="O193">
        <v>-4.8615292375945501E-2</v>
      </c>
      <c r="P193">
        <v>-9.5</v>
      </c>
      <c r="Q193" t="str">
        <f t="shared" si="2"/>
        <v/>
      </c>
    </row>
    <row r="194" spans="1:17" x14ac:dyDescent="0.4">
      <c r="A194" s="4">
        <v>42370</v>
      </c>
      <c r="B194" s="6">
        <v>296649.5</v>
      </c>
      <c r="C194">
        <v>283807.40000000002</v>
      </c>
      <c r="D194">
        <v>100.1</v>
      </c>
      <c r="F194">
        <v>103.5</v>
      </c>
      <c r="G194" s="7">
        <v>90.3</v>
      </c>
      <c r="H194">
        <v>102.4</v>
      </c>
      <c r="I194">
        <v>83.2</v>
      </c>
      <c r="J194">
        <v>290251.5</v>
      </c>
      <c r="K194">
        <v>0.8</v>
      </c>
      <c r="L194">
        <v>95.43</v>
      </c>
      <c r="O194">
        <v>-1.4473705616282501E-2</v>
      </c>
      <c r="P194">
        <v>-8.3000000000000007</v>
      </c>
      <c r="Q194" t="str">
        <f t="shared" si="2"/>
        <v>2016-Q1</v>
      </c>
    </row>
    <row r="195" spans="1:17" x14ac:dyDescent="0.4">
      <c r="A195" s="4">
        <v>42401</v>
      </c>
      <c r="B195" s="6" t="e">
        <v>#N/A</v>
      </c>
      <c r="C195" t="e">
        <v>#N/A</v>
      </c>
      <c r="D195" t="e">
        <v>#N/A</v>
      </c>
      <c r="F195">
        <v>103.4</v>
      </c>
      <c r="G195" s="7">
        <v>89.8</v>
      </c>
      <c r="H195">
        <v>102.2</v>
      </c>
      <c r="I195">
        <v>83.2</v>
      </c>
      <c r="J195" t="e">
        <v>#N/A</v>
      </c>
      <c r="K195">
        <v>0.6</v>
      </c>
      <c r="L195">
        <v>94.5</v>
      </c>
      <c r="O195">
        <v>7.2117627331031997E-3</v>
      </c>
      <c r="P195">
        <v>-10.6</v>
      </c>
      <c r="Q195" t="str">
        <f t="shared" ref="Q195:Q258" si="3">IF(MONTH($A195) = 1, YEAR($A195)&amp;"-Q"&amp;MONTH($A195), IF(MONTH($A195) = 4, YEAR($A195)&amp;"-Q2", IF(MONTH($A195) = 7, YEAR($A195)&amp;"-Q3", IF(MONTH($A195) = 10, YEAR($A195)&amp;"-Q4",""))))</f>
        <v/>
      </c>
    </row>
    <row r="196" spans="1:17" x14ac:dyDescent="0.4">
      <c r="A196" s="4">
        <v>42430</v>
      </c>
      <c r="B196" s="6" t="e">
        <v>#N/A</v>
      </c>
      <c r="C196" t="e">
        <v>#N/A</v>
      </c>
      <c r="D196" t="e">
        <v>#N/A</v>
      </c>
      <c r="F196">
        <v>102.6</v>
      </c>
      <c r="G196" s="7">
        <v>88.7</v>
      </c>
      <c r="H196">
        <v>101</v>
      </c>
      <c r="I196">
        <v>82.5</v>
      </c>
      <c r="J196" t="e">
        <v>#N/A</v>
      </c>
      <c r="K196">
        <v>0.6</v>
      </c>
      <c r="L196">
        <v>95.28</v>
      </c>
      <c r="O196">
        <v>9.9614625934982808E-3</v>
      </c>
      <c r="P196">
        <v>-12</v>
      </c>
      <c r="Q196" t="str">
        <f t="shared" si="3"/>
        <v/>
      </c>
    </row>
    <row r="197" spans="1:17" x14ac:dyDescent="0.4">
      <c r="A197" s="4">
        <v>42461</v>
      </c>
      <c r="B197" s="6">
        <v>298245.3</v>
      </c>
      <c r="C197">
        <v>291043.59999999998</v>
      </c>
      <c r="D197">
        <v>100.3</v>
      </c>
      <c r="F197">
        <v>104.1</v>
      </c>
      <c r="G197" s="7">
        <v>89.2</v>
      </c>
      <c r="H197">
        <v>99.5</v>
      </c>
      <c r="I197">
        <v>82.9</v>
      </c>
      <c r="J197">
        <v>291352.8</v>
      </c>
      <c r="K197">
        <v>0.6</v>
      </c>
      <c r="L197">
        <v>95.54</v>
      </c>
      <c r="O197">
        <v>1.7160747764890499E-2</v>
      </c>
      <c r="P197">
        <v>-11.9</v>
      </c>
      <c r="Q197" t="str">
        <f t="shared" si="3"/>
        <v>2016-Q2</v>
      </c>
    </row>
    <row r="198" spans="1:17" x14ac:dyDescent="0.4">
      <c r="A198" s="4">
        <v>42491</v>
      </c>
      <c r="B198" s="6" t="e">
        <v>#N/A</v>
      </c>
      <c r="C198" t="e">
        <v>#N/A</v>
      </c>
      <c r="D198" t="e">
        <v>#N/A</v>
      </c>
      <c r="F198">
        <v>102.3</v>
      </c>
      <c r="G198" s="6">
        <v>89</v>
      </c>
      <c r="H198">
        <v>99.8</v>
      </c>
      <c r="I198">
        <v>82.5</v>
      </c>
      <c r="J198" t="e">
        <v>#N/A</v>
      </c>
      <c r="K198">
        <v>0.6</v>
      </c>
      <c r="L198">
        <v>97.52</v>
      </c>
      <c r="O198">
        <v>-6.1356784139066499E-2</v>
      </c>
      <c r="P198">
        <v>-9.5</v>
      </c>
      <c r="Q198" t="str">
        <f t="shared" si="3"/>
        <v/>
      </c>
    </row>
    <row r="199" spans="1:17" x14ac:dyDescent="0.4">
      <c r="A199" s="4">
        <v>42522</v>
      </c>
      <c r="B199" s="6" t="e">
        <v>#N/A</v>
      </c>
      <c r="C199" t="e">
        <v>#N/A</v>
      </c>
      <c r="D199" t="e">
        <v>#N/A</v>
      </c>
      <c r="F199">
        <v>101.8</v>
      </c>
      <c r="G199" s="7">
        <v>89.9</v>
      </c>
      <c r="H199">
        <v>96.8</v>
      </c>
      <c r="I199">
        <v>83.4</v>
      </c>
      <c r="J199" t="e">
        <v>#N/A</v>
      </c>
      <c r="K199">
        <v>0.6</v>
      </c>
      <c r="L199">
        <v>99.55</v>
      </c>
      <c r="O199">
        <v>4.6642847610806698E-2</v>
      </c>
      <c r="P199">
        <v>-12.1</v>
      </c>
      <c r="Q199" t="str">
        <f t="shared" si="3"/>
        <v/>
      </c>
    </row>
    <row r="200" spans="1:17" x14ac:dyDescent="0.4">
      <c r="A200" s="4">
        <v>42552</v>
      </c>
      <c r="B200" s="6">
        <v>298522.09999999998</v>
      </c>
      <c r="C200">
        <v>284068.5</v>
      </c>
      <c r="D200">
        <v>100.4</v>
      </c>
      <c r="F200">
        <v>101.6</v>
      </c>
      <c r="G200" s="7">
        <v>89.5</v>
      </c>
      <c r="H200">
        <v>95.9</v>
      </c>
      <c r="I200">
        <v>83.5</v>
      </c>
      <c r="J200">
        <v>291639.40000000002</v>
      </c>
      <c r="K200">
        <v>0.7</v>
      </c>
      <c r="L200">
        <v>98.26</v>
      </c>
      <c r="O200">
        <v>-3.5815236443958998E-4</v>
      </c>
      <c r="P200">
        <v>-11.7</v>
      </c>
      <c r="Q200" t="str">
        <f t="shared" si="3"/>
        <v>2016-Q3</v>
      </c>
    </row>
    <row r="201" spans="1:17" x14ac:dyDescent="0.4">
      <c r="A201" s="4">
        <v>42583</v>
      </c>
      <c r="B201" s="6" t="e">
        <v>#N/A</v>
      </c>
      <c r="C201" t="e">
        <v>#N/A</v>
      </c>
      <c r="D201" t="e">
        <v>#N/A</v>
      </c>
      <c r="F201">
        <v>103.4</v>
      </c>
      <c r="G201" s="6">
        <v>91</v>
      </c>
      <c r="H201">
        <v>98.2</v>
      </c>
      <c r="I201">
        <v>83</v>
      </c>
      <c r="J201" t="e">
        <v>#N/A</v>
      </c>
      <c r="K201">
        <v>0.7</v>
      </c>
      <c r="L201">
        <v>96.76</v>
      </c>
      <c r="O201">
        <v>2.25951221960585E-3</v>
      </c>
      <c r="P201">
        <v>-11.1</v>
      </c>
      <c r="Q201" t="str">
        <f t="shared" si="3"/>
        <v/>
      </c>
    </row>
    <row r="202" spans="1:17" x14ac:dyDescent="0.4">
      <c r="A202" s="4">
        <v>42614</v>
      </c>
      <c r="B202" s="6" t="e">
        <v>#N/A</v>
      </c>
      <c r="C202" t="e">
        <v>#N/A</v>
      </c>
      <c r="D202" t="e">
        <v>#N/A</v>
      </c>
      <c r="F202">
        <v>102.5</v>
      </c>
      <c r="G202" s="7">
        <v>91.1</v>
      </c>
      <c r="H202">
        <v>99.2</v>
      </c>
      <c r="I202">
        <v>83.6</v>
      </c>
      <c r="J202" t="e">
        <v>#N/A</v>
      </c>
      <c r="K202">
        <v>0.6</v>
      </c>
      <c r="L202">
        <v>97.57</v>
      </c>
      <c r="O202">
        <v>1.3620052464799999E-2</v>
      </c>
      <c r="P202">
        <v>-9.6</v>
      </c>
      <c r="Q202" t="str">
        <f t="shared" si="3"/>
        <v/>
      </c>
    </row>
    <row r="203" spans="1:17" x14ac:dyDescent="0.4">
      <c r="A203" s="4">
        <v>42644</v>
      </c>
      <c r="B203" s="6">
        <v>303023.7</v>
      </c>
      <c r="C203">
        <v>306066.59999999998</v>
      </c>
      <c r="D203">
        <v>100.5</v>
      </c>
      <c r="F203">
        <v>102.1</v>
      </c>
      <c r="G203" s="7">
        <v>90.3</v>
      </c>
      <c r="H203">
        <v>99.8</v>
      </c>
      <c r="I203">
        <v>84.7</v>
      </c>
      <c r="J203">
        <v>294333.59999999998</v>
      </c>
      <c r="K203">
        <v>0.5</v>
      </c>
      <c r="L203">
        <v>98.72</v>
      </c>
      <c r="O203">
        <v>1.52034446309166E-2</v>
      </c>
      <c r="P203">
        <v>-9.3000000000000007</v>
      </c>
      <c r="Q203" t="str">
        <f t="shared" si="3"/>
        <v>2016-Q4</v>
      </c>
    </row>
    <row r="204" spans="1:17" x14ac:dyDescent="0.4">
      <c r="A204" s="4">
        <v>42675</v>
      </c>
      <c r="B204" s="6" t="e">
        <v>#N/A</v>
      </c>
      <c r="C204" t="e">
        <v>#N/A</v>
      </c>
      <c r="D204" t="e">
        <v>#N/A</v>
      </c>
      <c r="F204">
        <v>104.3</v>
      </c>
      <c r="G204" s="7">
        <v>93.8</v>
      </c>
      <c r="H204">
        <v>101.1</v>
      </c>
      <c r="I204">
        <v>84.1</v>
      </c>
      <c r="J204" t="e">
        <v>#N/A</v>
      </c>
      <c r="K204">
        <v>0.6</v>
      </c>
      <c r="L204">
        <v>99.61</v>
      </c>
      <c r="O204">
        <v>6.0177192797663502E-2</v>
      </c>
      <c r="P204">
        <v>-7.9</v>
      </c>
      <c r="Q204" t="str">
        <f t="shared" si="3"/>
        <v/>
      </c>
    </row>
    <row r="205" spans="1:17" x14ac:dyDescent="0.4">
      <c r="A205" s="4">
        <v>42705</v>
      </c>
      <c r="B205" s="6" t="e">
        <v>#N/A</v>
      </c>
      <c r="C205" t="e">
        <v>#N/A</v>
      </c>
      <c r="D205" t="e">
        <v>#N/A</v>
      </c>
      <c r="F205">
        <v>103.6</v>
      </c>
      <c r="G205" s="7">
        <v>95.3</v>
      </c>
      <c r="H205">
        <v>103.2</v>
      </c>
      <c r="I205">
        <v>84.6</v>
      </c>
      <c r="J205" t="e">
        <v>#N/A</v>
      </c>
      <c r="K205">
        <v>0.5</v>
      </c>
      <c r="L205">
        <v>100.5</v>
      </c>
      <c r="O205">
        <v>-2.3600653964940901E-2</v>
      </c>
      <c r="P205">
        <v>-6.9</v>
      </c>
      <c r="Q205" t="str">
        <f t="shared" si="3"/>
        <v/>
      </c>
    </row>
    <row r="206" spans="1:17" x14ac:dyDescent="0.4">
      <c r="A206" s="4">
        <v>42736</v>
      </c>
      <c r="B206" s="6">
        <v>305368.59999999998</v>
      </c>
      <c r="C206">
        <v>292645.5</v>
      </c>
      <c r="D206">
        <v>101</v>
      </c>
      <c r="F206">
        <v>103.6</v>
      </c>
      <c r="G206" s="7">
        <v>92.5</v>
      </c>
      <c r="H206">
        <v>103.5</v>
      </c>
      <c r="I206">
        <v>85.1</v>
      </c>
      <c r="J206">
        <v>296310.8</v>
      </c>
      <c r="K206">
        <v>0.8</v>
      </c>
      <c r="L206">
        <v>104.92</v>
      </c>
      <c r="O206">
        <v>2.28332385123746E-2</v>
      </c>
      <c r="P206">
        <v>-7.4</v>
      </c>
      <c r="Q206" t="str">
        <f t="shared" si="3"/>
        <v>2017-Q1</v>
      </c>
    </row>
    <row r="207" spans="1:17" x14ac:dyDescent="0.4">
      <c r="A207" s="4">
        <v>42767</v>
      </c>
      <c r="B207" s="6" t="e">
        <v>#N/A</v>
      </c>
      <c r="C207" t="e">
        <v>#N/A</v>
      </c>
      <c r="D207" t="e">
        <v>#N/A</v>
      </c>
      <c r="F207">
        <v>102.7</v>
      </c>
      <c r="G207" s="7">
        <v>94.5</v>
      </c>
      <c r="H207">
        <v>105</v>
      </c>
      <c r="I207">
        <v>85.6</v>
      </c>
      <c r="J207" t="e">
        <v>#N/A</v>
      </c>
      <c r="K207">
        <v>0.5</v>
      </c>
      <c r="L207">
        <v>104.94</v>
      </c>
      <c r="O207">
        <v>5.2898277317826398E-2</v>
      </c>
      <c r="P207">
        <v>-8.1</v>
      </c>
      <c r="Q207" t="str">
        <f t="shared" si="3"/>
        <v/>
      </c>
    </row>
    <row r="208" spans="1:17" x14ac:dyDescent="0.4">
      <c r="A208" s="4">
        <v>42795</v>
      </c>
      <c r="B208" s="6" t="e">
        <v>#N/A</v>
      </c>
      <c r="C208" t="e">
        <v>#N/A</v>
      </c>
      <c r="D208" t="e">
        <v>#N/A</v>
      </c>
      <c r="F208">
        <v>104.7</v>
      </c>
      <c r="G208" s="7">
        <v>97.7</v>
      </c>
      <c r="H208">
        <v>104.5</v>
      </c>
      <c r="I208">
        <v>86.2</v>
      </c>
      <c r="J208" t="e">
        <v>#N/A</v>
      </c>
      <c r="K208">
        <v>0.6</v>
      </c>
      <c r="L208">
        <v>104.5</v>
      </c>
      <c r="O208">
        <v>2.78791000860714E-2</v>
      </c>
      <c r="P208">
        <v>-8.3000000000000007</v>
      </c>
      <c r="Q208" t="str">
        <f t="shared" si="3"/>
        <v/>
      </c>
    </row>
    <row r="209" spans="1:17" x14ac:dyDescent="0.4">
      <c r="A209" s="4">
        <v>42826</v>
      </c>
      <c r="B209" s="6">
        <v>310104.40000000002</v>
      </c>
      <c r="C209">
        <v>299794.09999999998</v>
      </c>
      <c r="D209">
        <v>101.3</v>
      </c>
      <c r="F209">
        <v>103.6</v>
      </c>
      <c r="G209" s="6">
        <v>94</v>
      </c>
      <c r="H209">
        <v>105.6</v>
      </c>
      <c r="I209">
        <v>85.7</v>
      </c>
      <c r="J209">
        <v>297739.90000000002</v>
      </c>
      <c r="K209">
        <v>0.7</v>
      </c>
      <c r="L209">
        <v>104.24</v>
      </c>
      <c r="O209">
        <v>3.0897316860159E-3</v>
      </c>
      <c r="P209">
        <v>-7.4</v>
      </c>
      <c r="Q209" t="str">
        <f t="shared" si="3"/>
        <v>2017-Q2</v>
      </c>
    </row>
    <row r="210" spans="1:17" x14ac:dyDescent="0.4">
      <c r="A210" s="4">
        <v>42856</v>
      </c>
      <c r="B210" s="6" t="e">
        <v>#N/A</v>
      </c>
      <c r="C210" t="e">
        <v>#N/A</v>
      </c>
      <c r="D210" t="e">
        <v>#N/A</v>
      </c>
      <c r="F210">
        <v>106</v>
      </c>
      <c r="G210" s="7">
        <v>96.5</v>
      </c>
      <c r="H210">
        <v>106.6</v>
      </c>
      <c r="I210">
        <v>86.5</v>
      </c>
      <c r="J210" t="e">
        <v>#N/A</v>
      </c>
      <c r="K210">
        <v>0.5</v>
      </c>
      <c r="L210">
        <v>102.61</v>
      </c>
      <c r="O210">
        <v>-3.13260622586196E-2</v>
      </c>
      <c r="P210">
        <v>-6.7</v>
      </c>
      <c r="Q210" t="str">
        <f t="shared" si="3"/>
        <v/>
      </c>
    </row>
    <row r="211" spans="1:17" x14ac:dyDescent="0.4">
      <c r="A211" s="4">
        <v>42887</v>
      </c>
      <c r="B211" s="6" t="e">
        <v>#N/A</v>
      </c>
      <c r="C211" t="e">
        <v>#N/A</v>
      </c>
      <c r="D211" t="e">
        <v>#N/A</v>
      </c>
      <c r="F211">
        <v>104.8</v>
      </c>
      <c r="G211" s="7">
        <v>95.2</v>
      </c>
      <c r="H211">
        <v>107.3</v>
      </c>
      <c r="I211">
        <v>86.1</v>
      </c>
      <c r="J211" t="e">
        <v>#N/A</v>
      </c>
      <c r="K211">
        <v>0.7</v>
      </c>
      <c r="L211">
        <v>101.42</v>
      </c>
      <c r="O211">
        <v>-5.2690488462960898E-3</v>
      </c>
      <c r="P211">
        <v>-2</v>
      </c>
      <c r="Q211" t="str">
        <f t="shared" si="3"/>
        <v/>
      </c>
    </row>
    <row r="212" spans="1:17" x14ac:dyDescent="0.4">
      <c r="A212" s="4">
        <v>42917</v>
      </c>
      <c r="B212" s="6">
        <v>312341.40000000002</v>
      </c>
      <c r="C212">
        <v>293481</v>
      </c>
      <c r="D212">
        <v>101.5</v>
      </c>
      <c r="F212">
        <v>104.8</v>
      </c>
      <c r="G212" s="6">
        <v>97</v>
      </c>
      <c r="H212">
        <v>106.9</v>
      </c>
      <c r="I212">
        <v>87.2</v>
      </c>
      <c r="J212">
        <v>299908.40000000002</v>
      </c>
      <c r="K212">
        <v>0.7</v>
      </c>
      <c r="L212">
        <v>100.12</v>
      </c>
      <c r="O212">
        <v>-1.6072086362957101E-3</v>
      </c>
      <c r="P212">
        <v>-4.2</v>
      </c>
      <c r="Q212" t="str">
        <f t="shared" si="3"/>
        <v>2017-Q3</v>
      </c>
    </row>
    <row r="213" spans="1:17" x14ac:dyDescent="0.4">
      <c r="A213" s="4">
        <v>42948</v>
      </c>
      <c r="B213" s="6" t="e">
        <v>#N/A</v>
      </c>
      <c r="C213" t="e">
        <v>#N/A</v>
      </c>
      <c r="D213" t="e">
        <v>#N/A</v>
      </c>
      <c r="F213">
        <v>105.2</v>
      </c>
      <c r="G213" s="7">
        <v>95.1</v>
      </c>
      <c r="H213">
        <v>108.5</v>
      </c>
      <c r="I213">
        <v>85.8</v>
      </c>
      <c r="J213" t="e">
        <v>#N/A</v>
      </c>
      <c r="K213">
        <v>0.6</v>
      </c>
      <c r="L213">
        <v>101.28</v>
      </c>
      <c r="O213">
        <v>4.6904581678674603E-2</v>
      </c>
      <c r="P213">
        <v>-5.8</v>
      </c>
      <c r="Q213" t="str">
        <f t="shared" si="3"/>
        <v/>
      </c>
    </row>
    <row r="214" spans="1:17" x14ac:dyDescent="0.4">
      <c r="A214" s="4">
        <v>42979</v>
      </c>
      <c r="B214" s="6" t="e">
        <v>#N/A</v>
      </c>
      <c r="C214" t="e">
        <v>#N/A</v>
      </c>
      <c r="D214" t="e">
        <v>#N/A</v>
      </c>
      <c r="F214">
        <v>106.5</v>
      </c>
      <c r="G214" s="7">
        <v>97.4</v>
      </c>
      <c r="H214">
        <v>110.3</v>
      </c>
      <c r="I214">
        <v>89</v>
      </c>
      <c r="J214" t="e">
        <v>#N/A</v>
      </c>
      <c r="K214">
        <v>0.7</v>
      </c>
      <c r="L214">
        <v>102.33</v>
      </c>
      <c r="O214">
        <v>3.2030501058789802E-2</v>
      </c>
      <c r="P214">
        <v>-7.2</v>
      </c>
      <c r="Q214" t="str">
        <f t="shared" si="3"/>
        <v/>
      </c>
    </row>
    <row r="215" spans="1:17" x14ac:dyDescent="0.4">
      <c r="A215" s="4">
        <v>43009</v>
      </c>
      <c r="B215" s="6">
        <v>316860.40000000002</v>
      </c>
      <c r="C215">
        <v>316278.40000000002</v>
      </c>
      <c r="D215">
        <v>101.8</v>
      </c>
      <c r="F215">
        <v>106.9</v>
      </c>
      <c r="G215" s="7">
        <v>98.2</v>
      </c>
      <c r="H215">
        <v>109.5</v>
      </c>
      <c r="I215">
        <v>86.1</v>
      </c>
      <c r="J215">
        <v>302023.90000000002</v>
      </c>
      <c r="K215">
        <v>0.8</v>
      </c>
      <c r="L215">
        <v>103.33</v>
      </c>
      <c r="O215">
        <v>-2.39987683723424E-2</v>
      </c>
      <c r="P215">
        <v>-7.3</v>
      </c>
      <c r="Q215" t="str">
        <f t="shared" si="3"/>
        <v>2017-Q4</v>
      </c>
    </row>
    <row r="216" spans="1:17" x14ac:dyDescent="0.4">
      <c r="A216" s="4">
        <v>43040</v>
      </c>
      <c r="B216" s="6" t="e">
        <v>#N/A</v>
      </c>
      <c r="C216" t="e">
        <v>#N/A</v>
      </c>
      <c r="D216" t="e">
        <v>#N/A</v>
      </c>
      <c r="F216">
        <v>107.3</v>
      </c>
      <c r="G216" s="7">
        <v>99.1</v>
      </c>
      <c r="H216">
        <v>109.8</v>
      </c>
      <c r="I216">
        <v>89.1</v>
      </c>
      <c r="J216" t="e">
        <v>#N/A</v>
      </c>
      <c r="K216">
        <v>0.9</v>
      </c>
      <c r="L216">
        <v>104.95</v>
      </c>
      <c r="O216">
        <v>-1.12734946091724E-2</v>
      </c>
      <c r="P216">
        <v>-4.2</v>
      </c>
      <c r="Q216" t="str">
        <f t="shared" si="3"/>
        <v/>
      </c>
    </row>
    <row r="217" spans="1:17" x14ac:dyDescent="0.4">
      <c r="A217" s="4">
        <v>43070</v>
      </c>
      <c r="B217" s="6" t="e">
        <v>#N/A</v>
      </c>
      <c r="C217" t="e">
        <v>#N/A</v>
      </c>
      <c r="D217" t="e">
        <v>#N/A</v>
      </c>
      <c r="F217">
        <v>108.5</v>
      </c>
      <c r="G217" s="7">
        <v>100.6</v>
      </c>
      <c r="H217">
        <v>113</v>
      </c>
      <c r="I217">
        <v>88.9</v>
      </c>
      <c r="J217" t="e">
        <v>#N/A</v>
      </c>
      <c r="K217">
        <v>0.9</v>
      </c>
      <c r="L217">
        <v>105.47</v>
      </c>
      <c r="O217">
        <v>3.1383421468568401E-2</v>
      </c>
      <c r="P217">
        <v>-3.1</v>
      </c>
      <c r="Q217" t="str">
        <f t="shared" si="3"/>
        <v/>
      </c>
    </row>
    <row r="218" spans="1:17" x14ac:dyDescent="0.4">
      <c r="A218" s="4">
        <v>43101</v>
      </c>
      <c r="B218" s="6">
        <v>317533.40000000002</v>
      </c>
      <c r="C218">
        <v>300703.2</v>
      </c>
      <c r="D218">
        <v>102.2</v>
      </c>
      <c r="F218">
        <v>104.6</v>
      </c>
      <c r="G218" s="7">
        <v>98.8</v>
      </c>
      <c r="H218">
        <v>112.8</v>
      </c>
      <c r="I218">
        <v>88.3</v>
      </c>
      <c r="J218">
        <v>305690.90000000002</v>
      </c>
      <c r="K218">
        <v>1.1000000000000001</v>
      </c>
      <c r="L218">
        <v>110.31</v>
      </c>
      <c r="O218">
        <v>-2.9891812375584699E-2</v>
      </c>
      <c r="P218">
        <v>-4.0999999999999996</v>
      </c>
      <c r="Q218" t="str">
        <f t="shared" si="3"/>
        <v>2018-Q1</v>
      </c>
    </row>
    <row r="219" spans="1:17" x14ac:dyDescent="0.4">
      <c r="A219" s="4">
        <v>43132</v>
      </c>
      <c r="B219" s="6" t="e">
        <v>#N/A</v>
      </c>
      <c r="C219" t="e">
        <v>#N/A</v>
      </c>
      <c r="D219" t="e">
        <v>#N/A</v>
      </c>
      <c r="F219">
        <v>106.1</v>
      </c>
      <c r="G219" s="7">
        <v>96.7</v>
      </c>
      <c r="H219">
        <v>109.4</v>
      </c>
      <c r="I219">
        <v>88.7</v>
      </c>
      <c r="J219" t="e">
        <v>#N/A</v>
      </c>
      <c r="K219">
        <v>0.9</v>
      </c>
      <c r="L219">
        <v>110.34</v>
      </c>
      <c r="O219">
        <v>-2.9215177834602798E-2</v>
      </c>
      <c r="P219">
        <v>-7</v>
      </c>
      <c r="Q219" t="str">
        <f t="shared" si="3"/>
        <v/>
      </c>
    </row>
    <row r="220" spans="1:17" x14ac:dyDescent="0.4">
      <c r="A220" s="4">
        <v>43160</v>
      </c>
      <c r="B220" s="6" t="e">
        <v>#N/A</v>
      </c>
      <c r="C220" t="e">
        <v>#N/A</v>
      </c>
      <c r="D220" t="e">
        <v>#N/A</v>
      </c>
      <c r="F220">
        <v>107</v>
      </c>
      <c r="G220" s="7">
        <v>98.9</v>
      </c>
      <c r="H220">
        <v>108.1</v>
      </c>
      <c r="I220">
        <v>89.4</v>
      </c>
      <c r="J220" t="e">
        <v>#N/A</v>
      </c>
      <c r="K220">
        <v>1.4</v>
      </c>
      <c r="L220">
        <v>109.58</v>
      </c>
      <c r="O220">
        <v>6.6118165304983406E-2</v>
      </c>
      <c r="P220">
        <v>-6.9</v>
      </c>
      <c r="Q220" t="str">
        <f t="shared" si="3"/>
        <v/>
      </c>
    </row>
    <row r="221" spans="1:17" x14ac:dyDescent="0.4">
      <c r="A221" s="4">
        <v>43191</v>
      </c>
      <c r="B221" s="6">
        <v>317154.90000000002</v>
      </c>
      <c r="C221">
        <v>307453.3</v>
      </c>
      <c r="D221">
        <v>102.3</v>
      </c>
      <c r="F221">
        <v>105.8</v>
      </c>
      <c r="G221" s="7">
        <v>98.6</v>
      </c>
      <c r="H221">
        <v>109.2</v>
      </c>
      <c r="I221">
        <v>88.8</v>
      </c>
      <c r="J221">
        <v>307280.3</v>
      </c>
      <c r="K221">
        <v>1.4</v>
      </c>
      <c r="L221">
        <v>110.58</v>
      </c>
      <c r="O221">
        <v>-2.23658406173932E-2</v>
      </c>
      <c r="P221">
        <v>-8</v>
      </c>
      <c r="Q221" t="str">
        <f t="shared" si="3"/>
        <v>2018-Q2</v>
      </c>
    </row>
    <row r="222" spans="1:17" x14ac:dyDescent="0.4">
      <c r="A222" s="4">
        <v>43221</v>
      </c>
      <c r="B222" s="6" t="e">
        <v>#N/A</v>
      </c>
      <c r="C222" t="e">
        <v>#N/A</v>
      </c>
      <c r="D222" t="e">
        <v>#N/A</v>
      </c>
      <c r="F222">
        <v>104.7</v>
      </c>
      <c r="G222" s="7">
        <v>97.3</v>
      </c>
      <c r="H222">
        <v>105.9</v>
      </c>
      <c r="I222">
        <v>89.6</v>
      </c>
      <c r="J222" t="e">
        <v>#N/A</v>
      </c>
      <c r="K222">
        <v>1.6</v>
      </c>
      <c r="L222">
        <v>112.71</v>
      </c>
      <c r="O222">
        <v>-1.39660184901516E-2</v>
      </c>
      <c r="P222">
        <v>-8.6999999999999993</v>
      </c>
      <c r="Q222" t="str">
        <f t="shared" si="3"/>
        <v/>
      </c>
    </row>
    <row r="223" spans="1:17" x14ac:dyDescent="0.4">
      <c r="A223" s="4">
        <v>43252</v>
      </c>
      <c r="B223" s="6" t="e">
        <v>#N/A</v>
      </c>
      <c r="C223" t="e">
        <v>#N/A</v>
      </c>
      <c r="D223" t="e">
        <v>#N/A</v>
      </c>
      <c r="F223">
        <v>106.7</v>
      </c>
      <c r="G223" s="7">
        <v>99.3</v>
      </c>
      <c r="H223">
        <v>106.9</v>
      </c>
      <c r="I223">
        <v>89.4</v>
      </c>
      <c r="J223" t="e">
        <v>#N/A</v>
      </c>
      <c r="K223">
        <v>1.4</v>
      </c>
      <c r="L223">
        <v>113.63</v>
      </c>
      <c r="O223">
        <v>3.4663917772800097E-2</v>
      </c>
      <c r="P223">
        <v>-10.5</v>
      </c>
      <c r="Q223" t="str">
        <f t="shared" si="3"/>
        <v/>
      </c>
    </row>
    <row r="224" spans="1:17" x14ac:dyDescent="0.4">
      <c r="A224" s="4">
        <v>43282</v>
      </c>
      <c r="B224" s="6">
        <v>316665.40000000002</v>
      </c>
      <c r="C224">
        <v>300662.90000000002</v>
      </c>
      <c r="D224">
        <v>102.7</v>
      </c>
      <c r="F224">
        <v>106.1</v>
      </c>
      <c r="G224" s="7">
        <v>97.9</v>
      </c>
      <c r="H224">
        <v>106.3</v>
      </c>
      <c r="I224">
        <v>90</v>
      </c>
      <c r="J224">
        <v>309131</v>
      </c>
      <c r="K224">
        <v>1.5</v>
      </c>
      <c r="L224">
        <v>114.19</v>
      </c>
      <c r="O224">
        <v>-1.9133808301839701E-2</v>
      </c>
      <c r="P224">
        <v>-9.8000000000000007</v>
      </c>
      <c r="Q224" t="str">
        <f t="shared" si="3"/>
        <v>2018-Q3</v>
      </c>
    </row>
    <row r="225" spans="1:17" x14ac:dyDescent="0.4">
      <c r="A225" s="4">
        <v>43313</v>
      </c>
      <c r="B225" s="6" t="e">
        <v>#N/A</v>
      </c>
      <c r="C225" t="e">
        <v>#N/A</v>
      </c>
      <c r="D225" t="e">
        <v>#N/A</v>
      </c>
      <c r="F225">
        <v>106.4</v>
      </c>
      <c r="G225" s="7">
        <v>100.7</v>
      </c>
      <c r="H225">
        <v>104.4</v>
      </c>
      <c r="I225">
        <v>89.9</v>
      </c>
      <c r="J225" t="e">
        <v>#N/A</v>
      </c>
      <c r="K225">
        <v>1.6</v>
      </c>
      <c r="L225">
        <v>114.22</v>
      </c>
      <c r="O225">
        <v>1.5897111227683801E-2</v>
      </c>
      <c r="P225">
        <v>-10.4</v>
      </c>
      <c r="Q225" t="str">
        <f t="shared" si="3"/>
        <v/>
      </c>
    </row>
    <row r="226" spans="1:17" x14ac:dyDescent="0.4">
      <c r="A226" s="4">
        <v>43344</v>
      </c>
      <c r="B226" s="6" t="e">
        <v>#N/A</v>
      </c>
      <c r="C226" t="e">
        <v>#N/A</v>
      </c>
      <c r="D226" t="e">
        <v>#N/A</v>
      </c>
      <c r="F226">
        <v>105.3</v>
      </c>
      <c r="G226" s="7">
        <v>99.3</v>
      </c>
      <c r="H226">
        <v>103.2</v>
      </c>
      <c r="I226">
        <v>90.1</v>
      </c>
      <c r="J226" t="e">
        <v>#N/A</v>
      </c>
      <c r="K226">
        <v>1.5</v>
      </c>
      <c r="L226">
        <v>115.28</v>
      </c>
      <c r="O226">
        <v>-7.5610371732569306E-2</v>
      </c>
      <c r="P226">
        <v>-13.8</v>
      </c>
      <c r="Q226" t="str">
        <f t="shared" si="3"/>
        <v/>
      </c>
    </row>
    <row r="227" spans="1:17" x14ac:dyDescent="0.4">
      <c r="A227" s="4">
        <v>43374</v>
      </c>
      <c r="B227" s="6">
        <v>321913.3</v>
      </c>
      <c r="C227">
        <v>323166</v>
      </c>
      <c r="D227">
        <v>103</v>
      </c>
      <c r="F227">
        <v>106.8</v>
      </c>
      <c r="G227" s="7">
        <v>102.8</v>
      </c>
      <c r="H227">
        <v>102.8</v>
      </c>
      <c r="I227">
        <v>90.9</v>
      </c>
      <c r="J227">
        <v>310132.7</v>
      </c>
      <c r="K227">
        <v>1.4</v>
      </c>
      <c r="L227">
        <v>117.33</v>
      </c>
      <c r="O227">
        <v>-1.7731836101708299E-2</v>
      </c>
      <c r="P227">
        <v>-11.3</v>
      </c>
      <c r="Q227" t="str">
        <f t="shared" si="3"/>
        <v>2018-Q4</v>
      </c>
    </row>
    <row r="228" spans="1:17" x14ac:dyDescent="0.4">
      <c r="A228" s="4">
        <v>43405</v>
      </c>
      <c r="B228" s="6" t="e">
        <v>#N/A</v>
      </c>
      <c r="C228" t="e">
        <v>#N/A</v>
      </c>
      <c r="D228" t="e">
        <v>#N/A</v>
      </c>
      <c r="F228">
        <v>105.6</v>
      </c>
      <c r="G228" s="7">
        <v>100.3</v>
      </c>
      <c r="H228">
        <v>103.2</v>
      </c>
      <c r="I228">
        <v>90.2</v>
      </c>
      <c r="J228" t="e">
        <v>#N/A</v>
      </c>
      <c r="K228">
        <v>1.3</v>
      </c>
      <c r="L228">
        <v>116.54</v>
      </c>
      <c r="O228">
        <v>-5.6150532796548802E-2</v>
      </c>
      <c r="P228">
        <v>-13.6</v>
      </c>
      <c r="Q228" t="str">
        <f t="shared" si="3"/>
        <v/>
      </c>
    </row>
    <row r="229" spans="1:17" x14ac:dyDescent="0.4">
      <c r="A229" s="4">
        <v>43435</v>
      </c>
      <c r="B229" s="6" t="e">
        <v>#N/A</v>
      </c>
      <c r="C229" t="e">
        <v>#N/A</v>
      </c>
      <c r="D229" t="e">
        <v>#N/A</v>
      </c>
      <c r="F229">
        <v>106.7</v>
      </c>
      <c r="G229" s="7">
        <v>102.2</v>
      </c>
      <c r="H229">
        <v>100.1</v>
      </c>
      <c r="I229">
        <v>90</v>
      </c>
      <c r="J229" t="e">
        <v>#N/A</v>
      </c>
      <c r="K229">
        <v>1.3</v>
      </c>
      <c r="L229">
        <v>113.9</v>
      </c>
      <c r="O229">
        <v>5.3909837610174101E-2</v>
      </c>
      <c r="P229">
        <v>-16.899999999999999</v>
      </c>
      <c r="Q229" t="str">
        <f t="shared" si="3"/>
        <v/>
      </c>
    </row>
    <row r="230" spans="1:17" x14ac:dyDescent="0.4">
      <c r="A230" s="4">
        <v>43466</v>
      </c>
      <c r="B230" s="6">
        <v>320134.7</v>
      </c>
      <c r="C230">
        <v>304855.2</v>
      </c>
      <c r="D230">
        <v>103.8</v>
      </c>
      <c r="F230">
        <v>107.3</v>
      </c>
      <c r="G230" s="7">
        <v>101.1</v>
      </c>
      <c r="H230">
        <v>102.8</v>
      </c>
      <c r="I230">
        <v>91.1</v>
      </c>
      <c r="J230">
        <v>312434.90000000002</v>
      </c>
      <c r="K230">
        <v>1.4</v>
      </c>
      <c r="L230">
        <v>112.5</v>
      </c>
      <c r="O230">
        <v>4.8441702792231901E-2</v>
      </c>
      <c r="P230">
        <v>-12.1</v>
      </c>
      <c r="Q230" t="str">
        <f t="shared" si="3"/>
        <v>2019-Q1</v>
      </c>
    </row>
    <row r="231" spans="1:17" x14ac:dyDescent="0.4">
      <c r="A231" s="4">
        <v>43497</v>
      </c>
      <c r="B231" s="6" t="e">
        <v>#N/A</v>
      </c>
      <c r="C231" t="e">
        <v>#N/A</v>
      </c>
      <c r="D231" t="e">
        <v>#N/A</v>
      </c>
      <c r="F231">
        <v>107.3</v>
      </c>
      <c r="G231" s="7">
        <v>103.8</v>
      </c>
      <c r="H231">
        <v>101.6</v>
      </c>
      <c r="I231">
        <v>91.7</v>
      </c>
      <c r="J231" t="e">
        <v>#N/A</v>
      </c>
      <c r="K231">
        <v>1.4</v>
      </c>
      <c r="L231">
        <v>113.96</v>
      </c>
      <c r="O231">
        <v>2.0772984008354801E-2</v>
      </c>
      <c r="P231">
        <v>-10.5</v>
      </c>
      <c r="Q231" t="str">
        <f t="shared" si="3"/>
        <v/>
      </c>
    </row>
    <row r="232" spans="1:17" x14ac:dyDescent="0.4">
      <c r="A232" s="4">
        <v>43525</v>
      </c>
      <c r="B232" s="6" t="e">
        <v>#N/A</v>
      </c>
      <c r="C232" t="e">
        <v>#N/A</v>
      </c>
      <c r="D232" t="e">
        <v>#N/A</v>
      </c>
      <c r="F232">
        <v>107.1</v>
      </c>
      <c r="G232" s="7">
        <v>101.9</v>
      </c>
      <c r="H232">
        <v>102.6</v>
      </c>
      <c r="I232">
        <v>91.4</v>
      </c>
      <c r="J232" t="e">
        <v>#N/A</v>
      </c>
      <c r="K232">
        <v>0.9</v>
      </c>
      <c r="L232">
        <v>115.17</v>
      </c>
      <c r="O232">
        <v>4.3141309311238302E-2</v>
      </c>
      <c r="P232">
        <v>-9.9</v>
      </c>
      <c r="Q232" t="str">
        <f t="shared" si="3"/>
        <v/>
      </c>
    </row>
    <row r="233" spans="1:17" x14ac:dyDescent="0.4">
      <c r="A233" s="4">
        <v>43556</v>
      </c>
      <c r="B233" s="6">
        <v>321618.40000000002</v>
      </c>
      <c r="C233">
        <v>310378.3</v>
      </c>
      <c r="D233">
        <v>104.3</v>
      </c>
      <c r="F233">
        <v>107.3</v>
      </c>
      <c r="G233" s="7">
        <v>102.5</v>
      </c>
      <c r="H233">
        <v>101.1</v>
      </c>
      <c r="I233">
        <v>92</v>
      </c>
      <c r="J233">
        <v>316157.2</v>
      </c>
      <c r="K233">
        <v>1.1000000000000001</v>
      </c>
      <c r="L233">
        <v>115.88</v>
      </c>
      <c r="O233">
        <v>-7.0212055246733102E-2</v>
      </c>
      <c r="P233">
        <v>-10.3</v>
      </c>
      <c r="Q233" t="str">
        <f t="shared" si="3"/>
        <v>2019-Q2</v>
      </c>
    </row>
    <row r="234" spans="1:17" x14ac:dyDescent="0.4">
      <c r="A234" s="4">
        <v>43586</v>
      </c>
      <c r="B234" s="6" t="e">
        <v>#N/A</v>
      </c>
      <c r="C234" t="e">
        <v>#N/A</v>
      </c>
      <c r="D234" t="e">
        <v>#N/A</v>
      </c>
      <c r="F234">
        <v>109.2</v>
      </c>
      <c r="G234" s="7">
        <v>103.9</v>
      </c>
      <c r="H234">
        <v>106.5</v>
      </c>
      <c r="I234">
        <v>91.8</v>
      </c>
      <c r="J234" t="e">
        <v>#N/A</v>
      </c>
      <c r="K234">
        <v>0.9</v>
      </c>
      <c r="L234">
        <v>116.56</v>
      </c>
      <c r="O234">
        <v>6.1683766351279701E-2</v>
      </c>
      <c r="P234">
        <v>-8.3000000000000007</v>
      </c>
      <c r="Q234" t="str">
        <f t="shared" si="3"/>
        <v/>
      </c>
    </row>
    <row r="235" spans="1:17" x14ac:dyDescent="0.4">
      <c r="A235" s="4">
        <v>43617</v>
      </c>
      <c r="B235" s="6" t="e">
        <v>#N/A</v>
      </c>
      <c r="C235" t="e">
        <v>#N/A</v>
      </c>
      <c r="D235" t="e">
        <v>#N/A</v>
      </c>
      <c r="F235">
        <v>105.8</v>
      </c>
      <c r="G235" s="7">
        <v>99.1</v>
      </c>
      <c r="H235">
        <v>104.2</v>
      </c>
      <c r="I235">
        <v>92.1</v>
      </c>
      <c r="J235" t="e">
        <v>#N/A</v>
      </c>
      <c r="K235">
        <v>1.3</v>
      </c>
      <c r="L235">
        <v>116.32</v>
      </c>
      <c r="O235">
        <v>-3.6300543100384899E-3</v>
      </c>
      <c r="P235">
        <v>-8.3000000000000007</v>
      </c>
      <c r="Q235" t="str">
        <f t="shared" si="3"/>
        <v/>
      </c>
    </row>
    <row r="236" spans="1:17" x14ac:dyDescent="0.4">
      <c r="A236" s="4">
        <v>43647</v>
      </c>
      <c r="B236" s="6">
        <v>325864.40000000002</v>
      </c>
      <c r="C236">
        <v>303588.5</v>
      </c>
      <c r="D236">
        <v>104.7</v>
      </c>
      <c r="F236">
        <v>106.7</v>
      </c>
      <c r="G236" s="6">
        <v>102</v>
      </c>
      <c r="H236">
        <v>103</v>
      </c>
      <c r="I236">
        <v>91.9</v>
      </c>
      <c r="J236">
        <v>316923.5</v>
      </c>
      <c r="K236">
        <v>1.3</v>
      </c>
      <c r="L236">
        <v>115.05</v>
      </c>
      <c r="O236">
        <v>-6.9858625727086104E-3</v>
      </c>
      <c r="P236">
        <v>-6.6</v>
      </c>
      <c r="Q236" t="str">
        <f t="shared" si="3"/>
        <v>2019-Q3</v>
      </c>
    </row>
    <row r="237" spans="1:17" x14ac:dyDescent="0.4">
      <c r="A237" s="4">
        <v>43678</v>
      </c>
      <c r="B237" s="6" t="e">
        <v>#N/A</v>
      </c>
      <c r="C237" t="e">
        <v>#N/A</v>
      </c>
      <c r="D237" t="e">
        <v>#N/A</v>
      </c>
      <c r="F237">
        <v>105.3</v>
      </c>
      <c r="G237" s="6">
        <v>104</v>
      </c>
      <c r="H237">
        <v>103.4</v>
      </c>
      <c r="I237">
        <v>93.4</v>
      </c>
      <c r="J237" t="e">
        <v>#N/A</v>
      </c>
      <c r="K237">
        <v>1.3</v>
      </c>
      <c r="L237">
        <v>115.03</v>
      </c>
      <c r="O237">
        <v>3.5369394591752402E-2</v>
      </c>
      <c r="P237">
        <v>-7.5</v>
      </c>
      <c r="Q237" t="str">
        <f t="shared" si="3"/>
        <v/>
      </c>
    </row>
    <row r="238" spans="1:17" x14ac:dyDescent="0.4">
      <c r="A238" s="4">
        <v>43709</v>
      </c>
      <c r="B238" s="6" t="e">
        <v>#N/A</v>
      </c>
      <c r="C238" t="e">
        <v>#N/A</v>
      </c>
      <c r="D238" t="e">
        <v>#N/A</v>
      </c>
      <c r="F238">
        <v>106.6</v>
      </c>
      <c r="G238" s="7">
        <v>101.7</v>
      </c>
      <c r="H238">
        <v>102.6</v>
      </c>
      <c r="I238">
        <v>92.4</v>
      </c>
      <c r="J238" t="e">
        <v>#N/A</v>
      </c>
      <c r="K238">
        <v>1.2</v>
      </c>
      <c r="L238">
        <v>115.37</v>
      </c>
      <c r="O238">
        <v>9.1289943647616702E-3</v>
      </c>
      <c r="P238">
        <v>-6.1</v>
      </c>
      <c r="Q238" t="str">
        <f t="shared" si="3"/>
        <v/>
      </c>
    </row>
    <row r="239" spans="1:17" x14ac:dyDescent="0.4">
      <c r="A239" s="4">
        <v>43739</v>
      </c>
      <c r="B239" s="6">
        <v>320613.2</v>
      </c>
      <c r="C239">
        <v>324219.09999999998</v>
      </c>
      <c r="D239">
        <v>104.8</v>
      </c>
      <c r="F239">
        <v>106.6</v>
      </c>
      <c r="G239" s="7">
        <v>101.8</v>
      </c>
      <c r="H239">
        <v>103.6</v>
      </c>
      <c r="I239">
        <v>92.7</v>
      </c>
      <c r="J239">
        <v>317841</v>
      </c>
      <c r="K239">
        <v>1.2</v>
      </c>
      <c r="L239">
        <v>115.38</v>
      </c>
      <c r="O239">
        <v>3.0137151409080701E-2</v>
      </c>
      <c r="P239">
        <v>-6.6</v>
      </c>
      <c r="Q239" t="str">
        <f t="shared" si="3"/>
        <v>2019-Q4</v>
      </c>
    </row>
    <row r="240" spans="1:17" x14ac:dyDescent="0.4">
      <c r="A240" s="4">
        <v>43770</v>
      </c>
      <c r="B240" s="6" t="e">
        <v>#N/A</v>
      </c>
      <c r="C240" t="e">
        <v>#N/A</v>
      </c>
      <c r="D240" t="e">
        <v>#N/A</v>
      </c>
      <c r="F240">
        <v>105.8</v>
      </c>
      <c r="G240" s="7">
        <v>102.5</v>
      </c>
      <c r="H240">
        <v>102.2</v>
      </c>
      <c r="I240">
        <v>93.2</v>
      </c>
      <c r="J240" t="e">
        <v>#N/A</v>
      </c>
      <c r="K240">
        <v>1.4</v>
      </c>
      <c r="L240">
        <v>115.78</v>
      </c>
      <c r="O240">
        <v>1.2267885247728901E-2</v>
      </c>
      <c r="P240">
        <v>-5.8</v>
      </c>
      <c r="Q240" t="str">
        <f t="shared" si="3"/>
        <v/>
      </c>
    </row>
    <row r="241" spans="1:17" x14ac:dyDescent="0.4">
      <c r="A241" s="4">
        <v>43800</v>
      </c>
      <c r="B241" s="6" t="e">
        <v>#N/A</v>
      </c>
      <c r="C241" t="e">
        <v>#N/A</v>
      </c>
      <c r="D241" t="e">
        <v>#N/A</v>
      </c>
      <c r="F241">
        <v>103.5</v>
      </c>
      <c r="G241" s="7">
        <v>100.8</v>
      </c>
      <c r="H241">
        <v>101.6</v>
      </c>
      <c r="I241">
        <v>92.7</v>
      </c>
      <c r="J241" t="e">
        <v>#N/A</v>
      </c>
      <c r="K241">
        <v>1.5</v>
      </c>
      <c r="L241">
        <v>116.69</v>
      </c>
      <c r="O241">
        <v>-2.9145713326597499E-2</v>
      </c>
      <c r="P241">
        <v>-9.5</v>
      </c>
      <c r="Q241" t="str">
        <f t="shared" si="3"/>
        <v/>
      </c>
    </row>
    <row r="242" spans="1:17" x14ac:dyDescent="0.4">
      <c r="A242" s="4">
        <v>43831</v>
      </c>
      <c r="B242" s="6">
        <v>311198.40000000002</v>
      </c>
      <c r="C242">
        <v>299957</v>
      </c>
      <c r="D242">
        <v>101</v>
      </c>
      <c r="F242">
        <v>105.5</v>
      </c>
      <c r="G242" s="7">
        <v>100.1</v>
      </c>
      <c r="H242">
        <v>106.3</v>
      </c>
      <c r="I242">
        <v>93.6</v>
      </c>
      <c r="J242">
        <v>301759.09999999998</v>
      </c>
      <c r="K242">
        <v>1.4</v>
      </c>
      <c r="L242">
        <v>117.26</v>
      </c>
      <c r="O242">
        <v>-8.9377412794403796E-2</v>
      </c>
      <c r="P242">
        <v>-8.8000000000000007</v>
      </c>
      <c r="Q242" t="str">
        <f t="shared" si="3"/>
        <v>2020-Q1</v>
      </c>
    </row>
    <row r="243" spans="1:17" x14ac:dyDescent="0.4">
      <c r="A243" s="4">
        <v>43862</v>
      </c>
      <c r="B243" s="6" t="e">
        <v>#N/A</v>
      </c>
      <c r="C243" t="e">
        <v>#N/A</v>
      </c>
      <c r="D243" t="e">
        <v>#N/A</v>
      </c>
      <c r="F243">
        <v>107.1</v>
      </c>
      <c r="G243" s="6">
        <v>103</v>
      </c>
      <c r="H243">
        <v>107.1</v>
      </c>
      <c r="I243">
        <v>93.2</v>
      </c>
      <c r="J243" t="e">
        <v>#N/A</v>
      </c>
      <c r="K243">
        <v>1.6</v>
      </c>
      <c r="L243">
        <v>115.04</v>
      </c>
      <c r="O243">
        <v>-0.188850623924395</v>
      </c>
      <c r="P243">
        <v>-7.5</v>
      </c>
      <c r="Q243" t="str">
        <f t="shared" si="3"/>
        <v/>
      </c>
    </row>
    <row r="244" spans="1:17" x14ac:dyDescent="0.4">
      <c r="A244" s="4">
        <v>43891</v>
      </c>
      <c r="B244" s="6" t="e">
        <v>#N/A</v>
      </c>
      <c r="C244" t="e">
        <v>#N/A</v>
      </c>
      <c r="D244" t="e">
        <v>#N/A</v>
      </c>
      <c r="F244">
        <v>86.9</v>
      </c>
      <c r="G244" s="7">
        <v>82.5</v>
      </c>
      <c r="H244">
        <v>98.4</v>
      </c>
      <c r="I244">
        <v>79</v>
      </c>
      <c r="J244" t="e">
        <v>#N/A</v>
      </c>
      <c r="K244">
        <v>1.2</v>
      </c>
      <c r="L244">
        <v>110.58</v>
      </c>
      <c r="O244">
        <v>3.9267793313097599E-2</v>
      </c>
      <c r="P244">
        <v>-12.5</v>
      </c>
      <c r="Q244" t="str">
        <f t="shared" si="3"/>
        <v/>
      </c>
    </row>
    <row r="245" spans="1:17" x14ac:dyDescent="0.4">
      <c r="A245" s="4">
        <v>43922</v>
      </c>
      <c r="B245" s="6">
        <v>283610.09999999998</v>
      </c>
      <c r="C245">
        <v>275344.7</v>
      </c>
      <c r="D245">
        <v>82.6</v>
      </c>
      <c r="F245">
        <v>67.400000000000006</v>
      </c>
      <c r="G245" s="7">
        <v>63.5</v>
      </c>
      <c r="H245">
        <v>61.2</v>
      </c>
      <c r="I245">
        <v>67</v>
      </c>
      <c r="J245">
        <v>270286.7</v>
      </c>
      <c r="K245">
        <v>1.3</v>
      </c>
      <c r="L245">
        <v>106.03</v>
      </c>
      <c r="O245">
        <v>2.6601658827990701E-2</v>
      </c>
      <c r="P245">
        <v>-21.8</v>
      </c>
      <c r="Q245" t="str">
        <f t="shared" si="3"/>
        <v>2020-Q2</v>
      </c>
    </row>
    <row r="246" spans="1:17" x14ac:dyDescent="0.4">
      <c r="A246" s="4">
        <v>43952</v>
      </c>
      <c r="B246" s="6" t="e">
        <v>#N/A</v>
      </c>
      <c r="C246" t="e">
        <v>#N/A</v>
      </c>
      <c r="D246" t="e">
        <v>#N/A</v>
      </c>
      <c r="F246">
        <v>81.900000000000006</v>
      </c>
      <c r="G246" s="7">
        <v>75.900000000000006</v>
      </c>
      <c r="H246">
        <v>64.400000000000006</v>
      </c>
      <c r="I246">
        <v>90.7</v>
      </c>
      <c r="J246" t="e">
        <v>#N/A</v>
      </c>
      <c r="K246">
        <v>1.6</v>
      </c>
      <c r="L246">
        <v>103.84</v>
      </c>
      <c r="O246">
        <v>4.9961495641838397E-2</v>
      </c>
      <c r="P246">
        <v>-17.8</v>
      </c>
      <c r="Q246" t="str">
        <f t="shared" si="3"/>
        <v/>
      </c>
    </row>
    <row r="247" spans="1:17" x14ac:dyDescent="0.4">
      <c r="A247" s="4">
        <v>43983</v>
      </c>
      <c r="B247" s="6" t="e">
        <v>#N/A</v>
      </c>
      <c r="C247" t="e">
        <v>#N/A</v>
      </c>
      <c r="D247" t="e">
        <v>#N/A</v>
      </c>
      <c r="F247">
        <v>92.9</v>
      </c>
      <c r="G247" s="7">
        <v>87.1</v>
      </c>
      <c r="H247">
        <v>77.5</v>
      </c>
      <c r="I247">
        <v>96.3</v>
      </c>
      <c r="J247" t="e">
        <v>#N/A</v>
      </c>
      <c r="K247">
        <v>1.2</v>
      </c>
      <c r="L247">
        <v>105.58</v>
      </c>
      <c r="O247">
        <v>-3.1341105182971098E-2</v>
      </c>
      <c r="P247">
        <v>-12.4</v>
      </c>
      <c r="Q247" t="str">
        <f t="shared" si="3"/>
        <v/>
      </c>
    </row>
    <row r="248" spans="1:17" x14ac:dyDescent="0.4">
      <c r="A248" s="4">
        <v>44013</v>
      </c>
      <c r="B248" s="6">
        <v>317773.8</v>
      </c>
      <c r="C248">
        <v>300055.8</v>
      </c>
      <c r="D248">
        <v>100.8</v>
      </c>
      <c r="F248">
        <v>97.3</v>
      </c>
      <c r="G248" s="6">
        <v>89</v>
      </c>
      <c r="H248">
        <v>83.2</v>
      </c>
      <c r="I248">
        <v>93.5</v>
      </c>
      <c r="J248">
        <v>318160.90000000002</v>
      </c>
      <c r="K248">
        <v>1.7</v>
      </c>
      <c r="L248">
        <v>106.56</v>
      </c>
      <c r="O248">
        <v>3.3613643111712201E-2</v>
      </c>
      <c r="P248">
        <v>-11.8</v>
      </c>
      <c r="Q248" t="str">
        <f t="shared" si="3"/>
        <v>2020-Q3</v>
      </c>
    </row>
    <row r="249" spans="1:17" x14ac:dyDescent="0.4">
      <c r="A249" s="4">
        <v>44044</v>
      </c>
      <c r="B249" s="6" t="e">
        <v>#N/A</v>
      </c>
      <c r="C249" t="e">
        <v>#N/A</v>
      </c>
      <c r="D249" t="e">
        <v>#N/A</v>
      </c>
      <c r="F249">
        <v>97.9</v>
      </c>
      <c r="G249" s="7">
        <v>91.2</v>
      </c>
      <c r="H249">
        <v>93.9</v>
      </c>
      <c r="I249">
        <v>98.9</v>
      </c>
      <c r="J249" t="e">
        <v>#N/A</v>
      </c>
      <c r="K249">
        <v>0.9</v>
      </c>
      <c r="L249">
        <v>106.91</v>
      </c>
      <c r="O249">
        <v>-2.94935303814245E-2</v>
      </c>
      <c r="P249">
        <v>-12.2</v>
      </c>
      <c r="Q249" t="str">
        <f t="shared" si="3"/>
        <v/>
      </c>
    </row>
    <row r="250" spans="1:17" x14ac:dyDescent="0.4">
      <c r="A250" s="4">
        <v>44075</v>
      </c>
      <c r="B250" s="6" t="e">
        <v>#N/A</v>
      </c>
      <c r="C250" t="e">
        <v>#N/A</v>
      </c>
      <c r="D250" t="e">
        <v>#N/A</v>
      </c>
      <c r="F250">
        <v>99.8</v>
      </c>
      <c r="G250" s="7">
        <v>92.1</v>
      </c>
      <c r="H250">
        <v>99</v>
      </c>
      <c r="I250">
        <v>95.4</v>
      </c>
      <c r="J250" t="e">
        <v>#N/A</v>
      </c>
      <c r="K250">
        <v>0.8</v>
      </c>
      <c r="L250">
        <v>106.2</v>
      </c>
      <c r="O250">
        <v>-4.45289197271403E-2</v>
      </c>
      <c r="P250">
        <v>-10.9</v>
      </c>
      <c r="Q250" t="str">
        <f t="shared" si="3"/>
        <v/>
      </c>
    </row>
    <row r="251" spans="1:17" x14ac:dyDescent="0.4">
      <c r="A251" s="4">
        <v>44105</v>
      </c>
      <c r="B251" s="6">
        <v>310501.59999999998</v>
      </c>
      <c r="C251">
        <v>319654</v>
      </c>
      <c r="D251">
        <v>98.6</v>
      </c>
      <c r="F251">
        <v>101.9</v>
      </c>
      <c r="G251" s="7">
        <v>93.6</v>
      </c>
      <c r="H251">
        <v>95.1</v>
      </c>
      <c r="I251">
        <v>98.4</v>
      </c>
      <c r="J251">
        <v>299353.5</v>
      </c>
      <c r="K251">
        <v>0.9</v>
      </c>
      <c r="L251">
        <v>106.46</v>
      </c>
      <c r="O251">
        <v>0.183311713258691</v>
      </c>
      <c r="P251">
        <v>-13.4</v>
      </c>
      <c r="Q251" t="str">
        <f t="shared" si="3"/>
        <v>2020-Q4</v>
      </c>
    </row>
    <row r="252" spans="1:17" x14ac:dyDescent="0.4">
      <c r="A252" s="4">
        <v>44136</v>
      </c>
      <c r="B252" s="6" t="e">
        <v>#N/A</v>
      </c>
      <c r="C252" t="e">
        <v>#N/A</v>
      </c>
      <c r="D252" t="e">
        <v>#N/A</v>
      </c>
      <c r="F252">
        <v>100.3</v>
      </c>
      <c r="G252" s="7">
        <v>94.1</v>
      </c>
      <c r="H252">
        <v>88.9</v>
      </c>
      <c r="I252">
        <v>82.5</v>
      </c>
      <c r="J252" t="e">
        <v>#N/A</v>
      </c>
      <c r="K252">
        <v>1</v>
      </c>
      <c r="L252">
        <v>106.91</v>
      </c>
      <c r="O252">
        <v>5.9368684612852701E-3</v>
      </c>
      <c r="P252">
        <v>-18</v>
      </c>
      <c r="Q252" t="str">
        <f t="shared" si="3"/>
        <v/>
      </c>
    </row>
    <row r="253" spans="1:17" x14ac:dyDescent="0.4">
      <c r="A253" s="4">
        <v>44166</v>
      </c>
      <c r="B253" s="6" t="e">
        <v>#N/A</v>
      </c>
      <c r="C253" t="e">
        <v>#N/A</v>
      </c>
      <c r="D253" t="e">
        <v>#N/A</v>
      </c>
      <c r="F253">
        <v>99.7</v>
      </c>
      <c r="G253" s="7">
        <v>94.7</v>
      </c>
      <c r="H253">
        <v>94.8</v>
      </c>
      <c r="I253">
        <v>102.7</v>
      </c>
      <c r="J253" t="e">
        <v>#N/A</v>
      </c>
      <c r="K253">
        <v>0.7</v>
      </c>
      <c r="L253">
        <v>108.67</v>
      </c>
      <c r="O253">
        <v>-2.7799338355402301E-2</v>
      </c>
      <c r="P253">
        <v>-10.8</v>
      </c>
      <c r="Q253" t="str">
        <f t="shared" si="3"/>
        <v/>
      </c>
    </row>
    <row r="254" spans="1:17" x14ac:dyDescent="0.4">
      <c r="A254" s="4">
        <v>44197</v>
      </c>
      <c r="B254" s="6">
        <v>320089.2</v>
      </c>
      <c r="C254">
        <v>306774.3</v>
      </c>
      <c r="D254">
        <v>99.7</v>
      </c>
      <c r="F254">
        <v>102.8</v>
      </c>
      <c r="G254" s="6">
        <v>99</v>
      </c>
      <c r="H254">
        <v>93.7</v>
      </c>
      <c r="I254">
        <v>97</v>
      </c>
      <c r="J254">
        <v>301274.09999999998</v>
      </c>
      <c r="K254">
        <v>1.4</v>
      </c>
      <c r="L254">
        <v>110.47</v>
      </c>
      <c r="O254">
        <v>5.4778325952204603E-2</v>
      </c>
      <c r="P254">
        <v>-13.6</v>
      </c>
      <c r="Q254" t="str">
        <f t="shared" si="3"/>
        <v>2021-Q1</v>
      </c>
    </row>
    <row r="255" spans="1:17" x14ac:dyDescent="0.4">
      <c r="A255" s="4">
        <v>44228</v>
      </c>
      <c r="B255" s="6" t="e">
        <v>#N/A</v>
      </c>
      <c r="C255" t="e">
        <v>#N/A</v>
      </c>
      <c r="D255" t="e">
        <v>#N/A</v>
      </c>
      <c r="F255">
        <v>98.4</v>
      </c>
      <c r="G255" s="7">
        <v>93.8</v>
      </c>
      <c r="H255">
        <v>94.6</v>
      </c>
      <c r="I255">
        <v>98</v>
      </c>
      <c r="J255" t="e">
        <v>#N/A</v>
      </c>
      <c r="K255">
        <v>1</v>
      </c>
      <c r="L255">
        <v>113.2</v>
      </c>
      <c r="O255">
        <v>6.1871189738466698E-2</v>
      </c>
      <c r="P255">
        <v>-14.2</v>
      </c>
      <c r="Q255" t="str">
        <f t="shared" si="3"/>
        <v/>
      </c>
    </row>
    <row r="256" spans="1:17" x14ac:dyDescent="0.4">
      <c r="A256" s="4">
        <v>44256</v>
      </c>
      <c r="B256" s="6" t="e">
        <v>#N/A</v>
      </c>
      <c r="C256" t="e">
        <v>#N/A</v>
      </c>
      <c r="D256" t="e">
        <v>#N/A</v>
      </c>
      <c r="F256">
        <v>100</v>
      </c>
      <c r="G256" s="6">
        <v>99</v>
      </c>
      <c r="H256">
        <v>98.4</v>
      </c>
      <c r="I256">
        <v>98.4</v>
      </c>
      <c r="J256" t="e">
        <v>#N/A</v>
      </c>
      <c r="K256">
        <v>1.1000000000000001</v>
      </c>
      <c r="L256">
        <v>115.7</v>
      </c>
      <c r="O256">
        <v>3.2791258453622497E-2</v>
      </c>
      <c r="P256">
        <v>-9.8000000000000007</v>
      </c>
      <c r="Q256" t="str">
        <f t="shared" si="3"/>
        <v/>
      </c>
    </row>
    <row r="257" spans="1:17" x14ac:dyDescent="0.4">
      <c r="A257" s="4">
        <v>44287</v>
      </c>
      <c r="B257" s="6">
        <v>324184.59999999998</v>
      </c>
      <c r="C257">
        <v>316448.3</v>
      </c>
      <c r="D257">
        <v>101.2</v>
      </c>
      <c r="F257">
        <v>100</v>
      </c>
      <c r="G257" s="7">
        <v>98.9</v>
      </c>
      <c r="H257">
        <v>100.9</v>
      </c>
      <c r="I257">
        <v>93.9</v>
      </c>
      <c r="J257">
        <v>310343</v>
      </c>
      <c r="K257">
        <v>1</v>
      </c>
      <c r="L257">
        <v>115.18</v>
      </c>
      <c r="O257">
        <v>2.7947849235816901E-2</v>
      </c>
      <c r="P257">
        <v>-9.8000000000000007</v>
      </c>
      <c r="Q257" t="str">
        <f t="shared" si="3"/>
        <v>2021-Q2</v>
      </c>
    </row>
    <row r="258" spans="1:17" x14ac:dyDescent="0.4">
      <c r="A258" s="4">
        <v>44317</v>
      </c>
      <c r="B258" s="6" t="e">
        <v>#N/A</v>
      </c>
      <c r="C258" t="e">
        <v>#N/A</v>
      </c>
      <c r="D258" t="e">
        <v>#N/A</v>
      </c>
      <c r="F258">
        <v>100</v>
      </c>
      <c r="G258" s="7">
        <v>95.5</v>
      </c>
      <c r="H258">
        <v>108.6</v>
      </c>
      <c r="I258">
        <v>99.2</v>
      </c>
      <c r="J258" t="e">
        <v>#N/A</v>
      </c>
      <c r="K258">
        <v>0.9</v>
      </c>
      <c r="L258">
        <v>115.8</v>
      </c>
      <c r="O258">
        <v>9.3648166071691498E-3</v>
      </c>
      <c r="P258">
        <v>-5.4</v>
      </c>
      <c r="Q258" t="str">
        <f t="shared" si="3"/>
        <v/>
      </c>
    </row>
    <row r="259" spans="1:17" x14ac:dyDescent="0.4">
      <c r="A259" s="4">
        <v>44348</v>
      </c>
      <c r="B259" s="6" t="e">
        <v>#N/A</v>
      </c>
      <c r="C259" t="e">
        <v>#N/A</v>
      </c>
      <c r="D259" t="e">
        <v>#N/A</v>
      </c>
      <c r="F259">
        <v>99.5</v>
      </c>
      <c r="G259" s="7">
        <v>100.3</v>
      </c>
      <c r="H259">
        <v>113.1</v>
      </c>
      <c r="I259">
        <v>101.2</v>
      </c>
      <c r="J259" t="e">
        <v>#N/A</v>
      </c>
      <c r="K259">
        <v>1.1000000000000001</v>
      </c>
      <c r="L259">
        <v>117.09</v>
      </c>
      <c r="O259">
        <v>1.5995001115275201E-2</v>
      </c>
      <c r="P259">
        <v>-0.2</v>
      </c>
      <c r="Q259" t="str">
        <f t="shared" ref="Q259:Q313" si="4">IF(MONTH($A259) = 1, YEAR($A259)&amp;"-Q"&amp;MONTH($A259), IF(MONTH($A259) = 4, YEAR($A259)&amp;"-Q2", IF(MONTH($A259) = 7, YEAR($A259)&amp;"-Q3", IF(MONTH($A259) = 10, YEAR($A259)&amp;"-Q4",""))))</f>
        <v/>
      </c>
    </row>
    <row r="260" spans="1:17" x14ac:dyDescent="0.4">
      <c r="A260" s="4">
        <v>44378</v>
      </c>
      <c r="B260" s="6">
        <v>334959.8</v>
      </c>
      <c r="C260">
        <v>318381.40000000002</v>
      </c>
      <c r="D260">
        <v>106.3</v>
      </c>
      <c r="F260">
        <v>100.3</v>
      </c>
      <c r="G260" s="7">
        <v>98.8</v>
      </c>
      <c r="H260">
        <v>117.6</v>
      </c>
      <c r="I260">
        <v>101.1</v>
      </c>
      <c r="J260">
        <v>327579.09999999998</v>
      </c>
      <c r="K260">
        <v>0.6</v>
      </c>
      <c r="L260">
        <v>119.65</v>
      </c>
      <c r="O260">
        <v>1.0143879167863201E-2</v>
      </c>
      <c r="P260">
        <v>-3.1</v>
      </c>
      <c r="Q260" t="str">
        <f t="shared" si="4"/>
        <v>2021-Q3</v>
      </c>
    </row>
    <row r="261" spans="1:17" x14ac:dyDescent="0.4">
      <c r="A261" s="4">
        <v>44409</v>
      </c>
      <c r="B261" s="6" t="e">
        <v>#N/A</v>
      </c>
      <c r="C261" t="e">
        <v>#N/A</v>
      </c>
      <c r="D261" t="e">
        <v>#N/A</v>
      </c>
      <c r="F261">
        <v>100.1</v>
      </c>
      <c r="G261" s="7">
        <v>99.4</v>
      </c>
      <c r="H261">
        <v>114.2</v>
      </c>
      <c r="I261">
        <v>101.2</v>
      </c>
      <c r="J261" t="e">
        <v>#N/A</v>
      </c>
      <c r="K261">
        <v>1.4</v>
      </c>
      <c r="L261">
        <v>120.46</v>
      </c>
      <c r="O261">
        <v>-2.42690858744634E-2</v>
      </c>
      <c r="P261">
        <v>-6.5</v>
      </c>
      <c r="Q261" t="str">
        <f t="shared" si="4"/>
        <v/>
      </c>
    </row>
    <row r="262" spans="1:17" x14ac:dyDescent="0.4">
      <c r="A262" s="4">
        <v>44440</v>
      </c>
      <c r="B262" s="6" t="e">
        <v>#N/A</v>
      </c>
      <c r="C262" t="e">
        <v>#N/A</v>
      </c>
      <c r="D262" t="e">
        <v>#N/A</v>
      </c>
      <c r="F262">
        <v>98.6</v>
      </c>
      <c r="G262" s="7">
        <v>101.7</v>
      </c>
      <c r="H262">
        <v>113.2</v>
      </c>
      <c r="I262">
        <v>101.2</v>
      </c>
      <c r="J262" t="e">
        <v>#N/A</v>
      </c>
      <c r="K262">
        <v>1.6</v>
      </c>
      <c r="L262">
        <v>122.09</v>
      </c>
      <c r="O262">
        <v>4.6498556115810899E-2</v>
      </c>
      <c r="P262">
        <v>-2.8</v>
      </c>
      <c r="Q262" t="str">
        <f t="shared" si="4"/>
        <v/>
      </c>
    </row>
    <row r="263" spans="1:17" x14ac:dyDescent="0.4">
      <c r="A263" s="4">
        <v>44470</v>
      </c>
      <c r="B263" s="6">
        <v>346533.6</v>
      </c>
      <c r="C263">
        <v>344031.5</v>
      </c>
      <c r="D263">
        <v>107.3</v>
      </c>
      <c r="F263">
        <v>101.3</v>
      </c>
      <c r="G263" s="7">
        <v>101.6</v>
      </c>
      <c r="H263">
        <v>114.1</v>
      </c>
      <c r="I263">
        <v>102.5</v>
      </c>
      <c r="J263">
        <v>329722.7</v>
      </c>
      <c r="K263">
        <v>1.6</v>
      </c>
      <c r="L263">
        <v>127.98</v>
      </c>
      <c r="O263">
        <v>-1.6113647915297201E-2</v>
      </c>
      <c r="P263">
        <v>-6.2</v>
      </c>
      <c r="Q263" t="str">
        <f t="shared" si="4"/>
        <v>2021-Q4</v>
      </c>
    </row>
    <row r="264" spans="1:17" x14ac:dyDescent="0.4">
      <c r="A264" s="4">
        <v>44501</v>
      </c>
      <c r="B264" s="6" t="e">
        <v>#N/A</v>
      </c>
      <c r="C264" t="e">
        <v>#N/A</v>
      </c>
      <c r="D264" t="e">
        <v>#N/A</v>
      </c>
      <c r="F264">
        <v>99.2</v>
      </c>
      <c r="G264" s="7">
        <v>104.9</v>
      </c>
      <c r="H264">
        <v>116.4</v>
      </c>
      <c r="I264">
        <v>102.9</v>
      </c>
      <c r="J264" t="e">
        <v>#N/A</v>
      </c>
      <c r="K264">
        <v>1.7</v>
      </c>
      <c r="L264">
        <v>130.29</v>
      </c>
      <c r="O264">
        <v>6.2275231193361001E-2</v>
      </c>
      <c r="P264">
        <v>-6.9</v>
      </c>
      <c r="Q264" t="str">
        <f t="shared" si="4"/>
        <v/>
      </c>
    </row>
    <row r="265" spans="1:17" x14ac:dyDescent="0.4">
      <c r="A265" s="4">
        <v>44531</v>
      </c>
      <c r="B265" s="6" t="e">
        <v>#N/A</v>
      </c>
      <c r="C265" t="e">
        <v>#N/A</v>
      </c>
      <c r="D265" t="e">
        <v>#N/A</v>
      </c>
      <c r="F265">
        <v>99.7</v>
      </c>
      <c r="G265" s="7">
        <v>107.3</v>
      </c>
      <c r="H265">
        <v>113.7</v>
      </c>
      <c r="I265">
        <v>103.4</v>
      </c>
      <c r="J265" t="e">
        <v>#N/A</v>
      </c>
      <c r="K265">
        <v>1.9</v>
      </c>
      <c r="L265">
        <v>129.63999999999999</v>
      </c>
      <c r="O265">
        <v>-2.1740128411668301E-2</v>
      </c>
      <c r="P265">
        <v>-8.5</v>
      </c>
      <c r="Q265" t="str">
        <f t="shared" si="4"/>
        <v/>
      </c>
    </row>
    <row r="266" spans="1:17" x14ac:dyDescent="0.4">
      <c r="A266" s="4">
        <v>44562</v>
      </c>
      <c r="B266" s="6">
        <v>347889.5</v>
      </c>
      <c r="C266">
        <v>332833</v>
      </c>
      <c r="D266">
        <v>106.9</v>
      </c>
      <c r="F266">
        <v>101.9</v>
      </c>
      <c r="G266" s="7">
        <v>110.9</v>
      </c>
      <c r="H266">
        <v>111.3</v>
      </c>
      <c r="I266">
        <v>102.8</v>
      </c>
      <c r="J266">
        <v>331322.5</v>
      </c>
      <c r="K266">
        <v>1.6</v>
      </c>
      <c r="L266">
        <v>133.16999999999999</v>
      </c>
      <c r="O266">
        <v>-4.9852079538506899E-2</v>
      </c>
      <c r="P266">
        <v>-9.4</v>
      </c>
      <c r="Q266" t="str">
        <f t="shared" si="4"/>
        <v>2022-Q1</v>
      </c>
    </row>
    <row r="267" spans="1:17" x14ac:dyDescent="0.4">
      <c r="A267" s="4">
        <v>44593</v>
      </c>
      <c r="B267" s="6" t="e">
        <v>#N/A</v>
      </c>
      <c r="C267" t="e">
        <v>#N/A</v>
      </c>
      <c r="D267" t="e">
        <v>#N/A</v>
      </c>
      <c r="F267">
        <v>100.5</v>
      </c>
      <c r="G267" s="7">
        <v>109.5</v>
      </c>
      <c r="H267">
        <v>113.2</v>
      </c>
      <c r="I267">
        <v>103.1</v>
      </c>
      <c r="J267" t="e">
        <v>#N/A</v>
      </c>
      <c r="K267">
        <v>2.4</v>
      </c>
      <c r="L267">
        <v>138.08000000000001</v>
      </c>
      <c r="O267">
        <v>1.5617726194960799E-4</v>
      </c>
      <c r="P267">
        <v>-8.5</v>
      </c>
      <c r="Q267" t="str">
        <f t="shared" si="4"/>
        <v/>
      </c>
    </row>
    <row r="268" spans="1:17" x14ac:dyDescent="0.4">
      <c r="A268" s="4">
        <v>44621</v>
      </c>
      <c r="B268" s="6" t="e">
        <v>#N/A</v>
      </c>
      <c r="C268" t="e">
        <v>#N/A</v>
      </c>
      <c r="D268" t="e">
        <v>#N/A</v>
      </c>
      <c r="F268">
        <v>99.9</v>
      </c>
      <c r="G268" s="7">
        <v>113.2</v>
      </c>
      <c r="H268">
        <v>104.4</v>
      </c>
      <c r="I268">
        <v>103.9</v>
      </c>
      <c r="J268" t="e">
        <v>#N/A</v>
      </c>
      <c r="K268">
        <v>2.6</v>
      </c>
      <c r="L268">
        <v>150.13</v>
      </c>
      <c r="O268">
        <v>-1.9115867379476001E-2</v>
      </c>
      <c r="P268">
        <v>-21.2</v>
      </c>
      <c r="Q268" t="str">
        <f t="shared" si="4"/>
        <v/>
      </c>
    </row>
    <row r="269" spans="1:17" x14ac:dyDescent="0.4">
      <c r="A269" s="4">
        <v>44652</v>
      </c>
      <c r="B269" s="6">
        <v>357831.2</v>
      </c>
      <c r="C269">
        <v>341257.7</v>
      </c>
      <c r="D269">
        <v>108.3</v>
      </c>
      <c r="F269">
        <v>99.1</v>
      </c>
      <c r="G269" s="6">
        <v>113</v>
      </c>
      <c r="H269">
        <v>102.7</v>
      </c>
      <c r="I269">
        <v>103.9</v>
      </c>
      <c r="J269">
        <v>340711.8</v>
      </c>
      <c r="K269">
        <v>3.2</v>
      </c>
      <c r="L269">
        <v>146.36000000000001</v>
      </c>
      <c r="O269">
        <v>-9.9935253474932005E-3</v>
      </c>
      <c r="P269">
        <v>-19.3</v>
      </c>
      <c r="Q269" t="str">
        <f t="shared" si="4"/>
        <v>2022-Q2</v>
      </c>
    </row>
    <row r="270" spans="1:17" x14ac:dyDescent="0.4">
      <c r="A270" s="4">
        <v>44682</v>
      </c>
      <c r="B270" s="6" t="e">
        <v>#N/A</v>
      </c>
      <c r="C270" t="e">
        <v>#N/A</v>
      </c>
      <c r="D270" t="e">
        <v>#N/A</v>
      </c>
      <c r="F270">
        <v>100.3</v>
      </c>
      <c r="G270" s="7">
        <v>115.8</v>
      </c>
      <c r="H270">
        <v>104.7</v>
      </c>
      <c r="I270">
        <v>104.1</v>
      </c>
      <c r="J270" t="e">
        <v>#N/A</v>
      </c>
      <c r="K270">
        <v>3.5</v>
      </c>
      <c r="L270">
        <v>149.16999999999999</v>
      </c>
      <c r="O270">
        <v>-8.8171172449726498E-2</v>
      </c>
      <c r="P270">
        <v>-18.899999999999999</v>
      </c>
      <c r="Q270" t="str">
        <f t="shared" si="4"/>
        <v/>
      </c>
    </row>
    <row r="271" spans="1:17" x14ac:dyDescent="0.4">
      <c r="A271" s="4">
        <v>44713</v>
      </c>
      <c r="B271" s="6" t="e">
        <v>#N/A</v>
      </c>
      <c r="C271" t="e">
        <v>#N/A</v>
      </c>
      <c r="D271" t="e">
        <v>#N/A</v>
      </c>
      <c r="F271">
        <v>101.1</v>
      </c>
      <c r="G271" s="7">
        <v>117.4</v>
      </c>
      <c r="H271">
        <v>103.4</v>
      </c>
      <c r="I271">
        <v>103.7</v>
      </c>
      <c r="J271" t="e">
        <v>#N/A</v>
      </c>
      <c r="K271">
        <v>3.7</v>
      </c>
      <c r="L271">
        <v>156.66999999999999</v>
      </c>
      <c r="O271">
        <v>8.5028128360670904E-2</v>
      </c>
      <c r="P271">
        <v>-21.2</v>
      </c>
      <c r="Q271" t="str">
        <f t="shared" si="4"/>
        <v/>
      </c>
    </row>
    <row r="272" spans="1:17" x14ac:dyDescent="0.4">
      <c r="A272" s="4">
        <v>44743</v>
      </c>
      <c r="B272" s="6">
        <v>359275.3</v>
      </c>
      <c r="C272">
        <v>337593.5</v>
      </c>
      <c r="D272">
        <v>108.6</v>
      </c>
      <c r="F272">
        <v>99.5</v>
      </c>
      <c r="G272" s="7">
        <v>115.5</v>
      </c>
      <c r="H272">
        <v>102.9</v>
      </c>
      <c r="I272">
        <v>101.7</v>
      </c>
      <c r="J272">
        <v>348384.8</v>
      </c>
      <c r="K272">
        <v>4.4000000000000004</v>
      </c>
      <c r="L272">
        <v>154.28</v>
      </c>
      <c r="O272">
        <v>-5.1452446850566602E-2</v>
      </c>
      <c r="P272">
        <v>-21.8</v>
      </c>
      <c r="Q272" t="str">
        <f t="shared" si="4"/>
        <v>2022-Q3</v>
      </c>
    </row>
    <row r="273" spans="1:17" x14ac:dyDescent="0.4">
      <c r="A273" s="4">
        <v>44774</v>
      </c>
      <c r="B273" s="6" t="e">
        <v>#N/A</v>
      </c>
      <c r="C273" t="e">
        <v>#N/A</v>
      </c>
      <c r="D273" t="e">
        <v>#N/A</v>
      </c>
      <c r="F273">
        <v>102.1</v>
      </c>
      <c r="G273" s="7">
        <v>117.9</v>
      </c>
      <c r="H273">
        <v>101.3</v>
      </c>
      <c r="I273">
        <v>103.1</v>
      </c>
      <c r="J273" t="e">
        <v>#N/A</v>
      </c>
      <c r="K273">
        <v>4.8</v>
      </c>
      <c r="L273">
        <v>148.57</v>
      </c>
      <c r="O273">
        <v>-6.10514836768523E-2</v>
      </c>
      <c r="P273">
        <v>-18.8</v>
      </c>
      <c r="Q273" t="str">
        <f t="shared" si="4"/>
        <v/>
      </c>
    </row>
    <row r="274" spans="1:17" x14ac:dyDescent="0.4">
      <c r="A274" s="4">
        <v>44805</v>
      </c>
      <c r="B274" s="6" t="e">
        <v>#N/A</v>
      </c>
      <c r="C274" t="e">
        <v>#N/A</v>
      </c>
      <c r="D274" t="e">
        <v>#N/A</v>
      </c>
      <c r="F274">
        <v>101.9</v>
      </c>
      <c r="G274" s="7">
        <v>119.4</v>
      </c>
      <c r="H274">
        <v>96.5</v>
      </c>
      <c r="I274">
        <v>104.4</v>
      </c>
      <c r="J274" t="e">
        <v>#N/A</v>
      </c>
      <c r="K274">
        <v>4.9000000000000004</v>
      </c>
      <c r="L274">
        <v>144.99</v>
      </c>
      <c r="O274">
        <v>8.3917458415294605E-2</v>
      </c>
      <c r="P274">
        <v>-22.3</v>
      </c>
      <c r="Q274" t="str">
        <f t="shared" si="4"/>
        <v/>
      </c>
    </row>
    <row r="275" spans="1:17" x14ac:dyDescent="0.4">
      <c r="A275" s="4">
        <v>44835</v>
      </c>
      <c r="B275" s="6">
        <v>359166.8</v>
      </c>
      <c r="C275">
        <v>365365.5</v>
      </c>
      <c r="D275">
        <v>109.4</v>
      </c>
      <c r="F275">
        <v>99.6</v>
      </c>
      <c r="G275" s="7">
        <v>118.5</v>
      </c>
      <c r="H275">
        <v>96.6</v>
      </c>
      <c r="I275">
        <v>102.5</v>
      </c>
      <c r="J275">
        <v>352922.9</v>
      </c>
      <c r="K275">
        <v>5.6</v>
      </c>
      <c r="L275">
        <v>153.52000000000001</v>
      </c>
      <c r="O275">
        <v>7.2583665753983298E-2</v>
      </c>
      <c r="P275">
        <v>-20.8</v>
      </c>
      <c r="Q275" t="str">
        <f t="shared" si="4"/>
        <v>2022-Q4</v>
      </c>
    </row>
    <row r="276" spans="1:17" x14ac:dyDescent="0.4">
      <c r="A276" s="4">
        <v>44866</v>
      </c>
      <c r="B276" s="6" t="e">
        <v>#N/A</v>
      </c>
      <c r="C276" t="e">
        <v>#N/A</v>
      </c>
      <c r="D276" t="e">
        <v>#N/A</v>
      </c>
      <c r="F276">
        <v>100.9</v>
      </c>
      <c r="G276" s="6">
        <v>121</v>
      </c>
      <c r="H276">
        <v>94.7</v>
      </c>
      <c r="I276">
        <v>102.2</v>
      </c>
      <c r="J276" t="e">
        <v>#N/A</v>
      </c>
      <c r="K276">
        <v>5.7</v>
      </c>
      <c r="L276">
        <v>155</v>
      </c>
      <c r="O276">
        <v>-4.0087692013493402E-2</v>
      </c>
      <c r="P276">
        <v>-18.7</v>
      </c>
      <c r="Q276" t="str">
        <f t="shared" si="4"/>
        <v/>
      </c>
    </row>
    <row r="277" spans="1:17" x14ac:dyDescent="0.4">
      <c r="A277" s="4">
        <v>44896</v>
      </c>
      <c r="B277" s="6" t="e">
        <v>#N/A</v>
      </c>
      <c r="C277" t="e">
        <v>#N/A</v>
      </c>
      <c r="D277" t="e">
        <v>#N/A</v>
      </c>
      <c r="F277">
        <v>101.8</v>
      </c>
      <c r="G277" s="7">
        <v>119.8</v>
      </c>
      <c r="H277">
        <v>94.5</v>
      </c>
      <c r="I277">
        <v>102.3</v>
      </c>
      <c r="J277" t="e">
        <v>#N/A</v>
      </c>
      <c r="K277">
        <v>5.8</v>
      </c>
      <c r="L277">
        <v>149.49</v>
      </c>
      <c r="O277">
        <v>8.9858598930707204E-2</v>
      </c>
      <c r="P277">
        <v>-20.6</v>
      </c>
      <c r="Q277" t="str">
        <f t="shared" si="4"/>
        <v/>
      </c>
    </row>
    <row r="278" spans="1:17" x14ac:dyDescent="0.4">
      <c r="A278" s="4">
        <v>44927</v>
      </c>
      <c r="B278" s="6">
        <v>362570.7</v>
      </c>
      <c r="C278">
        <v>354043.4</v>
      </c>
      <c r="D278">
        <v>110.2</v>
      </c>
      <c r="F278">
        <v>100.3</v>
      </c>
      <c r="G278" s="7">
        <v>120.1</v>
      </c>
      <c r="H278">
        <v>98.5</v>
      </c>
      <c r="I278">
        <v>101.8</v>
      </c>
      <c r="J278">
        <v>361702.9</v>
      </c>
      <c r="K278">
        <v>6</v>
      </c>
      <c r="L278">
        <v>154.97</v>
      </c>
      <c r="O278">
        <v>2.5855897231718199E-2</v>
      </c>
      <c r="P278">
        <v>-20.5</v>
      </c>
      <c r="Q278" t="str">
        <f t="shared" si="4"/>
        <v>2023-Q1</v>
      </c>
    </row>
    <row r="279" spans="1:17" x14ac:dyDescent="0.4">
      <c r="A279" s="4">
        <v>44958</v>
      </c>
      <c r="B279" s="6" t="e">
        <v>#N/A</v>
      </c>
      <c r="C279" t="e">
        <v>#N/A</v>
      </c>
      <c r="D279" t="e">
        <v>#N/A</v>
      </c>
      <c r="F279">
        <v>101.8</v>
      </c>
      <c r="G279" s="7">
        <v>116.9</v>
      </c>
      <c r="H279">
        <v>97.4</v>
      </c>
      <c r="I279">
        <v>102</v>
      </c>
      <c r="J279" t="e">
        <v>#N/A</v>
      </c>
      <c r="K279">
        <v>6.5</v>
      </c>
      <c r="L279">
        <v>157.4</v>
      </c>
      <c r="O279">
        <v>7.4652526732705803E-3</v>
      </c>
      <c r="P279">
        <v>-21.4</v>
      </c>
      <c r="Q279" t="str">
        <f t="shared" si="4"/>
        <v/>
      </c>
    </row>
    <row r="280" spans="1:17" x14ac:dyDescent="0.4">
      <c r="A280" s="4">
        <v>44986</v>
      </c>
      <c r="B280" s="6" t="e">
        <v>#N/A</v>
      </c>
      <c r="C280" t="e">
        <v>#N/A</v>
      </c>
      <c r="D280" t="e">
        <v>#N/A</v>
      </c>
      <c r="F280">
        <v>100.3</v>
      </c>
      <c r="G280" s="7">
        <v>119.1</v>
      </c>
      <c r="H280">
        <v>97.5</v>
      </c>
      <c r="I280">
        <v>101.3</v>
      </c>
      <c r="J280" t="e">
        <v>#N/A</v>
      </c>
      <c r="K280">
        <v>6.9</v>
      </c>
      <c r="L280">
        <v>157.94999999999999</v>
      </c>
      <c r="O280">
        <v>2.2832248414690798E-2</v>
      </c>
      <c r="P280">
        <v>-20.6</v>
      </c>
      <c r="Q280" t="str">
        <f t="shared" si="4"/>
        <v/>
      </c>
    </row>
    <row r="281" spans="1:17" x14ac:dyDescent="0.4">
      <c r="A281" s="4">
        <v>45017</v>
      </c>
      <c r="B281" s="6">
        <v>363071.4</v>
      </c>
      <c r="C281">
        <v>361385.2</v>
      </c>
      <c r="D281">
        <v>110.7</v>
      </c>
      <c r="F281">
        <v>100.8</v>
      </c>
      <c r="G281" s="7">
        <v>115.9</v>
      </c>
      <c r="H281">
        <v>93.4</v>
      </c>
      <c r="I281">
        <v>100.5</v>
      </c>
      <c r="J281">
        <v>367894.2</v>
      </c>
      <c r="K281">
        <v>6.9</v>
      </c>
      <c r="L281">
        <v>156.76</v>
      </c>
      <c r="O281">
        <v>-5.3857348296094898E-2</v>
      </c>
      <c r="P281">
        <v>-19</v>
      </c>
      <c r="Q281" t="str">
        <f t="shared" si="4"/>
        <v>2023-Q2</v>
      </c>
    </row>
    <row r="282" spans="1:17" x14ac:dyDescent="0.4">
      <c r="A282" s="4">
        <v>45047</v>
      </c>
      <c r="B282" s="6" t="e">
        <v>#N/A</v>
      </c>
      <c r="C282" t="e">
        <v>#N/A</v>
      </c>
      <c r="D282" t="e">
        <v>#N/A</v>
      </c>
      <c r="F282">
        <v>103.2</v>
      </c>
      <c r="G282" s="7">
        <v>123.6</v>
      </c>
      <c r="H282">
        <v>96.3</v>
      </c>
      <c r="I282">
        <v>101.2</v>
      </c>
      <c r="J282" t="e">
        <v>#N/A</v>
      </c>
      <c r="K282">
        <v>6.5</v>
      </c>
      <c r="L282">
        <v>152.28</v>
      </c>
      <c r="O282">
        <v>4.1576419998405001E-2</v>
      </c>
      <c r="P282">
        <v>-17.100000000000001</v>
      </c>
      <c r="Q282" t="str">
        <f t="shared" si="4"/>
        <v/>
      </c>
    </row>
    <row r="283" spans="1:17" x14ac:dyDescent="0.4">
      <c r="A283" s="4">
        <v>45078</v>
      </c>
      <c r="B283" s="6" t="e">
        <v>#N/A</v>
      </c>
      <c r="C283" t="e">
        <v>#N/A</v>
      </c>
      <c r="D283" t="e">
        <v>#N/A</v>
      </c>
      <c r="F283">
        <v>101.8</v>
      </c>
      <c r="G283" s="7">
        <v>118.7</v>
      </c>
      <c r="H283">
        <v>97.6</v>
      </c>
      <c r="I283">
        <v>102</v>
      </c>
      <c r="J283" t="e">
        <v>#N/A</v>
      </c>
      <c r="K283">
        <v>6.4</v>
      </c>
      <c r="L283">
        <v>152.33000000000001</v>
      </c>
      <c r="O283">
        <v>1.3118831867929601E-2</v>
      </c>
      <c r="P283">
        <v>-14.8</v>
      </c>
      <c r="Q283" t="str">
        <f t="shared" si="4"/>
        <v/>
      </c>
    </row>
    <row r="284" spans="1:17" x14ac:dyDescent="0.4">
      <c r="A284" s="4">
        <v>45108</v>
      </c>
      <c r="B284" s="6">
        <v>362530.2</v>
      </c>
      <c r="C284">
        <v>352488.2</v>
      </c>
      <c r="D284">
        <v>110.9</v>
      </c>
      <c r="F284">
        <v>101.5</v>
      </c>
      <c r="G284" s="7">
        <v>120.9</v>
      </c>
      <c r="H284">
        <v>95.1</v>
      </c>
      <c r="I284">
        <v>102.7</v>
      </c>
      <c r="J284">
        <v>374364.6</v>
      </c>
      <c r="K284">
        <v>6.1</v>
      </c>
      <c r="L284">
        <v>149.26</v>
      </c>
      <c r="O284">
        <v>-2.44475147258836E-2</v>
      </c>
      <c r="P284">
        <v>-14.1</v>
      </c>
      <c r="Q284" t="str">
        <f t="shared" si="4"/>
        <v>2023-Q3</v>
      </c>
    </row>
    <row r="285" spans="1:17" x14ac:dyDescent="0.4">
      <c r="A285" s="4">
        <v>45139</v>
      </c>
      <c r="B285" s="6" t="e">
        <v>#N/A</v>
      </c>
      <c r="C285" t="e">
        <v>#N/A</v>
      </c>
      <c r="D285" t="e">
        <v>#N/A</v>
      </c>
      <c r="F285">
        <v>101.8</v>
      </c>
      <c r="G285" s="7">
        <v>118.9</v>
      </c>
      <c r="H285">
        <v>93.8</v>
      </c>
      <c r="I285">
        <v>100.7</v>
      </c>
      <c r="J285" t="e">
        <v>#N/A</v>
      </c>
      <c r="K285">
        <v>5.6</v>
      </c>
      <c r="L285">
        <v>158.84</v>
      </c>
      <c r="O285">
        <v>-2.51387649897108E-2</v>
      </c>
      <c r="P285">
        <v>-14.8</v>
      </c>
      <c r="Q285" t="str">
        <f t="shared" si="4"/>
        <v/>
      </c>
    </row>
    <row r="286" spans="1:17" x14ac:dyDescent="0.4">
      <c r="A286" s="4">
        <v>45170</v>
      </c>
      <c r="B286" s="6" t="e">
        <v>#N/A</v>
      </c>
      <c r="C286" t="e">
        <v>#N/A</v>
      </c>
      <c r="D286" t="e">
        <v>#N/A</v>
      </c>
      <c r="F286">
        <v>101.5</v>
      </c>
      <c r="G286" s="7">
        <v>119.3</v>
      </c>
      <c r="H286">
        <v>96.6</v>
      </c>
      <c r="I286">
        <v>101.4</v>
      </c>
      <c r="J286" t="e">
        <v>#N/A</v>
      </c>
      <c r="K286">
        <v>5</v>
      </c>
      <c r="L286">
        <v>161.94</v>
      </c>
      <c r="O286">
        <v>-3.5581146680208099E-2</v>
      </c>
      <c r="P286">
        <v>-15.8</v>
      </c>
      <c r="Q286" t="str">
        <f t="shared" si="4"/>
        <v/>
      </c>
    </row>
    <row r="287" spans="1:17" x14ac:dyDescent="0.4">
      <c r="A287" s="4">
        <v>45200</v>
      </c>
      <c r="B287" s="6">
        <v>367952.7</v>
      </c>
      <c r="C287">
        <v>381015.8</v>
      </c>
      <c r="D287">
        <v>111.3</v>
      </c>
      <c r="F287">
        <v>101.6</v>
      </c>
      <c r="G287" s="7">
        <v>120.3</v>
      </c>
      <c r="H287">
        <v>94</v>
      </c>
      <c r="I287">
        <v>101.6</v>
      </c>
      <c r="J287">
        <v>376471.1</v>
      </c>
      <c r="K287">
        <v>4.5</v>
      </c>
      <c r="L287">
        <v>161.1</v>
      </c>
      <c r="O287">
        <v>5.9909084367721001E-2</v>
      </c>
      <c r="P287">
        <v>-16.7</v>
      </c>
      <c r="Q287" t="str">
        <f t="shared" si="4"/>
        <v>2023-Q4</v>
      </c>
    </row>
    <row r="288" spans="1:17" x14ac:dyDescent="0.4">
      <c r="A288" s="4">
        <v>45231</v>
      </c>
      <c r="B288" s="6" t="e">
        <v>#N/A</v>
      </c>
      <c r="C288" t="e">
        <v>#N/A</v>
      </c>
      <c r="D288" t="e">
        <v>#N/A</v>
      </c>
      <c r="F288">
        <v>101.9</v>
      </c>
      <c r="G288" s="7">
        <v>118.2</v>
      </c>
      <c r="H288">
        <v>96</v>
      </c>
      <c r="I288">
        <v>102.7</v>
      </c>
      <c r="J288" t="e">
        <v>#N/A</v>
      </c>
      <c r="K288">
        <v>4</v>
      </c>
      <c r="L288">
        <v>159.51</v>
      </c>
      <c r="O288">
        <v>3.12952610312962E-2</v>
      </c>
      <c r="P288">
        <v>-13.5</v>
      </c>
      <c r="Q288" t="str">
        <f t="shared" si="4"/>
        <v/>
      </c>
    </row>
    <row r="289" spans="1:17" x14ac:dyDescent="0.4">
      <c r="A289" s="4">
        <v>45261</v>
      </c>
      <c r="B289" s="6" t="e">
        <v>#N/A</v>
      </c>
      <c r="C289" t="e">
        <v>#N/A</v>
      </c>
      <c r="D289" t="e">
        <v>#N/A</v>
      </c>
      <c r="F289">
        <v>102.3</v>
      </c>
      <c r="G289" s="7">
        <v>119.3</v>
      </c>
      <c r="H289">
        <v>95.6</v>
      </c>
      <c r="I289">
        <v>102.2</v>
      </c>
      <c r="J289" t="e">
        <v>#N/A</v>
      </c>
      <c r="K289">
        <v>3.9</v>
      </c>
      <c r="L289">
        <v>157.76</v>
      </c>
      <c r="O289">
        <v>1.4943744660580899E-2</v>
      </c>
      <c r="P289">
        <v>-13.4</v>
      </c>
      <c r="Q289" t="str">
        <f t="shared" si="4"/>
        <v/>
      </c>
    </row>
    <row r="290" spans="1:17" x14ac:dyDescent="0.4">
      <c r="A290" s="4">
        <v>45292</v>
      </c>
      <c r="B290" s="6">
        <v>371632</v>
      </c>
      <c r="C290">
        <v>368732.4</v>
      </c>
      <c r="D290">
        <v>111.4</v>
      </c>
      <c r="F290">
        <v>101.6</v>
      </c>
      <c r="G290" s="6">
        <v>117</v>
      </c>
      <c r="H290">
        <v>98</v>
      </c>
      <c r="I290">
        <v>102.6</v>
      </c>
      <c r="J290">
        <v>380392.9</v>
      </c>
      <c r="K290">
        <v>3.6</v>
      </c>
      <c r="L290">
        <v>157.99</v>
      </c>
      <c r="O290">
        <v>3.4741307808008798E-2</v>
      </c>
      <c r="P290">
        <v>-11.6</v>
      </c>
      <c r="Q290" t="str">
        <f t="shared" si="4"/>
        <v>2024-Q1</v>
      </c>
    </row>
    <row r="291" spans="1:17" x14ac:dyDescent="0.4">
      <c r="A291" s="4">
        <v>45323</v>
      </c>
      <c r="B291" s="6" t="e">
        <v>#N/A</v>
      </c>
      <c r="C291" t="e">
        <v>#N/A</v>
      </c>
      <c r="D291" t="e">
        <v>#N/A</v>
      </c>
      <c r="F291">
        <v>102</v>
      </c>
      <c r="G291" s="7">
        <v>119.8</v>
      </c>
      <c r="H291">
        <v>97.5</v>
      </c>
      <c r="I291">
        <v>103.6</v>
      </c>
      <c r="J291" t="e">
        <v>#N/A</v>
      </c>
      <c r="K291">
        <v>3.1</v>
      </c>
      <c r="L291">
        <v>164.27</v>
      </c>
      <c r="O291">
        <v>3.4513468055111601E-2</v>
      </c>
      <c r="P291">
        <v>-14.6</v>
      </c>
      <c r="Q291" t="str">
        <f t="shared" si="4"/>
        <v/>
      </c>
    </row>
    <row r="292" spans="1:17" x14ac:dyDescent="0.4">
      <c r="A292" s="4">
        <v>45352</v>
      </c>
      <c r="B292" s="6" t="e">
        <v>#N/A</v>
      </c>
      <c r="C292" t="e">
        <v>#N/A</v>
      </c>
      <c r="D292" t="e">
        <v>#N/A</v>
      </c>
      <c r="F292">
        <v>101.6</v>
      </c>
      <c r="G292" s="7">
        <v>118.3</v>
      </c>
      <c r="H292">
        <v>101.1</v>
      </c>
      <c r="I292">
        <v>102.8</v>
      </c>
      <c r="J292" t="e">
        <v>#N/A</v>
      </c>
      <c r="K292">
        <v>2.2999999999999998</v>
      </c>
      <c r="L292">
        <v>163.05000000000001</v>
      </c>
      <c r="O292">
        <v>-2.7286350392611101E-2</v>
      </c>
      <c r="P292">
        <v>-13.4</v>
      </c>
      <c r="Q292" t="str">
        <f t="shared" si="4"/>
        <v/>
      </c>
    </row>
    <row r="293" spans="1:17" x14ac:dyDescent="0.4">
      <c r="A293" s="4">
        <v>45383</v>
      </c>
      <c r="B293" s="6">
        <v>375539.6</v>
      </c>
      <c r="C293">
        <v>376771.8</v>
      </c>
      <c r="D293">
        <v>111.6</v>
      </c>
      <c r="F293">
        <v>102.6</v>
      </c>
      <c r="G293" s="7">
        <v>120.3</v>
      </c>
      <c r="H293">
        <v>95.5</v>
      </c>
      <c r="I293">
        <v>103</v>
      </c>
      <c r="J293">
        <v>379662.4</v>
      </c>
      <c r="K293">
        <v>2.2000000000000002</v>
      </c>
      <c r="L293">
        <v>162.56</v>
      </c>
      <c r="O293">
        <v>9.9387173631271296E-4</v>
      </c>
      <c r="P293">
        <v>-15.6</v>
      </c>
      <c r="Q293" t="str">
        <f t="shared" si="4"/>
        <v>2024-Q2</v>
      </c>
    </row>
    <row r="294" spans="1:17" x14ac:dyDescent="0.4">
      <c r="A294" s="4">
        <v>45413</v>
      </c>
      <c r="B294" s="6" t="e">
        <v>#N/A</v>
      </c>
      <c r="C294" t="e">
        <v>#N/A</v>
      </c>
      <c r="D294" t="e">
        <v>#N/A</v>
      </c>
      <c r="F294">
        <v>101</v>
      </c>
      <c r="G294" s="7">
        <v>116.9</v>
      </c>
      <c r="H294">
        <v>98.8</v>
      </c>
      <c r="I294">
        <v>103</v>
      </c>
      <c r="J294" t="e">
        <v>#N/A</v>
      </c>
      <c r="K294">
        <v>2.2999999999999998</v>
      </c>
      <c r="L294">
        <v>160.59</v>
      </c>
      <c r="O294">
        <v>-6.6397347133280604E-2</v>
      </c>
      <c r="P294">
        <v>-13.7</v>
      </c>
      <c r="Q294" t="str">
        <f t="shared" si="4"/>
        <v/>
      </c>
    </row>
    <row r="295" spans="1:17" x14ac:dyDescent="0.4">
      <c r="A295" s="4">
        <v>45444</v>
      </c>
      <c r="B295" s="6" t="e">
        <v>#N/A</v>
      </c>
      <c r="C295" t="e">
        <v>#N/A</v>
      </c>
      <c r="D295" t="e">
        <v>#N/A</v>
      </c>
      <c r="F295">
        <v>101.3</v>
      </c>
      <c r="G295" s="7">
        <v>119.1</v>
      </c>
      <c r="H295">
        <v>98</v>
      </c>
      <c r="I295">
        <v>102.3</v>
      </c>
      <c r="J295" t="e">
        <v>#N/A</v>
      </c>
      <c r="K295">
        <v>2.2999999999999998</v>
      </c>
      <c r="L295">
        <v>159.31</v>
      </c>
      <c r="O295">
        <v>6.9403667137972703E-3</v>
      </c>
      <c r="P295">
        <v>-14.4</v>
      </c>
      <c r="Q295" t="str">
        <f t="shared" si="4"/>
        <v/>
      </c>
    </row>
    <row r="296" spans="1:17" x14ac:dyDescent="0.4">
      <c r="A296" s="4">
        <v>45474</v>
      </c>
      <c r="B296" s="6">
        <v>375808.4</v>
      </c>
      <c r="C296">
        <v>365708.9</v>
      </c>
      <c r="D296">
        <v>111.7</v>
      </c>
      <c r="F296">
        <v>101.1</v>
      </c>
      <c r="G296" s="7">
        <v>118.4</v>
      </c>
      <c r="H296">
        <v>95.1</v>
      </c>
      <c r="I296">
        <v>103</v>
      </c>
      <c r="J296">
        <v>384525.2</v>
      </c>
      <c r="K296">
        <v>2.1</v>
      </c>
      <c r="L296">
        <v>161.47</v>
      </c>
      <c r="O296">
        <v>1.3119443137172801E-2</v>
      </c>
      <c r="P296">
        <v>-15.3</v>
      </c>
      <c r="Q296" t="str">
        <f t="shared" si="4"/>
        <v>2024-Q3</v>
      </c>
    </row>
    <row r="297" spans="1:17" x14ac:dyDescent="0.4">
      <c r="A297" s="4">
        <v>45505</v>
      </c>
      <c r="B297" s="6" t="e">
        <v>#N/A</v>
      </c>
      <c r="C297" t="e">
        <v>#N/A</v>
      </c>
      <c r="D297" t="e">
        <v>#N/A</v>
      </c>
      <c r="F297">
        <v>101.8</v>
      </c>
      <c r="G297" s="7">
        <v>120.4</v>
      </c>
      <c r="H297">
        <v>99.1</v>
      </c>
      <c r="I297">
        <v>105.5</v>
      </c>
      <c r="J297" t="e">
        <v>#N/A</v>
      </c>
      <c r="K297">
        <v>2.4</v>
      </c>
      <c r="L297">
        <v>159.51</v>
      </c>
      <c r="O297">
        <v>6.2879401366799904E-4</v>
      </c>
      <c r="P297">
        <v>-12.9</v>
      </c>
      <c r="Q297" t="str">
        <f t="shared" si="4"/>
        <v/>
      </c>
    </row>
    <row r="298" spans="1:17" x14ac:dyDescent="0.4">
      <c r="A298" s="4">
        <v>45536</v>
      </c>
      <c r="B298" s="6" t="e">
        <v>#N/A</v>
      </c>
      <c r="C298" t="e">
        <v>#N/A</v>
      </c>
      <c r="D298" t="e">
        <v>#N/A</v>
      </c>
      <c r="F298">
        <v>101.4</v>
      </c>
      <c r="G298" s="7">
        <v>117.4</v>
      </c>
      <c r="H298">
        <v>98</v>
      </c>
      <c r="I298">
        <v>104.9</v>
      </c>
      <c r="J298" t="e">
        <v>#N/A</v>
      </c>
      <c r="K298">
        <v>2</v>
      </c>
      <c r="L298">
        <v>156.66</v>
      </c>
      <c r="O298">
        <v>-3.80904976364249E-2</v>
      </c>
      <c r="P298">
        <v>-11.5</v>
      </c>
      <c r="Q298" t="str">
        <f t="shared" si="4"/>
        <v/>
      </c>
    </row>
    <row r="299" spans="1:17" x14ac:dyDescent="0.4">
      <c r="A299" s="4">
        <v>45566</v>
      </c>
      <c r="B299" s="6">
        <v>379271.4</v>
      </c>
      <c r="C299">
        <v>392329</v>
      </c>
      <c r="D299">
        <v>111.6</v>
      </c>
      <c r="F299">
        <v>101.3</v>
      </c>
      <c r="G299" s="7">
        <v>116.4</v>
      </c>
      <c r="H299">
        <v>93.7</v>
      </c>
      <c r="I299">
        <v>104.6</v>
      </c>
      <c r="J299">
        <v>382939.4</v>
      </c>
      <c r="K299">
        <v>2</v>
      </c>
      <c r="L299">
        <v>158</v>
      </c>
      <c r="O299">
        <v>-1.5805123095475399E-2</v>
      </c>
      <c r="P299">
        <v>-12.8</v>
      </c>
      <c r="Q299" t="str">
        <f t="shared" si="4"/>
        <v>2024-Q4</v>
      </c>
    </row>
    <row r="300" spans="1:17" x14ac:dyDescent="0.4">
      <c r="A300" s="4">
        <v>45597</v>
      </c>
      <c r="B300" s="6" t="e">
        <v>#N/A</v>
      </c>
      <c r="C300" t="e">
        <v>#N/A</v>
      </c>
      <c r="D300" t="e">
        <v>#N/A</v>
      </c>
      <c r="F300">
        <v>101.1</v>
      </c>
      <c r="G300" s="7">
        <v>119.7</v>
      </c>
      <c r="H300">
        <v>96.3</v>
      </c>
      <c r="I300">
        <v>104.8</v>
      </c>
      <c r="J300" t="e">
        <v>#N/A</v>
      </c>
      <c r="K300">
        <v>1.9</v>
      </c>
      <c r="L300">
        <v>158.35</v>
      </c>
      <c r="O300">
        <v>1.9928391401858599E-2</v>
      </c>
      <c r="P300">
        <v>-15.2</v>
      </c>
      <c r="Q300" t="str">
        <f t="shared" si="4"/>
        <v/>
      </c>
    </row>
    <row r="301" spans="1:17" x14ac:dyDescent="0.4">
      <c r="A301" s="4">
        <v>45627</v>
      </c>
      <c r="B301" s="6" t="e">
        <v>#N/A</v>
      </c>
      <c r="C301" t="e">
        <v>#N/A</v>
      </c>
      <c r="D301" t="e">
        <v>#N/A</v>
      </c>
      <c r="F301">
        <v>100.9</v>
      </c>
      <c r="G301" s="7">
        <v>120.1</v>
      </c>
      <c r="H301">
        <v>92.7</v>
      </c>
      <c r="I301">
        <v>104.4</v>
      </c>
      <c r="J301" t="e">
        <v>#N/A</v>
      </c>
      <c r="K301">
        <v>1.8</v>
      </c>
      <c r="L301">
        <v>159.58000000000001</v>
      </c>
      <c r="O301">
        <v>7.4319365915343397E-2</v>
      </c>
      <c r="P301">
        <v>-17.7</v>
      </c>
      <c r="Q301" t="str">
        <f t="shared" si="4"/>
        <v/>
      </c>
    </row>
    <row r="302" spans="1:17" x14ac:dyDescent="0.4">
      <c r="A302" s="4">
        <v>45658</v>
      </c>
      <c r="B302" s="6">
        <v>384720.6</v>
      </c>
      <c r="C302" t="e">
        <v>#N/A</v>
      </c>
      <c r="D302">
        <v>111.3</v>
      </c>
      <c r="F302">
        <v>100.4</v>
      </c>
      <c r="G302" s="7">
        <v>120.4</v>
      </c>
      <c r="H302">
        <v>95.9</v>
      </c>
      <c r="I302">
        <v>105.2</v>
      </c>
      <c r="J302">
        <v>383783.7</v>
      </c>
      <c r="K302">
        <v>1.8</v>
      </c>
      <c r="L302">
        <v>162.15</v>
      </c>
      <c r="O302">
        <v>2.01055176633229E-2</v>
      </c>
      <c r="P302">
        <v>-14</v>
      </c>
      <c r="Q302" t="str">
        <f t="shared" si="4"/>
        <v>2025-Q1</v>
      </c>
    </row>
    <row r="303" spans="1:17" x14ac:dyDescent="0.4">
      <c r="A303" s="4">
        <v>45689</v>
      </c>
      <c r="B303" s="6" t="e">
        <v>#N/A</v>
      </c>
      <c r="C303" t="e">
        <v>#N/A</v>
      </c>
      <c r="D303" t="e">
        <v>#N/A</v>
      </c>
      <c r="F303">
        <v>101.5</v>
      </c>
      <c r="G303" s="7">
        <v>118.8</v>
      </c>
      <c r="H303">
        <v>98.3</v>
      </c>
      <c r="I303">
        <v>104.9</v>
      </c>
      <c r="J303" t="e">
        <v>#N/A</v>
      </c>
      <c r="K303">
        <v>1.7</v>
      </c>
      <c r="L303">
        <v>154.96</v>
      </c>
      <c r="O303">
        <v>-4.0366826716081099E-2</v>
      </c>
      <c r="P303">
        <v>-13</v>
      </c>
      <c r="Q303" t="str">
        <f t="shared" si="4"/>
        <v/>
      </c>
    </row>
    <row r="304" spans="1:17" x14ac:dyDescent="0.4">
      <c r="A304" s="4">
        <v>45717</v>
      </c>
      <c r="B304" s="6" t="e">
        <v>#N/A</v>
      </c>
      <c r="C304" t="e">
        <v>#N/A</v>
      </c>
      <c r="D304" t="e">
        <v>#N/A</v>
      </c>
      <c r="F304">
        <v>101.8</v>
      </c>
      <c r="G304" s="7">
        <v>120.6</v>
      </c>
      <c r="H304">
        <v>96.3</v>
      </c>
      <c r="I304">
        <v>105.3</v>
      </c>
      <c r="J304" t="e">
        <v>#N/A</v>
      </c>
      <c r="K304">
        <v>1.7</v>
      </c>
      <c r="L304">
        <v>152.77000000000001</v>
      </c>
      <c r="O304">
        <v>-2.55906348888661E-2</v>
      </c>
      <c r="P304">
        <v>-14.8</v>
      </c>
      <c r="Q304" t="str">
        <f t="shared" si="4"/>
        <v/>
      </c>
    </row>
    <row r="305" spans="1:17" x14ac:dyDescent="0.4">
      <c r="A305" s="4">
        <v>45748</v>
      </c>
      <c r="B305" s="6">
        <v>386870.6</v>
      </c>
      <c r="C305" t="e">
        <v>#N/A</v>
      </c>
      <c r="D305">
        <v>111.2</v>
      </c>
      <c r="F305">
        <v>100.4</v>
      </c>
      <c r="G305" s="7">
        <v>119.8</v>
      </c>
      <c r="H305">
        <v>96.7</v>
      </c>
      <c r="I305">
        <v>105.9</v>
      </c>
      <c r="J305">
        <v>383749.2</v>
      </c>
      <c r="K305">
        <v>1.8</v>
      </c>
      <c r="L305">
        <v>150.46</v>
      </c>
      <c r="O305">
        <v>2.0595343921179701E-2</v>
      </c>
      <c r="P305">
        <v>-16.600000000000001</v>
      </c>
      <c r="Q305" t="str">
        <f t="shared" si="4"/>
        <v>2025-Q2</v>
      </c>
    </row>
    <row r="306" spans="1:17" x14ac:dyDescent="0.4">
      <c r="A306" s="4">
        <v>45778</v>
      </c>
      <c r="B306" s="6" t="e">
        <v>#N/A</v>
      </c>
      <c r="C306" t="e">
        <v>#N/A</v>
      </c>
      <c r="D306" t="e">
        <v>#N/A</v>
      </c>
      <c r="F306">
        <v>99.8</v>
      </c>
      <c r="G306" s="7">
        <v>117.3</v>
      </c>
      <c r="H306">
        <v>93.2</v>
      </c>
      <c r="I306">
        <v>106.2</v>
      </c>
      <c r="J306" t="e">
        <v>#N/A</v>
      </c>
      <c r="K306">
        <v>1.4</v>
      </c>
      <c r="L306">
        <v>148.31</v>
      </c>
      <c r="O306">
        <v>-1.11534551175581E-2</v>
      </c>
      <c r="P306">
        <v>-17.600000000000001</v>
      </c>
      <c r="Q306" t="str">
        <f t="shared" si="4"/>
        <v/>
      </c>
    </row>
    <row r="307" spans="1:17" x14ac:dyDescent="0.4">
      <c r="A307" s="4">
        <v>45809</v>
      </c>
      <c r="B307" s="6" t="e">
        <v>#N/A</v>
      </c>
      <c r="C307" t="e">
        <v>#N/A</v>
      </c>
      <c r="D307" t="e">
        <v>#N/A</v>
      </c>
      <c r="F307">
        <v>103</v>
      </c>
      <c r="G307" s="7">
        <v>119.5</v>
      </c>
      <c r="H307">
        <v>90.1</v>
      </c>
      <c r="I307">
        <v>106</v>
      </c>
      <c r="J307" t="e">
        <v>#N/A</v>
      </c>
      <c r="K307">
        <v>1.6</v>
      </c>
      <c r="L307">
        <v>149.02000000000001</v>
      </c>
      <c r="O307">
        <v>1.37404520202828E-2</v>
      </c>
      <c r="P307">
        <v>-17.5</v>
      </c>
      <c r="Q307" t="str">
        <f t="shared" si="4"/>
        <v/>
      </c>
    </row>
    <row r="308" spans="1:17" x14ac:dyDescent="0.4">
      <c r="A308" s="4">
        <v>45839</v>
      </c>
      <c r="B308" s="6">
        <v>389615.7</v>
      </c>
      <c r="C308" t="e">
        <v>#N/A</v>
      </c>
      <c r="D308">
        <v>111.4</v>
      </c>
      <c r="F308">
        <v>102.9</v>
      </c>
      <c r="G308" s="7">
        <v>119.3</v>
      </c>
      <c r="H308">
        <v>92.3</v>
      </c>
      <c r="I308">
        <v>106.4</v>
      </c>
      <c r="J308">
        <v>385888.3</v>
      </c>
      <c r="K308">
        <v>1.8</v>
      </c>
      <c r="L308">
        <v>150.22999999999999</v>
      </c>
      <c r="O308">
        <v>-8.7970176754783597E-3</v>
      </c>
      <c r="P308">
        <v>-16.8</v>
      </c>
      <c r="Q308" t="str">
        <f t="shared" si="4"/>
        <v>2025-Q3</v>
      </c>
    </row>
    <row r="309" spans="1:17" x14ac:dyDescent="0.4">
      <c r="A309" s="4">
        <v>45870</v>
      </c>
      <c r="B309" s="6" t="e">
        <v>#N/A</v>
      </c>
      <c r="C309" t="e">
        <v>#N/A</v>
      </c>
      <c r="D309" t="e">
        <v>#N/A</v>
      </c>
      <c r="F309">
        <v>101.9</v>
      </c>
      <c r="G309" s="7">
        <v>120.2</v>
      </c>
      <c r="H309">
        <v>92.8</v>
      </c>
      <c r="I309">
        <v>106.9</v>
      </c>
      <c r="J309" t="e">
        <v>#N/A</v>
      </c>
      <c r="K309">
        <v>1.5</v>
      </c>
      <c r="L309">
        <v>149.91</v>
      </c>
      <c r="O309">
        <v>2.4622014431990601E-2</v>
      </c>
      <c r="P309">
        <v>-18.5</v>
      </c>
      <c r="Q309" t="str">
        <f t="shared" si="4"/>
        <v/>
      </c>
    </row>
    <row r="310" spans="1:17" x14ac:dyDescent="0.4">
      <c r="A310" s="4">
        <v>45901</v>
      </c>
      <c r="B310" s="6" t="e">
        <v>#N/A</v>
      </c>
      <c r="C310" t="e">
        <v>#N/A</v>
      </c>
      <c r="D310" t="e">
        <v>#N/A</v>
      </c>
      <c r="F310">
        <v>102.7</v>
      </c>
      <c r="G310" s="6">
        <v>121</v>
      </c>
      <c r="H310">
        <v>92.9</v>
      </c>
      <c r="I310">
        <v>106.8</v>
      </c>
      <c r="J310" t="e">
        <v>#N/A</v>
      </c>
      <c r="K310">
        <v>1.6</v>
      </c>
      <c r="L310">
        <v>149.9</v>
      </c>
      <c r="O310">
        <v>2.8113201348792999E-2</v>
      </c>
      <c r="P310">
        <v>-19.3</v>
      </c>
      <c r="Q310" t="str">
        <f t="shared" si="4"/>
        <v/>
      </c>
    </row>
    <row r="311" spans="1:17" x14ac:dyDescent="0.4">
      <c r="A311" s="4">
        <v>45931</v>
      </c>
      <c r="B311" s="6" t="e">
        <v>#N/A</v>
      </c>
      <c r="C311" t="e">
        <v>#N/A</v>
      </c>
      <c r="D311" t="e">
        <v>#N/A</v>
      </c>
      <c r="F311" s="6" t="e">
        <v>#N/A</v>
      </c>
      <c r="G311" s="7">
        <v>120.6</v>
      </c>
      <c r="H311">
        <v>94.7</v>
      </c>
      <c r="I311">
        <v>106.7</v>
      </c>
      <c r="J311" t="e">
        <v>#N/A</v>
      </c>
      <c r="K311">
        <v>1.5</v>
      </c>
      <c r="L311">
        <v>149.30000000000001</v>
      </c>
      <c r="O311">
        <v>2.01940280652124E-4</v>
      </c>
      <c r="P311">
        <v>-15.5</v>
      </c>
      <c r="Q311" t="str">
        <f t="shared" si="4"/>
        <v>2025-Q4</v>
      </c>
    </row>
    <row r="312" spans="1:17" x14ac:dyDescent="0.4">
      <c r="A312" s="4">
        <v>45962</v>
      </c>
      <c r="B312" s="6" t="e">
        <v>#N/A</v>
      </c>
      <c r="C312" t="e">
        <v>#N/A</v>
      </c>
      <c r="D312" t="e">
        <v>#N/A</v>
      </c>
      <c r="F312" s="6" t="e">
        <v>#N/A</v>
      </c>
      <c r="G312" s="7">
        <v>119.6</v>
      </c>
      <c r="H312">
        <v>95.2</v>
      </c>
      <c r="I312" s="6" t="e">
        <v>#N/A</v>
      </c>
      <c r="J312" t="e">
        <v>#N/A</v>
      </c>
      <c r="K312">
        <v>1.3</v>
      </c>
      <c r="L312">
        <v>151.35</v>
      </c>
      <c r="O312">
        <v>3.2927381507334998E-3</v>
      </c>
      <c r="P312">
        <v>-15.8</v>
      </c>
      <c r="Q312" t="str">
        <f t="shared" si="4"/>
        <v/>
      </c>
    </row>
    <row r="313" spans="1:17" x14ac:dyDescent="0.4">
      <c r="A313" s="4">
        <v>45992</v>
      </c>
      <c r="B313" s="6" t="e">
        <v>#N/A</v>
      </c>
      <c r="C313" t="e">
        <v>#N/A</v>
      </c>
      <c r="D313" t="e">
        <v>#N/A</v>
      </c>
      <c r="F313" s="6" t="e">
        <v>#N/A</v>
      </c>
      <c r="G313" s="8" t="e">
        <v>#N/A</v>
      </c>
      <c r="H313">
        <v>94.3</v>
      </c>
      <c r="I313" s="6" t="e">
        <v>#N/A</v>
      </c>
      <c r="J313" t="e">
        <v>#N/A</v>
      </c>
      <c r="K313">
        <v>1.4</v>
      </c>
      <c r="L313">
        <v>148.94999999999999</v>
      </c>
      <c r="O313">
        <v>1.14647629338211E-2</v>
      </c>
      <c r="P313">
        <v>-16.2</v>
      </c>
      <c r="Q313" t="str">
        <f t="shared" si="4"/>
        <v/>
      </c>
    </row>
    <row r="314" spans="1:17" x14ac:dyDescent="0.4">
      <c r="I314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Q313"/>
  <sheetViews>
    <sheetView tabSelected="1" workbookViewId="0">
      <selection activeCell="N3" sqref="N3"/>
    </sheetView>
  </sheetViews>
  <sheetFormatPr baseColWidth="10" defaultRowHeight="16" x14ac:dyDescent="0.4"/>
  <cols>
    <col min="2" max="2" width="11.9140625" customWidth="1"/>
  </cols>
  <sheetData>
    <row r="1" spans="1:17" ht="16.5" thickBot="1" x14ac:dyDescent="0.45">
      <c r="A1" s="1" t="s">
        <v>0</v>
      </c>
      <c r="B1" s="2" t="s">
        <v>16</v>
      </c>
      <c r="C1" s="2" t="s">
        <v>17</v>
      </c>
      <c r="D1" s="2" t="s">
        <v>10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5</v>
      </c>
      <c r="M1" s="2" t="s">
        <v>8</v>
      </c>
      <c r="N1" s="2" t="s">
        <v>3</v>
      </c>
      <c r="O1" s="2" t="s">
        <v>25</v>
      </c>
      <c r="P1" s="2" t="s">
        <v>11</v>
      </c>
      <c r="Q1" s="3" t="s">
        <v>26</v>
      </c>
    </row>
    <row r="2" spans="1:17" x14ac:dyDescent="0.4">
      <c r="A2" s="4">
        <v>36526</v>
      </c>
      <c r="B2" s="5">
        <v>191545.8</v>
      </c>
      <c r="C2">
        <v>5.6681999999999997</v>
      </c>
      <c r="D2">
        <v>0.8</v>
      </c>
      <c r="E2">
        <v>51.9</v>
      </c>
      <c r="F2">
        <v>10.4</v>
      </c>
      <c r="G2" s="8">
        <v>2111</v>
      </c>
      <c r="H2" t="e">
        <v>#N/A</v>
      </c>
      <c r="I2">
        <v>0.3087344765663147</v>
      </c>
      <c r="L2">
        <v>108.8</v>
      </c>
      <c r="M2">
        <v>52.1</v>
      </c>
      <c r="N2">
        <v>95.3</v>
      </c>
      <c r="O2">
        <v>179361.9</v>
      </c>
      <c r="P2">
        <v>63.88</v>
      </c>
      <c r="Q2" s="4" t="e">
        <v>#N/A</v>
      </c>
    </row>
    <row r="3" spans="1:17" x14ac:dyDescent="0.4">
      <c r="A3" s="4">
        <v>36557</v>
      </c>
      <c r="B3" s="5" t="e">
        <v>#N/A</v>
      </c>
      <c r="C3">
        <v>5.6292999999999997</v>
      </c>
      <c r="D3">
        <v>0.4</v>
      </c>
      <c r="E3" t="e">
        <v>#N/A</v>
      </c>
      <c r="F3">
        <v>10.199999999999999</v>
      </c>
      <c r="G3" s="8">
        <v>2082</v>
      </c>
      <c r="H3" t="e">
        <v>#N/A</v>
      </c>
      <c r="I3">
        <v>0.34293344616889954</v>
      </c>
      <c r="L3">
        <v>109</v>
      </c>
      <c r="M3">
        <v>52.7</v>
      </c>
      <c r="N3" t="e">
        <v>#N/A</v>
      </c>
      <c r="O3" t="e">
        <v>#N/A</v>
      </c>
      <c r="P3">
        <v>64.38</v>
      </c>
      <c r="Q3" s="4" t="e">
        <v>#N/A</v>
      </c>
    </row>
    <row r="4" spans="1:17" x14ac:dyDescent="0.4">
      <c r="A4" s="4">
        <v>36586</v>
      </c>
      <c r="B4" s="5" t="e">
        <v>#N/A</v>
      </c>
      <c r="C4">
        <v>5.4490999999999996</v>
      </c>
      <c r="D4">
        <v>0.5</v>
      </c>
      <c r="E4" t="e">
        <v>#N/A</v>
      </c>
      <c r="F4">
        <v>10.1</v>
      </c>
      <c r="G4" s="8">
        <v>2055</v>
      </c>
      <c r="H4" t="e">
        <v>#N/A</v>
      </c>
      <c r="I4">
        <v>0.24635261297225952</v>
      </c>
      <c r="L4">
        <v>109.8</v>
      </c>
      <c r="M4">
        <v>52.7</v>
      </c>
      <c r="N4" t="e">
        <v>#N/A</v>
      </c>
      <c r="O4" t="e">
        <v>#N/A</v>
      </c>
      <c r="P4">
        <v>65.459999999999994</v>
      </c>
      <c r="Q4" s="4" t="e">
        <v>#N/A</v>
      </c>
    </row>
    <row r="5" spans="1:17" x14ac:dyDescent="0.4">
      <c r="A5" s="4">
        <v>36617</v>
      </c>
      <c r="B5" s="5">
        <v>193208.6</v>
      </c>
      <c r="C5">
        <v>5.3529999999999998</v>
      </c>
      <c r="D5">
        <v>0.5</v>
      </c>
      <c r="E5">
        <v>51.9</v>
      </c>
      <c r="F5">
        <v>9.9</v>
      </c>
      <c r="G5" s="8">
        <v>2044</v>
      </c>
      <c r="H5" t="e">
        <v>#N/A</v>
      </c>
      <c r="I5">
        <v>0.21887743473052979</v>
      </c>
      <c r="L5">
        <v>110.5</v>
      </c>
      <c r="M5">
        <v>53.4</v>
      </c>
      <c r="N5">
        <v>95.6</v>
      </c>
      <c r="O5">
        <v>184989.6</v>
      </c>
      <c r="P5">
        <v>64.72</v>
      </c>
      <c r="Q5" s="4" t="e">
        <v>#N/A</v>
      </c>
    </row>
    <row r="6" spans="1:17" x14ac:dyDescent="0.4">
      <c r="A6" s="4">
        <v>36647</v>
      </c>
      <c r="B6" s="5" t="e">
        <v>#N/A</v>
      </c>
      <c r="C6">
        <v>5.5014000000000003</v>
      </c>
      <c r="D6">
        <v>0.5</v>
      </c>
      <c r="E6" t="e">
        <v>#N/A</v>
      </c>
      <c r="F6">
        <v>9.6999999999999993</v>
      </c>
      <c r="G6" s="8">
        <v>2021</v>
      </c>
      <c r="H6" t="e">
        <v>#N/A</v>
      </c>
      <c r="I6">
        <v>0.37791606783866882</v>
      </c>
      <c r="L6">
        <v>111.9</v>
      </c>
      <c r="M6">
        <v>53.6</v>
      </c>
      <c r="N6" t="e">
        <v>#N/A</v>
      </c>
      <c r="O6" t="e">
        <v>#N/A</v>
      </c>
      <c r="P6">
        <v>65.34</v>
      </c>
      <c r="Q6" s="4" t="e">
        <v>#N/A</v>
      </c>
    </row>
    <row r="7" spans="1:17" x14ac:dyDescent="0.4">
      <c r="A7" s="4">
        <v>36678</v>
      </c>
      <c r="B7" s="5" t="e">
        <v>#N/A</v>
      </c>
      <c r="C7">
        <v>5.33</v>
      </c>
      <c r="D7">
        <v>0.6</v>
      </c>
      <c r="E7" t="e">
        <v>#N/A</v>
      </c>
      <c r="F7">
        <v>9.5</v>
      </c>
      <c r="G7" s="8">
        <v>2000</v>
      </c>
      <c r="H7" t="e">
        <v>#N/A</v>
      </c>
      <c r="I7">
        <v>0.21759046614170074</v>
      </c>
      <c r="L7">
        <v>110.4</v>
      </c>
      <c r="M7">
        <v>53.2</v>
      </c>
      <c r="N7" t="e">
        <v>#N/A</v>
      </c>
      <c r="O7" t="e">
        <v>#N/A</v>
      </c>
      <c r="P7">
        <v>66.430000000000007</v>
      </c>
      <c r="Q7" s="4" t="e">
        <v>#N/A</v>
      </c>
    </row>
    <row r="8" spans="1:17" x14ac:dyDescent="0.4">
      <c r="A8" s="4">
        <v>36708</v>
      </c>
      <c r="B8" s="5">
        <v>194723.4</v>
      </c>
      <c r="C8">
        <v>5.4119000000000002</v>
      </c>
      <c r="D8">
        <v>0.8</v>
      </c>
      <c r="E8">
        <v>51.6</v>
      </c>
      <c r="F8">
        <v>9.4</v>
      </c>
      <c r="G8" s="8">
        <v>1981</v>
      </c>
      <c r="H8" t="e">
        <v>#N/A</v>
      </c>
      <c r="I8">
        <v>0.21943481266498566</v>
      </c>
      <c r="L8">
        <v>111.7</v>
      </c>
      <c r="M8">
        <v>54</v>
      </c>
      <c r="N8">
        <v>96.2</v>
      </c>
      <c r="O8">
        <v>184807.6</v>
      </c>
      <c r="P8">
        <v>66.819999999999993</v>
      </c>
      <c r="Q8" s="4" t="e">
        <v>#N/A</v>
      </c>
    </row>
    <row r="9" spans="1:17" x14ac:dyDescent="0.4">
      <c r="A9" s="4">
        <v>36739</v>
      </c>
      <c r="B9" s="5" t="e">
        <v>#N/A</v>
      </c>
      <c r="C9">
        <v>5.3677000000000001</v>
      </c>
      <c r="D9">
        <v>1</v>
      </c>
      <c r="E9" t="e">
        <v>#N/A</v>
      </c>
      <c r="F9">
        <v>9.3000000000000007</v>
      </c>
      <c r="G9" s="8">
        <v>1964</v>
      </c>
      <c r="H9" t="e">
        <v>#N/A</v>
      </c>
      <c r="I9">
        <v>0.22501184046268463</v>
      </c>
      <c r="L9">
        <v>110.6</v>
      </c>
      <c r="M9">
        <v>54.2</v>
      </c>
      <c r="N9" t="e">
        <v>#N/A</v>
      </c>
      <c r="O9" t="e">
        <v>#N/A</v>
      </c>
      <c r="P9">
        <v>66.75</v>
      </c>
      <c r="Q9" s="4" t="e">
        <v>#N/A</v>
      </c>
    </row>
    <row r="10" spans="1:17" x14ac:dyDescent="0.4">
      <c r="A10" s="4">
        <v>36770</v>
      </c>
      <c r="B10" s="5" t="e">
        <v>#N/A</v>
      </c>
      <c r="C10">
        <v>5.4256000000000002</v>
      </c>
      <c r="D10">
        <v>1.1000000000000001</v>
      </c>
      <c r="E10" t="e">
        <v>#N/A</v>
      </c>
      <c r="F10">
        <v>9.1</v>
      </c>
      <c r="G10" s="8">
        <v>1948</v>
      </c>
      <c r="H10" t="e">
        <v>#N/A</v>
      </c>
      <c r="I10">
        <v>0.35803192853927612</v>
      </c>
      <c r="L10">
        <v>111</v>
      </c>
      <c r="M10">
        <v>54.7</v>
      </c>
      <c r="N10" t="e">
        <v>#N/A</v>
      </c>
      <c r="O10" t="e">
        <v>#N/A</v>
      </c>
      <c r="P10">
        <v>69.62</v>
      </c>
      <c r="Q10" s="4" t="s">
        <v>27</v>
      </c>
    </row>
    <row r="11" spans="1:17" x14ac:dyDescent="0.4">
      <c r="A11" s="4">
        <v>36800</v>
      </c>
      <c r="B11" s="5">
        <v>196145.7</v>
      </c>
      <c r="C11">
        <v>5.3589000000000002</v>
      </c>
      <c r="D11">
        <v>1.2</v>
      </c>
      <c r="E11">
        <v>51.7</v>
      </c>
      <c r="F11">
        <v>9</v>
      </c>
      <c r="G11" s="8">
        <v>1937</v>
      </c>
      <c r="H11" t="e">
        <v>#N/A</v>
      </c>
      <c r="I11">
        <v>0.36020678281784058</v>
      </c>
      <c r="L11">
        <v>112.2</v>
      </c>
      <c r="M11">
        <v>55.3</v>
      </c>
      <c r="N11">
        <v>96.7</v>
      </c>
      <c r="O11">
        <v>199495.2</v>
      </c>
      <c r="P11">
        <v>68.12</v>
      </c>
      <c r="Q11" s="4" t="e">
        <v>#N/A</v>
      </c>
    </row>
    <row r="12" spans="1:17" x14ac:dyDescent="0.4">
      <c r="A12" s="4">
        <v>36831</v>
      </c>
      <c r="B12" s="5" t="e">
        <v>#N/A</v>
      </c>
      <c r="C12">
        <v>5.2895000000000003</v>
      </c>
      <c r="D12">
        <v>1.3</v>
      </c>
      <c r="E12" t="e">
        <v>#N/A</v>
      </c>
      <c r="F12">
        <v>8.9</v>
      </c>
      <c r="G12" s="8">
        <v>1924</v>
      </c>
      <c r="H12" t="e">
        <v>#N/A</v>
      </c>
      <c r="I12">
        <v>0.24472315609455109</v>
      </c>
      <c r="L12">
        <v>112.1</v>
      </c>
      <c r="M12">
        <v>56.5</v>
      </c>
      <c r="N12" t="e">
        <v>#N/A</v>
      </c>
      <c r="O12" t="e">
        <v>#N/A</v>
      </c>
      <c r="P12">
        <v>69.05</v>
      </c>
      <c r="Q12" s="4" t="e">
        <v>#N/A</v>
      </c>
    </row>
    <row r="13" spans="1:17" x14ac:dyDescent="0.4">
      <c r="A13" s="4">
        <v>36861</v>
      </c>
      <c r="B13" s="5" t="e">
        <v>#N/A</v>
      </c>
      <c r="C13">
        <v>5.0465999999999998</v>
      </c>
      <c r="D13">
        <v>1.2</v>
      </c>
      <c r="E13" t="e">
        <v>#N/A</v>
      </c>
      <c r="F13">
        <v>8.8000000000000007</v>
      </c>
      <c r="G13" s="8">
        <v>1913</v>
      </c>
      <c r="H13" t="e">
        <v>#N/A</v>
      </c>
      <c r="I13">
        <v>0.16981074213981628</v>
      </c>
      <c r="L13">
        <v>113.2</v>
      </c>
      <c r="M13">
        <v>54.7</v>
      </c>
      <c r="N13" t="e">
        <v>#N/A</v>
      </c>
      <c r="O13" t="e">
        <v>#N/A</v>
      </c>
      <c r="P13">
        <v>67.88</v>
      </c>
      <c r="Q13" s="4" t="e">
        <v>#N/A</v>
      </c>
    </row>
    <row r="14" spans="1:17" x14ac:dyDescent="0.4">
      <c r="A14" s="4">
        <v>36892</v>
      </c>
      <c r="B14" s="5">
        <v>198418.4</v>
      </c>
      <c r="C14">
        <v>4.9486999999999997</v>
      </c>
      <c r="D14">
        <v>1.3</v>
      </c>
      <c r="E14">
        <v>50.7</v>
      </c>
      <c r="F14">
        <v>8.6999999999999993</v>
      </c>
      <c r="G14" s="8">
        <v>1897</v>
      </c>
      <c r="H14" t="e">
        <v>#N/A</v>
      </c>
      <c r="I14">
        <v>0.26049956679344177</v>
      </c>
      <c r="L14">
        <v>112.5</v>
      </c>
      <c r="M14">
        <v>56</v>
      </c>
      <c r="N14">
        <v>96.3</v>
      </c>
      <c r="O14">
        <v>188021.3</v>
      </c>
      <c r="P14">
        <v>64.790000000000006</v>
      </c>
      <c r="Q14" s="4" t="e">
        <v>#N/A</v>
      </c>
    </row>
    <row r="15" spans="1:17" x14ac:dyDescent="0.4">
      <c r="A15" s="4">
        <v>36923</v>
      </c>
      <c r="B15" s="5" t="e">
        <v>#N/A</v>
      </c>
      <c r="C15">
        <v>4.9385000000000003</v>
      </c>
      <c r="D15">
        <v>1.5</v>
      </c>
      <c r="E15" t="e">
        <v>#N/A</v>
      </c>
      <c r="F15">
        <v>8.6999999999999993</v>
      </c>
      <c r="G15" s="8">
        <v>1887</v>
      </c>
      <c r="H15" t="e">
        <v>#N/A</v>
      </c>
      <c r="I15">
        <v>0.36015543341636658</v>
      </c>
      <c r="L15">
        <v>113.2</v>
      </c>
      <c r="M15">
        <v>55.8</v>
      </c>
      <c r="N15" t="e">
        <v>#N/A</v>
      </c>
      <c r="O15" t="e">
        <v>#N/A</v>
      </c>
      <c r="P15">
        <v>65.260000000000005</v>
      </c>
      <c r="Q15" s="4" t="e">
        <v>#N/A</v>
      </c>
    </row>
    <row r="16" spans="1:17" x14ac:dyDescent="0.4">
      <c r="A16" s="4">
        <v>36951</v>
      </c>
      <c r="B16" s="5" t="e">
        <v>#N/A</v>
      </c>
      <c r="C16">
        <v>4.8404999999999996</v>
      </c>
      <c r="D16">
        <v>1.7</v>
      </c>
      <c r="E16" t="e">
        <v>#N/A</v>
      </c>
      <c r="F16">
        <v>8.6999999999999993</v>
      </c>
      <c r="G16" s="8">
        <v>1878</v>
      </c>
      <c r="H16" t="e">
        <v>#N/A</v>
      </c>
      <c r="I16">
        <v>0.28475207090377808</v>
      </c>
      <c r="L16">
        <v>113.8</v>
      </c>
      <c r="M16">
        <v>56</v>
      </c>
      <c r="N16" t="e">
        <v>#N/A</v>
      </c>
      <c r="O16" t="e">
        <v>#N/A</v>
      </c>
      <c r="P16">
        <v>65.06</v>
      </c>
      <c r="Q16" s="4" t="e">
        <v>#N/A</v>
      </c>
    </row>
    <row r="17" spans="1:17" x14ac:dyDescent="0.4">
      <c r="A17" s="4">
        <v>36982</v>
      </c>
      <c r="B17" s="5">
        <v>200237.3</v>
      </c>
      <c r="C17">
        <v>5.0125999999999999</v>
      </c>
      <c r="D17">
        <v>2</v>
      </c>
      <c r="E17">
        <v>51.8</v>
      </c>
      <c r="F17">
        <v>8.6999999999999993</v>
      </c>
      <c r="G17" s="8">
        <v>1863</v>
      </c>
      <c r="H17" t="e">
        <v>#N/A</v>
      </c>
      <c r="I17">
        <v>0.20504780113697052</v>
      </c>
      <c r="L17">
        <v>111.9</v>
      </c>
      <c r="M17">
        <v>57.2</v>
      </c>
      <c r="N17">
        <v>95.9</v>
      </c>
      <c r="O17">
        <v>193983.9</v>
      </c>
      <c r="P17">
        <v>65.72</v>
      </c>
      <c r="Q17" s="4" t="e">
        <v>#N/A</v>
      </c>
    </row>
    <row r="18" spans="1:17" x14ac:dyDescent="0.4">
      <c r="A18" s="4">
        <v>37012</v>
      </c>
      <c r="B18" s="5" t="e">
        <v>#N/A</v>
      </c>
      <c r="C18">
        <v>5.2131999999999996</v>
      </c>
      <c r="D18">
        <v>2.2999999999999998</v>
      </c>
      <c r="E18" t="e">
        <v>#N/A</v>
      </c>
      <c r="F18">
        <v>8.6999999999999993</v>
      </c>
      <c r="G18" s="8">
        <v>1856</v>
      </c>
      <c r="H18" t="e">
        <v>#N/A</v>
      </c>
      <c r="I18">
        <v>0.29328018426895142</v>
      </c>
      <c r="L18">
        <v>112.8</v>
      </c>
      <c r="M18">
        <v>56.6</v>
      </c>
      <c r="N18" t="e">
        <v>#N/A</v>
      </c>
      <c r="O18" t="e">
        <v>#N/A</v>
      </c>
      <c r="P18">
        <v>67.650000000000006</v>
      </c>
      <c r="Q18" s="4" t="e">
        <v>#N/A</v>
      </c>
    </row>
    <row r="19" spans="1:17" x14ac:dyDescent="0.4">
      <c r="A19" s="4">
        <v>37043</v>
      </c>
      <c r="B19" s="5" t="e">
        <v>#N/A</v>
      </c>
      <c r="C19">
        <v>5.1520000000000001</v>
      </c>
      <c r="D19">
        <v>2.2999999999999998</v>
      </c>
      <c r="E19" t="e">
        <v>#N/A</v>
      </c>
      <c r="F19">
        <v>8.8000000000000007</v>
      </c>
      <c r="G19" s="8">
        <v>1850</v>
      </c>
      <c r="H19" t="e">
        <v>#N/A</v>
      </c>
      <c r="I19">
        <v>0.37513399124145508</v>
      </c>
      <c r="L19">
        <v>112.9</v>
      </c>
      <c r="M19">
        <v>57.8</v>
      </c>
      <c r="N19" t="e">
        <v>#N/A</v>
      </c>
      <c r="O19" t="e">
        <v>#N/A</v>
      </c>
      <c r="P19">
        <v>67.59</v>
      </c>
      <c r="Q19" s="4" t="e">
        <v>#N/A</v>
      </c>
    </row>
    <row r="20" spans="1:17" x14ac:dyDescent="0.4">
      <c r="A20" s="4">
        <v>37073</v>
      </c>
      <c r="B20" s="5">
        <v>203613.2</v>
      </c>
      <c r="C20">
        <v>5.1494999999999997</v>
      </c>
      <c r="D20">
        <v>2.5</v>
      </c>
      <c r="E20">
        <v>51.9</v>
      </c>
      <c r="F20">
        <v>8.8000000000000007</v>
      </c>
      <c r="G20" s="8">
        <v>1830</v>
      </c>
      <c r="H20" t="e">
        <v>#N/A</v>
      </c>
      <c r="I20">
        <v>0.29170981049537659</v>
      </c>
      <c r="L20">
        <v>111.2</v>
      </c>
      <c r="M20">
        <v>56.9</v>
      </c>
      <c r="N20">
        <v>95.5</v>
      </c>
      <c r="O20">
        <v>192649.1</v>
      </c>
      <c r="P20">
        <v>66.36</v>
      </c>
      <c r="Q20" s="4" t="e">
        <v>#N/A</v>
      </c>
    </row>
    <row r="21" spans="1:17" x14ac:dyDescent="0.4">
      <c r="A21" s="4">
        <v>37104</v>
      </c>
      <c r="B21" s="5" t="e">
        <v>#N/A</v>
      </c>
      <c r="C21">
        <v>4.9542999999999999</v>
      </c>
      <c r="D21">
        <v>2.4</v>
      </c>
      <c r="E21" t="e">
        <v>#N/A</v>
      </c>
      <c r="F21">
        <v>8.8000000000000007</v>
      </c>
      <c r="G21" s="8">
        <v>1828</v>
      </c>
      <c r="H21" t="e">
        <v>#N/A</v>
      </c>
      <c r="I21">
        <v>0.23996509611606598</v>
      </c>
      <c r="L21">
        <v>114.1</v>
      </c>
      <c r="M21">
        <v>56.8</v>
      </c>
      <c r="N21" t="e">
        <v>#N/A</v>
      </c>
      <c r="O21" t="e">
        <v>#N/A</v>
      </c>
      <c r="P21">
        <v>65.459999999999994</v>
      </c>
      <c r="Q21" s="4" t="e">
        <v>#N/A</v>
      </c>
    </row>
    <row r="22" spans="1:17" x14ac:dyDescent="0.4">
      <c r="A22" s="4">
        <v>37135</v>
      </c>
      <c r="B22" s="5" t="e">
        <v>#N/A</v>
      </c>
      <c r="C22">
        <v>4.9480000000000004</v>
      </c>
      <c r="D22">
        <v>2.2999999999999998</v>
      </c>
      <c r="E22" t="e">
        <v>#N/A</v>
      </c>
      <c r="F22">
        <v>8.8000000000000007</v>
      </c>
      <c r="G22" s="8">
        <v>1829</v>
      </c>
      <c r="H22" t="e">
        <v>#N/A</v>
      </c>
      <c r="I22">
        <v>1.7544387578964233</v>
      </c>
      <c r="L22">
        <v>112.4</v>
      </c>
      <c r="M22">
        <v>57</v>
      </c>
      <c r="N22" t="e">
        <v>#N/A</v>
      </c>
      <c r="O22" t="e">
        <v>#N/A</v>
      </c>
      <c r="P22">
        <v>65.989999999999995</v>
      </c>
      <c r="Q22" s="4" t="e">
        <v>#N/A</v>
      </c>
    </row>
    <row r="23" spans="1:17" x14ac:dyDescent="0.4">
      <c r="A23" s="4">
        <v>37165</v>
      </c>
      <c r="B23" s="5">
        <v>206077.1</v>
      </c>
      <c r="C23">
        <v>4.7460000000000004</v>
      </c>
      <c r="D23">
        <v>2.4</v>
      </c>
      <c r="E23">
        <v>51.8</v>
      </c>
      <c r="F23">
        <v>8.8000000000000007</v>
      </c>
      <c r="G23" s="8">
        <v>1815</v>
      </c>
      <c r="H23" t="e">
        <v>#N/A</v>
      </c>
      <c r="I23">
        <v>1.42585289478302</v>
      </c>
      <c r="L23">
        <v>111.6</v>
      </c>
      <c r="M23">
        <v>56.2</v>
      </c>
      <c r="N23">
        <v>95.4</v>
      </c>
      <c r="O23">
        <v>206989.2</v>
      </c>
      <c r="P23">
        <v>65.2</v>
      </c>
      <c r="Q23" s="4" t="e">
        <v>#N/A</v>
      </c>
    </row>
    <row r="24" spans="1:17" x14ac:dyDescent="0.4">
      <c r="A24" s="4">
        <v>37196</v>
      </c>
      <c r="B24" s="5" t="e">
        <v>#N/A</v>
      </c>
      <c r="C24">
        <v>4.6109</v>
      </c>
      <c r="D24">
        <v>2.1</v>
      </c>
      <c r="E24" t="e">
        <v>#N/A</v>
      </c>
      <c r="F24">
        <v>8.8000000000000007</v>
      </c>
      <c r="G24" s="8">
        <v>1813</v>
      </c>
      <c r="H24" t="e">
        <v>#N/A</v>
      </c>
      <c r="I24">
        <v>0.9684455394744873</v>
      </c>
      <c r="L24">
        <v>110.3</v>
      </c>
      <c r="M24">
        <v>56.8</v>
      </c>
      <c r="N24" t="e">
        <v>#N/A</v>
      </c>
      <c r="O24" t="e">
        <v>#N/A</v>
      </c>
      <c r="P24">
        <v>64.19</v>
      </c>
      <c r="Q24" s="4" t="e">
        <v>#N/A</v>
      </c>
    </row>
    <row r="25" spans="1:17" x14ac:dyDescent="0.4">
      <c r="A25" s="4">
        <v>37226</v>
      </c>
      <c r="B25" s="5" t="e">
        <v>#N/A</v>
      </c>
      <c r="C25">
        <v>4.9004000000000003</v>
      </c>
      <c r="D25">
        <v>2.2999999999999998</v>
      </c>
      <c r="E25" t="e">
        <v>#N/A</v>
      </c>
      <c r="F25">
        <v>8.8000000000000007</v>
      </c>
      <c r="G25" s="8">
        <v>1806</v>
      </c>
      <c r="H25" t="e">
        <v>#N/A</v>
      </c>
      <c r="I25">
        <v>0.68932503461837769</v>
      </c>
      <c r="L25">
        <v>110.8</v>
      </c>
      <c r="M25">
        <v>58.2</v>
      </c>
      <c r="N25" t="e">
        <v>#N/A</v>
      </c>
      <c r="O25" t="e">
        <v>#N/A</v>
      </c>
      <c r="P25">
        <v>63.15</v>
      </c>
      <c r="Q25" s="4" t="e">
        <v>#N/A</v>
      </c>
    </row>
    <row r="26" spans="1:17" x14ac:dyDescent="0.4">
      <c r="A26" s="4">
        <v>37257</v>
      </c>
      <c r="B26" s="5">
        <v>208425.3</v>
      </c>
      <c r="C26">
        <v>4.9489000000000001</v>
      </c>
      <c r="D26">
        <v>2.9</v>
      </c>
      <c r="E26">
        <v>52.6</v>
      </c>
      <c r="F26">
        <v>8.8000000000000007</v>
      </c>
      <c r="G26" s="8">
        <v>1772</v>
      </c>
      <c r="H26" t="e">
        <v>#N/A</v>
      </c>
      <c r="I26">
        <v>0.58766216039657593</v>
      </c>
      <c r="L26">
        <v>110.8</v>
      </c>
      <c r="M26">
        <v>56.1</v>
      </c>
      <c r="N26">
        <v>94.8</v>
      </c>
      <c r="O26">
        <v>196248.7</v>
      </c>
      <c r="P26">
        <v>63.16</v>
      </c>
      <c r="Q26" s="4" t="e">
        <v>#N/A</v>
      </c>
    </row>
    <row r="27" spans="1:17" x14ac:dyDescent="0.4">
      <c r="A27" s="4">
        <v>37288</v>
      </c>
      <c r="B27" s="5" t="e">
        <v>#N/A</v>
      </c>
      <c r="C27">
        <v>5.0021000000000004</v>
      </c>
      <c r="D27">
        <v>2.7</v>
      </c>
      <c r="E27" t="e">
        <v>#N/A</v>
      </c>
      <c r="F27">
        <v>8.8000000000000007</v>
      </c>
      <c r="G27" s="8">
        <v>1765</v>
      </c>
      <c r="H27" t="e">
        <v>#N/A</v>
      </c>
      <c r="I27">
        <v>0.44882458448410034</v>
      </c>
      <c r="L27">
        <v>111.3</v>
      </c>
      <c r="M27">
        <v>58</v>
      </c>
      <c r="N27" t="e">
        <v>#N/A</v>
      </c>
      <c r="O27" t="e">
        <v>#N/A</v>
      </c>
      <c r="P27">
        <v>63.17</v>
      </c>
      <c r="Q27" s="4" t="e">
        <v>#N/A</v>
      </c>
    </row>
    <row r="28" spans="1:17" x14ac:dyDescent="0.4">
      <c r="A28" s="4">
        <v>37316</v>
      </c>
      <c r="B28" s="5" t="e">
        <v>#N/A</v>
      </c>
      <c r="C28">
        <v>5.2610999999999999</v>
      </c>
      <c r="D28">
        <v>2.6</v>
      </c>
      <c r="E28" t="e">
        <v>#N/A</v>
      </c>
      <c r="F28">
        <v>8.6999999999999993</v>
      </c>
      <c r="G28" s="8">
        <v>1764</v>
      </c>
      <c r="H28" t="e">
        <v>#N/A</v>
      </c>
      <c r="I28">
        <v>0.48942947387695313</v>
      </c>
      <c r="L28">
        <v>111.8</v>
      </c>
      <c r="M28">
        <v>57.7</v>
      </c>
      <c r="N28" t="e">
        <v>#N/A</v>
      </c>
      <c r="O28" t="e">
        <v>#N/A</v>
      </c>
      <c r="P28">
        <v>63.7</v>
      </c>
      <c r="Q28" s="4" t="e">
        <v>#N/A</v>
      </c>
    </row>
    <row r="29" spans="1:17" x14ac:dyDescent="0.4">
      <c r="A29" s="4">
        <v>37347</v>
      </c>
      <c r="B29" s="5">
        <v>211743.3</v>
      </c>
      <c r="C29">
        <v>5.2451999999999996</v>
      </c>
      <c r="D29">
        <v>2.4</v>
      </c>
      <c r="E29">
        <v>54.1</v>
      </c>
      <c r="F29">
        <v>8.6999999999999993</v>
      </c>
      <c r="G29" s="8">
        <v>1756</v>
      </c>
      <c r="H29" t="e">
        <v>#N/A</v>
      </c>
      <c r="I29">
        <v>0.53374230861663818</v>
      </c>
      <c r="L29">
        <v>112.5</v>
      </c>
      <c r="M29">
        <v>57.6</v>
      </c>
      <c r="N29">
        <v>94.3</v>
      </c>
      <c r="O29">
        <v>202346.4</v>
      </c>
      <c r="P29">
        <v>65.14</v>
      </c>
      <c r="Q29" s="4" t="e">
        <v>#N/A</v>
      </c>
    </row>
    <row r="30" spans="1:17" x14ac:dyDescent="0.4">
      <c r="A30" s="4">
        <v>37377</v>
      </c>
      <c r="B30" s="5" t="e">
        <v>#N/A</v>
      </c>
      <c r="C30">
        <v>5.2575000000000003</v>
      </c>
      <c r="D30">
        <v>2.1</v>
      </c>
      <c r="E30" t="e">
        <v>#N/A</v>
      </c>
      <c r="F30">
        <v>8.6</v>
      </c>
      <c r="G30" s="8">
        <v>1761</v>
      </c>
      <c r="H30" t="e">
        <v>#N/A</v>
      </c>
      <c r="I30">
        <v>0.5862920880317688</v>
      </c>
      <c r="L30">
        <v>111.6</v>
      </c>
      <c r="M30">
        <v>58.5</v>
      </c>
      <c r="N30" t="e">
        <v>#N/A</v>
      </c>
      <c r="O30" t="e">
        <v>#N/A</v>
      </c>
      <c r="P30">
        <v>64.81</v>
      </c>
      <c r="Q30" s="4" t="e">
        <v>#N/A</v>
      </c>
    </row>
    <row r="31" spans="1:17" x14ac:dyDescent="0.4">
      <c r="A31" s="4">
        <v>37408</v>
      </c>
      <c r="B31" s="5" t="e">
        <v>#N/A</v>
      </c>
      <c r="C31">
        <v>5.1131000000000002</v>
      </c>
      <c r="D31">
        <v>2.1</v>
      </c>
      <c r="E31" t="e">
        <v>#N/A</v>
      </c>
      <c r="F31">
        <v>8.6</v>
      </c>
      <c r="G31" s="8">
        <v>1769</v>
      </c>
      <c r="H31" t="e">
        <v>#N/A</v>
      </c>
      <c r="I31">
        <v>0.57067060470581055</v>
      </c>
      <c r="L31">
        <v>111.5</v>
      </c>
      <c r="M31">
        <v>58.1</v>
      </c>
      <c r="N31" t="e">
        <v>#N/A</v>
      </c>
      <c r="O31" t="e">
        <v>#N/A</v>
      </c>
      <c r="P31">
        <v>64.12</v>
      </c>
      <c r="Q31" s="4" t="e">
        <v>#N/A</v>
      </c>
    </row>
    <row r="32" spans="1:17" x14ac:dyDescent="0.4">
      <c r="A32" s="4">
        <v>37438</v>
      </c>
      <c r="B32" s="5">
        <v>214425.9</v>
      </c>
      <c r="C32">
        <v>4.9538000000000002</v>
      </c>
      <c r="D32">
        <v>2.1</v>
      </c>
      <c r="E32">
        <v>53.8</v>
      </c>
      <c r="F32">
        <v>8.6</v>
      </c>
      <c r="G32" s="8">
        <v>1784</v>
      </c>
      <c r="H32" t="e">
        <v>#N/A</v>
      </c>
      <c r="I32">
        <v>0.48763495683670044</v>
      </c>
      <c r="L32">
        <v>110.5</v>
      </c>
      <c r="M32">
        <v>58.4</v>
      </c>
      <c r="N32">
        <v>94.2</v>
      </c>
      <c r="O32">
        <v>200497.2</v>
      </c>
      <c r="P32">
        <v>63.77</v>
      </c>
      <c r="Q32" s="4" t="e">
        <v>#N/A</v>
      </c>
    </row>
    <row r="33" spans="1:17" x14ac:dyDescent="0.4">
      <c r="A33" s="4">
        <v>37469</v>
      </c>
      <c r="B33" s="5" t="e">
        <v>#N/A</v>
      </c>
      <c r="C33">
        <v>4.6740000000000004</v>
      </c>
      <c r="D33">
        <v>2.1</v>
      </c>
      <c r="E33" t="e">
        <v>#N/A</v>
      </c>
      <c r="F33">
        <v>8.6</v>
      </c>
      <c r="G33" s="8">
        <v>1790</v>
      </c>
      <c r="H33" t="e">
        <v>#N/A</v>
      </c>
      <c r="I33">
        <v>0.36788433790206909</v>
      </c>
      <c r="L33">
        <v>112.4</v>
      </c>
      <c r="M33">
        <v>58.5</v>
      </c>
      <c r="N33" t="e">
        <v>#N/A</v>
      </c>
      <c r="O33" t="e">
        <v>#N/A</v>
      </c>
      <c r="P33">
        <v>64.63</v>
      </c>
      <c r="Q33" s="4" t="e">
        <v>#N/A</v>
      </c>
    </row>
    <row r="34" spans="1:17" x14ac:dyDescent="0.4">
      <c r="A34" s="4">
        <v>37500</v>
      </c>
      <c r="B34" s="5" t="e">
        <v>#N/A</v>
      </c>
      <c r="C34">
        <v>4.4871999999999996</v>
      </c>
      <c r="D34">
        <v>2.1</v>
      </c>
      <c r="E34" t="e">
        <v>#N/A</v>
      </c>
      <c r="F34">
        <v>8.6</v>
      </c>
      <c r="G34" s="8">
        <v>1793</v>
      </c>
      <c r="H34" t="e">
        <v>#N/A</v>
      </c>
      <c r="I34">
        <v>1.0289329290390015</v>
      </c>
      <c r="L34">
        <v>111.1</v>
      </c>
      <c r="M34">
        <v>58.4</v>
      </c>
      <c r="N34" t="e">
        <v>#N/A</v>
      </c>
      <c r="O34" t="e">
        <v>#N/A</v>
      </c>
      <c r="P34">
        <v>65.5</v>
      </c>
      <c r="Q34" s="4" t="e">
        <v>#N/A</v>
      </c>
    </row>
    <row r="35" spans="1:17" x14ac:dyDescent="0.4">
      <c r="A35" s="4">
        <v>37530</v>
      </c>
      <c r="B35" s="5">
        <v>216637.6</v>
      </c>
      <c r="C35">
        <v>4.59</v>
      </c>
      <c r="D35">
        <v>2</v>
      </c>
      <c r="E35">
        <v>54.3</v>
      </c>
      <c r="F35">
        <v>8.6</v>
      </c>
      <c r="G35" s="8">
        <v>1775</v>
      </c>
      <c r="H35" t="e">
        <v>#N/A</v>
      </c>
      <c r="I35">
        <v>1.1098965406417847</v>
      </c>
      <c r="L35">
        <v>110.2</v>
      </c>
      <c r="M35">
        <v>58.5</v>
      </c>
      <c r="N35">
        <v>94.4</v>
      </c>
      <c r="O35">
        <v>214701.7</v>
      </c>
      <c r="P35">
        <v>66.010000000000005</v>
      </c>
      <c r="Q35" s="4" t="e">
        <v>#N/A</v>
      </c>
    </row>
    <row r="36" spans="1:17" x14ac:dyDescent="0.4">
      <c r="A36" s="4">
        <v>37561</v>
      </c>
      <c r="B36" s="5" t="e">
        <v>#N/A</v>
      </c>
      <c r="C36">
        <v>4.5778999999999996</v>
      </c>
      <c r="D36">
        <v>2.1</v>
      </c>
      <c r="E36" t="e">
        <v>#N/A</v>
      </c>
      <c r="F36">
        <v>8.6</v>
      </c>
      <c r="G36" s="8">
        <v>1798</v>
      </c>
      <c r="H36" t="e">
        <v>#N/A</v>
      </c>
      <c r="I36">
        <v>0.85439866781234741</v>
      </c>
      <c r="L36">
        <v>111.2</v>
      </c>
      <c r="M36">
        <v>58.8</v>
      </c>
      <c r="N36" t="e">
        <v>#N/A</v>
      </c>
      <c r="O36" t="e">
        <v>#N/A</v>
      </c>
      <c r="P36">
        <v>65.41</v>
      </c>
      <c r="Q36" s="4" t="e">
        <v>#N/A</v>
      </c>
    </row>
    <row r="37" spans="1:17" x14ac:dyDescent="0.4">
      <c r="A37" s="4">
        <v>37591</v>
      </c>
      <c r="B37" s="5" t="e">
        <v>#N/A</v>
      </c>
      <c r="C37">
        <v>4.4008000000000003</v>
      </c>
      <c r="D37">
        <v>2</v>
      </c>
      <c r="E37" t="e">
        <v>#N/A</v>
      </c>
      <c r="F37">
        <v>8.5</v>
      </c>
      <c r="G37" s="8">
        <v>1844</v>
      </c>
      <c r="H37" t="e">
        <v>#N/A</v>
      </c>
      <c r="I37">
        <v>0.78442674875259399</v>
      </c>
      <c r="L37">
        <v>108.6</v>
      </c>
      <c r="M37">
        <v>57.9</v>
      </c>
      <c r="N37" t="e">
        <v>#N/A</v>
      </c>
      <c r="O37" t="e">
        <v>#N/A</v>
      </c>
      <c r="P37">
        <v>65.47</v>
      </c>
      <c r="Q37" s="4" t="e">
        <v>#N/A</v>
      </c>
    </row>
    <row r="38" spans="1:17" x14ac:dyDescent="0.4">
      <c r="A38" s="4">
        <v>37622</v>
      </c>
      <c r="B38" s="5">
        <v>217645.1</v>
      </c>
      <c r="C38">
        <v>4.2234999999999996</v>
      </c>
      <c r="D38">
        <v>1.5</v>
      </c>
      <c r="E38">
        <v>55.5</v>
      </c>
      <c r="F38">
        <v>8.1999999999999993</v>
      </c>
      <c r="G38" s="8">
        <v>1715</v>
      </c>
      <c r="H38">
        <v>25.5</v>
      </c>
      <c r="I38">
        <v>1.294912576675415</v>
      </c>
      <c r="L38">
        <v>110.8</v>
      </c>
      <c r="M38">
        <v>58.1</v>
      </c>
      <c r="N38">
        <v>94.6</v>
      </c>
      <c r="O38">
        <v>203756.3</v>
      </c>
      <c r="P38">
        <v>66.819999999999993</v>
      </c>
      <c r="Q38" s="4" t="e">
        <v>#N/A</v>
      </c>
    </row>
    <row r="39" spans="1:17" x14ac:dyDescent="0.4">
      <c r="A39" s="4">
        <v>37653</v>
      </c>
      <c r="B39" s="5" t="e">
        <v>#N/A</v>
      </c>
      <c r="C39">
        <v>4.0137999999999998</v>
      </c>
      <c r="D39">
        <v>2.1</v>
      </c>
      <c r="E39" t="e">
        <v>#N/A</v>
      </c>
      <c r="F39">
        <v>8.3000000000000007</v>
      </c>
      <c r="G39" s="8">
        <v>1740</v>
      </c>
      <c r="H39" t="e">
        <v>#N/A</v>
      </c>
      <c r="I39">
        <v>1.7328865528106689</v>
      </c>
      <c r="L39">
        <v>111.9</v>
      </c>
      <c r="M39">
        <v>58.5</v>
      </c>
      <c r="N39" t="e">
        <v>#N/A</v>
      </c>
      <c r="O39" t="e">
        <v>#N/A</v>
      </c>
      <c r="P39">
        <v>68.17</v>
      </c>
      <c r="Q39" s="4" t="e">
        <v>#N/A</v>
      </c>
    </row>
    <row r="40" spans="1:17" x14ac:dyDescent="0.4">
      <c r="A40" s="4">
        <v>37681</v>
      </c>
      <c r="B40" s="5" t="e">
        <v>#N/A</v>
      </c>
      <c r="C40">
        <v>4.1204000000000001</v>
      </c>
      <c r="D40">
        <v>2</v>
      </c>
      <c r="E40" t="e">
        <v>#N/A</v>
      </c>
      <c r="F40">
        <v>8.4</v>
      </c>
      <c r="G40" s="8">
        <v>1758</v>
      </c>
      <c r="H40" t="e">
        <v>#N/A</v>
      </c>
      <c r="I40">
        <v>2.3558106422424316</v>
      </c>
      <c r="L40">
        <v>110.9</v>
      </c>
      <c r="M40">
        <v>58.3</v>
      </c>
      <c r="N40" t="e">
        <v>#N/A</v>
      </c>
      <c r="O40" t="e">
        <v>#N/A</v>
      </c>
      <c r="P40">
        <v>69.180000000000007</v>
      </c>
      <c r="Q40" s="4" t="e">
        <v>#N/A</v>
      </c>
    </row>
    <row r="41" spans="1:17" x14ac:dyDescent="0.4">
      <c r="A41" s="4">
        <v>37712</v>
      </c>
      <c r="B41" s="5">
        <v>219370</v>
      </c>
      <c r="C41">
        <v>4.226</v>
      </c>
      <c r="D41">
        <v>1.9</v>
      </c>
      <c r="E41">
        <v>57.5</v>
      </c>
      <c r="F41">
        <v>8.5</v>
      </c>
      <c r="G41" s="8">
        <v>1769</v>
      </c>
      <c r="H41">
        <v>26.1</v>
      </c>
      <c r="I41">
        <v>1.3466247320175171</v>
      </c>
      <c r="L41">
        <v>111</v>
      </c>
      <c r="M41">
        <v>58.6</v>
      </c>
      <c r="N41">
        <v>94.7</v>
      </c>
      <c r="O41">
        <v>206564.9</v>
      </c>
      <c r="P41">
        <v>66.5</v>
      </c>
      <c r="Q41" s="4" t="e">
        <v>#N/A</v>
      </c>
    </row>
    <row r="42" spans="1:17" x14ac:dyDescent="0.4">
      <c r="A42" s="4">
        <v>37742</v>
      </c>
      <c r="B42" s="5" t="e">
        <v>#N/A</v>
      </c>
      <c r="C42">
        <v>3.9058999999999999</v>
      </c>
      <c r="D42">
        <v>1.9</v>
      </c>
      <c r="E42" t="e">
        <v>#N/A</v>
      </c>
      <c r="F42">
        <v>8.5</v>
      </c>
      <c r="G42" s="8">
        <v>1759</v>
      </c>
      <c r="H42" t="e">
        <v>#N/A</v>
      </c>
      <c r="I42">
        <v>0.83947235345840454</v>
      </c>
      <c r="L42">
        <v>108.2</v>
      </c>
      <c r="M42">
        <v>58.4</v>
      </c>
      <c r="N42" t="e">
        <v>#N/A</v>
      </c>
      <c r="O42" t="e">
        <v>#N/A</v>
      </c>
      <c r="P42">
        <v>64.760000000000005</v>
      </c>
      <c r="Q42" s="4" t="e">
        <v>#N/A</v>
      </c>
    </row>
    <row r="43" spans="1:17" x14ac:dyDescent="0.4">
      <c r="A43" s="4">
        <v>37773</v>
      </c>
      <c r="B43" s="5" t="e">
        <v>#N/A</v>
      </c>
      <c r="C43">
        <v>3.6993999999999998</v>
      </c>
      <c r="D43">
        <v>2.1</v>
      </c>
      <c r="E43" t="e">
        <v>#N/A</v>
      </c>
      <c r="F43">
        <v>8.5</v>
      </c>
      <c r="G43" s="8">
        <v>1774</v>
      </c>
      <c r="H43" t="e">
        <v>#N/A</v>
      </c>
      <c r="I43">
        <v>0.7502937912940979</v>
      </c>
      <c r="L43">
        <v>107.9</v>
      </c>
      <c r="M43">
        <v>57.9</v>
      </c>
      <c r="N43" t="e">
        <v>#N/A</v>
      </c>
      <c r="O43" t="e">
        <v>#N/A</v>
      </c>
      <c r="P43">
        <v>64.42</v>
      </c>
      <c r="Q43" s="4" t="e">
        <v>#N/A</v>
      </c>
    </row>
    <row r="44" spans="1:17" x14ac:dyDescent="0.4">
      <c r="A44" s="4">
        <v>37803</v>
      </c>
      <c r="B44" s="5">
        <v>221412.7</v>
      </c>
      <c r="C44">
        <v>4.0117000000000003</v>
      </c>
      <c r="D44">
        <v>2</v>
      </c>
      <c r="E44">
        <v>57.5</v>
      </c>
      <c r="F44">
        <v>8.5</v>
      </c>
      <c r="G44" s="8">
        <v>1761</v>
      </c>
      <c r="H44">
        <v>25.8</v>
      </c>
      <c r="I44">
        <v>0.44479891657829285</v>
      </c>
      <c r="L44">
        <v>109.8</v>
      </c>
      <c r="M44">
        <v>58.3</v>
      </c>
      <c r="N44">
        <v>94.8</v>
      </c>
      <c r="O44">
        <v>206162.4</v>
      </c>
      <c r="P44">
        <v>65.06</v>
      </c>
      <c r="Q44" s="4" t="e">
        <v>#N/A</v>
      </c>
    </row>
    <row r="45" spans="1:17" x14ac:dyDescent="0.4">
      <c r="A45" s="4">
        <v>37834</v>
      </c>
      <c r="B45" s="5" t="e">
        <v>#N/A</v>
      </c>
      <c r="C45">
        <v>4.1639999999999997</v>
      </c>
      <c r="D45">
        <v>2</v>
      </c>
      <c r="E45" t="e">
        <v>#N/A</v>
      </c>
      <c r="F45">
        <v>8.3000000000000007</v>
      </c>
      <c r="G45" s="8">
        <v>1733</v>
      </c>
      <c r="H45" t="e">
        <v>#N/A</v>
      </c>
      <c r="I45">
        <v>0.55011653900146484</v>
      </c>
      <c r="L45">
        <v>109.5</v>
      </c>
      <c r="M45">
        <v>58.8</v>
      </c>
      <c r="N45" t="e">
        <v>#N/A</v>
      </c>
      <c r="O45" t="e">
        <v>#N/A</v>
      </c>
      <c r="P45">
        <v>65.569999999999993</v>
      </c>
      <c r="Q45" s="4" t="e">
        <v>#N/A</v>
      </c>
    </row>
    <row r="46" spans="1:17" x14ac:dyDescent="0.4">
      <c r="A46" s="4">
        <v>37865</v>
      </c>
      <c r="B46" s="5" t="e">
        <v>#N/A</v>
      </c>
      <c r="C46">
        <v>4.2069000000000001</v>
      </c>
      <c r="D46">
        <v>2.4</v>
      </c>
      <c r="E46" t="e">
        <v>#N/A</v>
      </c>
      <c r="F46">
        <v>8.6</v>
      </c>
      <c r="G46" s="8">
        <v>1778</v>
      </c>
      <c r="H46" t="e">
        <v>#N/A</v>
      </c>
      <c r="I46">
        <v>0.63253897428512573</v>
      </c>
      <c r="L46">
        <v>109.2</v>
      </c>
      <c r="M46">
        <v>59.3</v>
      </c>
      <c r="N46" t="e">
        <v>#N/A</v>
      </c>
      <c r="O46" t="e">
        <v>#N/A</v>
      </c>
      <c r="P46">
        <v>65.739999999999995</v>
      </c>
      <c r="Q46" s="4" t="e">
        <v>#N/A</v>
      </c>
    </row>
    <row r="47" spans="1:17" x14ac:dyDescent="0.4">
      <c r="A47" s="4">
        <v>37895</v>
      </c>
      <c r="B47" s="5">
        <v>223471.2</v>
      </c>
      <c r="C47">
        <v>4.2920999999999996</v>
      </c>
      <c r="D47">
        <v>2.5</v>
      </c>
      <c r="E47">
        <v>57</v>
      </c>
      <c r="F47">
        <v>8.6999999999999993</v>
      </c>
      <c r="G47" s="8">
        <v>1796</v>
      </c>
      <c r="H47">
        <v>26.9</v>
      </c>
      <c r="I47">
        <v>0.49339443445205688</v>
      </c>
      <c r="L47">
        <v>111.9</v>
      </c>
      <c r="M47">
        <v>60.2</v>
      </c>
      <c r="N47">
        <v>94.8</v>
      </c>
      <c r="O47">
        <v>221336.3</v>
      </c>
      <c r="P47">
        <v>65.790000000000006</v>
      </c>
      <c r="Q47" s="4" t="e">
        <v>#N/A</v>
      </c>
    </row>
    <row r="48" spans="1:17" x14ac:dyDescent="0.4">
      <c r="A48" s="4">
        <v>37926</v>
      </c>
      <c r="B48" s="5" t="e">
        <v>#N/A</v>
      </c>
      <c r="C48">
        <v>4.423</v>
      </c>
      <c r="D48">
        <v>2.7</v>
      </c>
      <c r="E48" t="e">
        <v>#N/A</v>
      </c>
      <c r="F48">
        <v>8.8000000000000007</v>
      </c>
      <c r="G48" s="8">
        <v>1815</v>
      </c>
      <c r="H48" t="e">
        <v>#N/A</v>
      </c>
      <c r="I48">
        <v>0.46643194556236267</v>
      </c>
      <c r="L48">
        <v>109.6</v>
      </c>
      <c r="M48">
        <v>57.5</v>
      </c>
      <c r="N48" t="e">
        <v>#N/A</v>
      </c>
      <c r="O48" t="e">
        <v>#N/A</v>
      </c>
      <c r="P48">
        <v>65.5</v>
      </c>
      <c r="Q48" s="4" t="e">
        <v>#N/A</v>
      </c>
    </row>
    <row r="49" spans="1:17" x14ac:dyDescent="0.4">
      <c r="A49" s="4">
        <v>37956</v>
      </c>
      <c r="B49" s="5" t="e">
        <v>#N/A</v>
      </c>
      <c r="C49">
        <v>4.3377999999999997</v>
      </c>
      <c r="D49">
        <v>2.6</v>
      </c>
      <c r="E49" t="e">
        <v>#N/A</v>
      </c>
      <c r="F49">
        <v>9</v>
      </c>
      <c r="G49" s="8">
        <v>1864</v>
      </c>
      <c r="H49" t="e">
        <v>#N/A</v>
      </c>
      <c r="I49">
        <v>0.61162078380584717</v>
      </c>
      <c r="L49">
        <v>110.3</v>
      </c>
      <c r="M49">
        <v>58.8</v>
      </c>
      <c r="N49" t="e">
        <v>#N/A</v>
      </c>
      <c r="O49" t="e">
        <v>#N/A</v>
      </c>
      <c r="P49">
        <v>65.42</v>
      </c>
      <c r="Q49" s="4" t="e">
        <v>#N/A</v>
      </c>
    </row>
    <row r="50" spans="1:17" x14ac:dyDescent="0.4">
      <c r="A50" s="4">
        <v>37987</v>
      </c>
      <c r="B50" s="5">
        <v>225501.7</v>
      </c>
      <c r="C50">
        <v>4.1988000000000003</v>
      </c>
      <c r="D50">
        <v>2.5</v>
      </c>
      <c r="E50">
        <v>57.2</v>
      </c>
      <c r="F50">
        <v>8.9</v>
      </c>
      <c r="G50" s="8">
        <v>1858</v>
      </c>
      <c r="H50">
        <v>25.6</v>
      </c>
      <c r="I50">
        <v>0.52198296785354614</v>
      </c>
      <c r="L50">
        <v>111.2</v>
      </c>
      <c r="M50">
        <v>59.8</v>
      </c>
      <c r="N50">
        <v>94.8</v>
      </c>
      <c r="O50">
        <v>211459.7</v>
      </c>
      <c r="P50">
        <v>66.069999999999993</v>
      </c>
      <c r="Q50" s="4" t="e">
        <v>#N/A</v>
      </c>
    </row>
    <row r="51" spans="1:17" x14ac:dyDescent="0.4">
      <c r="A51" s="4">
        <v>38018</v>
      </c>
      <c r="B51" s="5" t="e">
        <v>#N/A</v>
      </c>
      <c r="C51">
        <v>4.1390000000000002</v>
      </c>
      <c r="D51">
        <v>2.4</v>
      </c>
      <c r="E51" t="e">
        <v>#N/A</v>
      </c>
      <c r="F51">
        <v>8.9</v>
      </c>
      <c r="G51" s="8">
        <v>1858</v>
      </c>
      <c r="H51" t="e">
        <v>#N/A</v>
      </c>
      <c r="I51">
        <v>0.52389901876449585</v>
      </c>
      <c r="L51">
        <v>112.2</v>
      </c>
      <c r="M51">
        <v>58.6</v>
      </c>
      <c r="N51" t="e">
        <v>#N/A</v>
      </c>
      <c r="O51" t="e">
        <v>#N/A</v>
      </c>
      <c r="P51">
        <v>65.849999999999994</v>
      </c>
      <c r="Q51" s="4" t="e">
        <v>#N/A</v>
      </c>
    </row>
    <row r="52" spans="1:17" x14ac:dyDescent="0.4">
      <c r="A52" s="4">
        <v>38047</v>
      </c>
      <c r="B52" s="5" t="e">
        <v>#N/A</v>
      </c>
      <c r="C52">
        <v>3.988</v>
      </c>
      <c r="D52">
        <v>2.4</v>
      </c>
      <c r="E52" t="e">
        <v>#N/A</v>
      </c>
      <c r="F52">
        <v>8.9</v>
      </c>
      <c r="G52" s="8">
        <v>1845</v>
      </c>
      <c r="H52" t="e">
        <v>#N/A</v>
      </c>
      <c r="I52">
        <v>0.7778317928314209</v>
      </c>
      <c r="L52">
        <v>111.9</v>
      </c>
      <c r="M52">
        <v>59.5</v>
      </c>
      <c r="N52" t="e">
        <v>#N/A</v>
      </c>
      <c r="O52" t="e">
        <v>#N/A</v>
      </c>
      <c r="P52">
        <v>67</v>
      </c>
      <c r="Q52" s="4" t="e">
        <v>#N/A</v>
      </c>
    </row>
    <row r="53" spans="1:17" x14ac:dyDescent="0.4">
      <c r="A53" s="4">
        <v>38078</v>
      </c>
      <c r="B53" s="5">
        <v>227872.1</v>
      </c>
      <c r="C53">
        <v>4.1985999999999999</v>
      </c>
      <c r="D53">
        <v>2.4</v>
      </c>
      <c r="E53">
        <v>57.9</v>
      </c>
      <c r="F53">
        <v>8.8000000000000007</v>
      </c>
      <c r="G53" s="8">
        <v>1818</v>
      </c>
      <c r="H53">
        <v>25.5</v>
      </c>
      <c r="I53">
        <v>0.62879961729049683</v>
      </c>
      <c r="L53">
        <v>111.9</v>
      </c>
      <c r="M53">
        <v>59.6</v>
      </c>
      <c r="N53">
        <v>95</v>
      </c>
      <c r="O53">
        <v>214130.4</v>
      </c>
      <c r="P53">
        <v>67.42</v>
      </c>
      <c r="Q53" s="4" t="e">
        <v>#N/A</v>
      </c>
    </row>
    <row r="54" spans="1:17" x14ac:dyDescent="0.4">
      <c r="A54" s="4">
        <v>38108</v>
      </c>
      <c r="B54" s="5" t="e">
        <v>#N/A</v>
      </c>
      <c r="C54">
        <v>4.3455000000000004</v>
      </c>
      <c r="D54">
        <v>2.5</v>
      </c>
      <c r="E54" t="e">
        <v>#N/A</v>
      </c>
      <c r="F54">
        <v>8.8000000000000007</v>
      </c>
      <c r="G54" s="8">
        <v>1815</v>
      </c>
      <c r="H54" t="e">
        <v>#N/A</v>
      </c>
      <c r="I54">
        <v>0.38432201743125916</v>
      </c>
      <c r="L54">
        <v>111.3</v>
      </c>
      <c r="M54">
        <v>59.7</v>
      </c>
      <c r="N54" t="e">
        <v>#N/A</v>
      </c>
      <c r="O54" t="e">
        <v>#N/A</v>
      </c>
      <c r="P54">
        <v>69.28</v>
      </c>
      <c r="Q54" s="4" t="e">
        <v>#N/A</v>
      </c>
    </row>
    <row r="55" spans="1:17" x14ac:dyDescent="0.4">
      <c r="A55" s="4">
        <v>38139</v>
      </c>
      <c r="B55" s="5" t="e">
        <v>#N/A</v>
      </c>
      <c r="C55">
        <v>4.3894000000000002</v>
      </c>
      <c r="D55">
        <v>2.2999999999999998</v>
      </c>
      <c r="E55" t="e">
        <v>#N/A</v>
      </c>
      <c r="F55">
        <v>8.8000000000000007</v>
      </c>
      <c r="G55" s="8">
        <v>1814</v>
      </c>
      <c r="H55" t="e">
        <v>#N/A</v>
      </c>
      <c r="I55">
        <v>0.60593396425247192</v>
      </c>
      <c r="L55">
        <v>112.5</v>
      </c>
      <c r="M55">
        <v>60.5</v>
      </c>
      <c r="N55" t="e">
        <v>#N/A</v>
      </c>
      <c r="O55" t="e">
        <v>#N/A</v>
      </c>
      <c r="P55">
        <v>68.63</v>
      </c>
      <c r="Q55" s="4" t="e">
        <v>#N/A</v>
      </c>
    </row>
    <row r="56" spans="1:17" x14ac:dyDescent="0.4">
      <c r="A56" s="4">
        <v>38169</v>
      </c>
      <c r="B56" s="5">
        <v>229825</v>
      </c>
      <c r="C56">
        <v>4.2704000000000004</v>
      </c>
      <c r="D56">
        <v>2.2999999999999998</v>
      </c>
      <c r="E56">
        <v>57.6</v>
      </c>
      <c r="F56">
        <v>8.8000000000000007</v>
      </c>
      <c r="G56" s="8">
        <v>1811</v>
      </c>
      <c r="H56">
        <v>25.7</v>
      </c>
      <c r="I56">
        <v>0.42223361134529114</v>
      </c>
      <c r="L56">
        <v>112.8</v>
      </c>
      <c r="M56">
        <v>59.8</v>
      </c>
      <c r="N56">
        <v>95.2</v>
      </c>
      <c r="O56">
        <v>213003.1</v>
      </c>
      <c r="P56">
        <v>68.72</v>
      </c>
      <c r="Q56" s="4" t="e">
        <v>#N/A</v>
      </c>
    </row>
    <row r="57" spans="1:17" x14ac:dyDescent="0.4">
      <c r="A57" s="4">
        <v>38200</v>
      </c>
      <c r="B57" s="5" t="e">
        <v>#N/A</v>
      </c>
      <c r="C57">
        <v>4.1086</v>
      </c>
      <c r="D57">
        <v>2.2000000000000002</v>
      </c>
      <c r="E57" t="e">
        <v>#N/A</v>
      </c>
      <c r="F57">
        <v>8.9</v>
      </c>
      <c r="G57" s="8">
        <v>1814</v>
      </c>
      <c r="H57" t="e">
        <v>#N/A</v>
      </c>
      <c r="I57">
        <v>0.48028695583343506</v>
      </c>
      <c r="L57">
        <v>109</v>
      </c>
      <c r="M57">
        <v>60.1</v>
      </c>
      <c r="N57" t="e">
        <v>#N/A</v>
      </c>
      <c r="O57" t="e">
        <v>#N/A</v>
      </c>
      <c r="P57">
        <v>70.14</v>
      </c>
      <c r="Q57" s="4" t="e">
        <v>#N/A</v>
      </c>
    </row>
    <row r="58" spans="1:17" x14ac:dyDescent="0.4">
      <c r="A58" s="4">
        <v>38231</v>
      </c>
      <c r="B58" s="5" t="e">
        <v>#N/A</v>
      </c>
      <c r="C58">
        <v>4.0880000000000001</v>
      </c>
      <c r="D58">
        <v>1.8</v>
      </c>
      <c r="E58" t="e">
        <v>#N/A</v>
      </c>
      <c r="F58">
        <v>8.9</v>
      </c>
      <c r="G58" s="8">
        <v>1832</v>
      </c>
      <c r="H58" t="e">
        <v>#N/A</v>
      </c>
      <c r="I58">
        <v>0.81356745958328247</v>
      </c>
      <c r="L58">
        <v>112.8</v>
      </c>
      <c r="M58">
        <v>60.2</v>
      </c>
      <c r="N58" t="e">
        <v>#N/A</v>
      </c>
      <c r="O58" t="e">
        <v>#N/A</v>
      </c>
      <c r="P58">
        <v>70.28</v>
      </c>
      <c r="Q58" s="4" t="e">
        <v>#N/A</v>
      </c>
    </row>
    <row r="59" spans="1:17" x14ac:dyDescent="0.4">
      <c r="A59" s="4">
        <v>38261</v>
      </c>
      <c r="B59" s="5">
        <v>232320.4</v>
      </c>
      <c r="C59">
        <v>3.9723999999999999</v>
      </c>
      <c r="D59">
        <v>1.6</v>
      </c>
      <c r="E59">
        <v>56.9</v>
      </c>
      <c r="F59">
        <v>8.9</v>
      </c>
      <c r="G59" s="8">
        <v>1851</v>
      </c>
      <c r="H59">
        <v>27.7</v>
      </c>
      <c r="I59">
        <v>0.48946645855903625</v>
      </c>
      <c r="L59">
        <v>113.8</v>
      </c>
      <c r="M59">
        <v>60.9</v>
      </c>
      <c r="N59">
        <v>95.5</v>
      </c>
      <c r="O59">
        <v>228394.2</v>
      </c>
      <c r="P59">
        <v>72.400000000000006</v>
      </c>
      <c r="Q59" s="4" t="e">
        <v>#N/A</v>
      </c>
    </row>
    <row r="60" spans="1:17" x14ac:dyDescent="0.4">
      <c r="A60" s="4">
        <v>38292</v>
      </c>
      <c r="B60" s="5" t="e">
        <v>#N/A</v>
      </c>
      <c r="C60">
        <v>3.8531</v>
      </c>
      <c r="D60">
        <v>1.5</v>
      </c>
      <c r="E60" t="e">
        <v>#N/A</v>
      </c>
      <c r="F60">
        <v>9</v>
      </c>
      <c r="G60" s="8">
        <v>1870</v>
      </c>
      <c r="H60" t="e">
        <v>#N/A</v>
      </c>
      <c r="I60">
        <v>0.94563359022140503</v>
      </c>
      <c r="L60">
        <v>111.8</v>
      </c>
      <c r="M60">
        <v>60.3</v>
      </c>
      <c r="N60" t="e">
        <v>#N/A</v>
      </c>
      <c r="O60" t="e">
        <v>#N/A</v>
      </c>
      <c r="P60">
        <v>72.599999999999994</v>
      </c>
      <c r="Q60" s="4" t="e">
        <v>#N/A</v>
      </c>
    </row>
    <row r="61" spans="1:17" x14ac:dyDescent="0.4">
      <c r="A61" s="4">
        <v>38322</v>
      </c>
      <c r="B61" s="5" t="e">
        <v>#N/A</v>
      </c>
      <c r="C61">
        <v>3.6432000000000002</v>
      </c>
      <c r="D61">
        <v>1.6</v>
      </c>
      <c r="E61" t="e">
        <v>#N/A</v>
      </c>
      <c r="F61">
        <v>8.9</v>
      </c>
      <c r="G61" s="8">
        <v>1846</v>
      </c>
      <c r="H61" t="e">
        <v>#N/A</v>
      </c>
      <c r="I61">
        <v>0.41281634569168091</v>
      </c>
      <c r="L61">
        <v>112.1</v>
      </c>
      <c r="M61">
        <v>61.6</v>
      </c>
      <c r="N61" t="e">
        <v>#N/A</v>
      </c>
      <c r="O61" t="e">
        <v>#N/A</v>
      </c>
      <c r="P61">
        <v>71.77</v>
      </c>
      <c r="Q61" s="4" t="e">
        <v>#N/A</v>
      </c>
    </row>
    <row r="62" spans="1:17" x14ac:dyDescent="0.4">
      <c r="A62" s="4">
        <v>38353</v>
      </c>
      <c r="B62" s="5">
        <v>235507.9</v>
      </c>
      <c r="C62">
        <v>3.5735999999999999</v>
      </c>
      <c r="D62">
        <v>1.2</v>
      </c>
      <c r="E62">
        <v>57.3</v>
      </c>
      <c r="F62">
        <v>8.6999999999999993</v>
      </c>
      <c r="G62" s="8">
        <v>1802</v>
      </c>
      <c r="H62">
        <v>27.5</v>
      </c>
      <c r="I62">
        <v>0.42237374186515808</v>
      </c>
      <c r="L62">
        <v>114.1</v>
      </c>
      <c r="M62">
        <v>61.1</v>
      </c>
      <c r="N62">
        <v>96.4</v>
      </c>
      <c r="O62">
        <v>218640.8</v>
      </c>
      <c r="P62">
        <v>70.510000000000005</v>
      </c>
      <c r="Q62" s="4" t="e">
        <v>#N/A</v>
      </c>
    </row>
    <row r="63" spans="1:17" x14ac:dyDescent="0.4">
      <c r="A63" s="4">
        <v>38384</v>
      </c>
      <c r="B63" s="5" t="e">
        <v>#N/A</v>
      </c>
      <c r="C63">
        <v>3.5987</v>
      </c>
      <c r="D63">
        <v>1.3</v>
      </c>
      <c r="E63" t="e">
        <v>#N/A</v>
      </c>
      <c r="F63">
        <v>8.6</v>
      </c>
      <c r="G63" s="8">
        <v>1782</v>
      </c>
      <c r="H63" t="e">
        <v>#N/A</v>
      </c>
      <c r="I63">
        <v>0.70134800672531128</v>
      </c>
      <c r="L63">
        <v>112.6</v>
      </c>
      <c r="M63">
        <v>61.5</v>
      </c>
      <c r="N63" t="e">
        <v>#N/A</v>
      </c>
      <c r="O63" t="e">
        <v>#N/A</v>
      </c>
      <c r="P63">
        <v>71.61</v>
      </c>
      <c r="Q63" s="4" t="e">
        <v>#N/A</v>
      </c>
    </row>
    <row r="64" spans="1:17" x14ac:dyDescent="0.4">
      <c r="A64" s="4">
        <v>38412</v>
      </c>
      <c r="B64" s="5" t="e">
        <v>#N/A</v>
      </c>
      <c r="C64">
        <v>3.7462</v>
      </c>
      <c r="D64">
        <v>1.5</v>
      </c>
      <c r="E64" t="e">
        <v>#N/A</v>
      </c>
      <c r="F64">
        <v>8.6</v>
      </c>
      <c r="G64" s="8">
        <v>1789</v>
      </c>
      <c r="H64" t="e">
        <v>#N/A</v>
      </c>
      <c r="I64">
        <v>0.52975201606750488</v>
      </c>
      <c r="L64">
        <v>110.1</v>
      </c>
      <c r="M64">
        <v>61.7</v>
      </c>
      <c r="N64" t="e">
        <v>#N/A</v>
      </c>
      <c r="O64" t="e">
        <v>#N/A</v>
      </c>
      <c r="P64">
        <v>73.41</v>
      </c>
      <c r="Q64" s="4" t="e">
        <v>#N/A</v>
      </c>
    </row>
    <row r="65" spans="1:17" x14ac:dyDescent="0.4">
      <c r="A65" s="4">
        <v>38443</v>
      </c>
      <c r="B65" s="5">
        <v>238086.1</v>
      </c>
      <c r="C65">
        <v>3.5392000000000001</v>
      </c>
      <c r="D65">
        <v>1.2</v>
      </c>
      <c r="E65">
        <v>57.6</v>
      </c>
      <c r="F65">
        <v>8.6999999999999993</v>
      </c>
      <c r="G65" s="8">
        <v>1813</v>
      </c>
      <c r="H65">
        <v>27.7</v>
      </c>
      <c r="I65">
        <v>0.35315930843353271</v>
      </c>
      <c r="L65">
        <v>113.2</v>
      </c>
      <c r="M65">
        <v>61.5</v>
      </c>
      <c r="N65">
        <v>96.6</v>
      </c>
      <c r="O65">
        <v>221579.7</v>
      </c>
      <c r="P65">
        <v>74.67</v>
      </c>
      <c r="Q65" s="4" t="e">
        <v>#N/A</v>
      </c>
    </row>
    <row r="66" spans="1:17" x14ac:dyDescent="0.4">
      <c r="A66" s="4">
        <v>38473</v>
      </c>
      <c r="B66" s="5" t="e">
        <v>#N/A</v>
      </c>
      <c r="C66">
        <v>3.3730000000000002</v>
      </c>
      <c r="D66">
        <v>1.2</v>
      </c>
      <c r="E66" t="e">
        <v>#N/A</v>
      </c>
      <c r="F66">
        <v>8.8000000000000007</v>
      </c>
      <c r="G66" s="8">
        <v>1842</v>
      </c>
      <c r="H66" t="e">
        <v>#N/A</v>
      </c>
      <c r="I66">
        <v>0.61901915073394775</v>
      </c>
      <c r="L66">
        <v>111.8</v>
      </c>
      <c r="M66">
        <v>61.5</v>
      </c>
      <c r="N66" t="e">
        <v>#N/A</v>
      </c>
      <c r="O66" t="e">
        <v>#N/A</v>
      </c>
      <c r="P66">
        <v>73.69</v>
      </c>
      <c r="Q66" s="4" t="e">
        <v>#N/A</v>
      </c>
    </row>
    <row r="67" spans="1:17" x14ac:dyDescent="0.4">
      <c r="A67" s="4">
        <v>38504</v>
      </c>
      <c r="B67" s="5" t="e">
        <v>#N/A</v>
      </c>
      <c r="C67">
        <v>3.1987000000000001</v>
      </c>
      <c r="D67">
        <v>1.1000000000000001</v>
      </c>
      <c r="E67" t="e">
        <v>#N/A</v>
      </c>
      <c r="F67">
        <v>8.9</v>
      </c>
      <c r="G67" s="8">
        <v>1842</v>
      </c>
      <c r="H67" t="e">
        <v>#N/A</v>
      </c>
      <c r="I67">
        <v>0.38244947791099548</v>
      </c>
      <c r="L67">
        <v>111.8</v>
      </c>
      <c r="M67">
        <v>61.9</v>
      </c>
      <c r="N67" t="e">
        <v>#N/A</v>
      </c>
      <c r="O67" t="e">
        <v>#N/A</v>
      </c>
      <c r="P67">
        <v>75.010000000000005</v>
      </c>
      <c r="Q67" s="4" t="e">
        <v>#N/A</v>
      </c>
    </row>
    <row r="68" spans="1:17" x14ac:dyDescent="0.4">
      <c r="A68" s="4">
        <v>38534</v>
      </c>
      <c r="B68" s="5">
        <v>240507.1</v>
      </c>
      <c r="C68">
        <v>3.2730000000000001</v>
      </c>
      <c r="D68">
        <v>0.9</v>
      </c>
      <c r="E68">
        <v>57.2</v>
      </c>
      <c r="F68">
        <v>8.9</v>
      </c>
      <c r="G68" s="8">
        <v>1837</v>
      </c>
      <c r="H68">
        <v>27.1</v>
      </c>
      <c r="I68">
        <v>0.58613425493240356</v>
      </c>
      <c r="L68">
        <v>111.3</v>
      </c>
      <c r="M68">
        <v>61.7</v>
      </c>
      <c r="N68">
        <v>96.9</v>
      </c>
      <c r="O68">
        <v>220963.5</v>
      </c>
      <c r="P68">
        <v>77.05</v>
      </c>
      <c r="Q68" s="4" t="e">
        <v>#N/A</v>
      </c>
    </row>
    <row r="69" spans="1:17" x14ac:dyDescent="0.4">
      <c r="A69" s="4">
        <v>38565</v>
      </c>
      <c r="B69" s="5" t="e">
        <v>#N/A</v>
      </c>
      <c r="C69">
        <v>3.2953000000000001</v>
      </c>
      <c r="D69">
        <v>1.1000000000000001</v>
      </c>
      <c r="E69" t="e">
        <v>#N/A</v>
      </c>
      <c r="F69">
        <v>9</v>
      </c>
      <c r="G69" s="8">
        <v>1841</v>
      </c>
      <c r="H69" t="e">
        <v>#N/A</v>
      </c>
      <c r="I69">
        <v>0.49524179100990295</v>
      </c>
      <c r="L69">
        <v>110.6</v>
      </c>
      <c r="M69">
        <v>62.2</v>
      </c>
      <c r="N69" t="e">
        <v>#N/A</v>
      </c>
      <c r="O69" t="e">
        <v>#N/A</v>
      </c>
      <c r="P69">
        <v>78.069999999999993</v>
      </c>
      <c r="Q69" s="4" t="e">
        <v>#N/A</v>
      </c>
    </row>
    <row r="70" spans="1:17" x14ac:dyDescent="0.4">
      <c r="A70" s="4">
        <v>38596</v>
      </c>
      <c r="B70" s="5" t="e">
        <v>#N/A</v>
      </c>
      <c r="C70">
        <v>3.1316999999999999</v>
      </c>
      <c r="D70">
        <v>1.2</v>
      </c>
      <c r="E70" t="e">
        <v>#N/A</v>
      </c>
      <c r="F70">
        <v>9</v>
      </c>
      <c r="G70" s="8">
        <v>1855</v>
      </c>
      <c r="H70" t="e">
        <v>#N/A</v>
      </c>
      <c r="I70">
        <v>0.41183516383171082</v>
      </c>
      <c r="L70">
        <v>113.7</v>
      </c>
      <c r="M70">
        <v>62.4</v>
      </c>
      <c r="N70" t="e">
        <v>#N/A</v>
      </c>
      <c r="O70" t="e">
        <v>#N/A</v>
      </c>
      <c r="P70">
        <v>80.680000000000007</v>
      </c>
      <c r="Q70" s="4" t="e">
        <v>#N/A</v>
      </c>
    </row>
    <row r="71" spans="1:17" x14ac:dyDescent="0.4">
      <c r="A71" s="4">
        <v>38626</v>
      </c>
      <c r="B71" s="5">
        <v>241801.60000000001</v>
      </c>
      <c r="C71">
        <v>3.2972000000000001</v>
      </c>
      <c r="D71">
        <v>1.1000000000000001</v>
      </c>
      <c r="E71">
        <v>57.4</v>
      </c>
      <c r="F71">
        <v>9.1</v>
      </c>
      <c r="G71" s="8">
        <v>1878</v>
      </c>
      <c r="H71">
        <v>25.1</v>
      </c>
      <c r="I71">
        <v>0.38494685292243958</v>
      </c>
      <c r="L71">
        <v>110.3</v>
      </c>
      <c r="M71">
        <v>62.8</v>
      </c>
      <c r="N71">
        <v>97</v>
      </c>
      <c r="O71">
        <v>238089.60000000001</v>
      </c>
      <c r="P71">
        <v>80.81</v>
      </c>
      <c r="Q71" s="4" t="e">
        <v>#N/A</v>
      </c>
    </row>
    <row r="72" spans="1:17" x14ac:dyDescent="0.4">
      <c r="A72" s="4">
        <v>38657</v>
      </c>
      <c r="B72" s="5" t="e">
        <v>#N/A</v>
      </c>
      <c r="C72">
        <v>3.4914999999999998</v>
      </c>
      <c r="D72">
        <v>1.1000000000000001</v>
      </c>
      <c r="E72" t="e">
        <v>#N/A</v>
      </c>
      <c r="F72">
        <v>9.1</v>
      </c>
      <c r="G72" s="8">
        <v>1885</v>
      </c>
      <c r="H72" t="e">
        <v>#N/A</v>
      </c>
      <c r="I72">
        <v>0.28973132371902466</v>
      </c>
      <c r="L72">
        <v>114.8</v>
      </c>
      <c r="M72">
        <v>63.2</v>
      </c>
      <c r="N72" t="e">
        <v>#N/A</v>
      </c>
      <c r="O72" t="e">
        <v>#N/A</v>
      </c>
      <c r="P72">
        <v>78.59</v>
      </c>
      <c r="Q72" s="4" t="s">
        <v>27</v>
      </c>
    </row>
    <row r="73" spans="1:17" x14ac:dyDescent="0.4">
      <c r="A73" s="4">
        <v>38687</v>
      </c>
      <c r="B73" s="5" t="e">
        <v>#N/A</v>
      </c>
      <c r="C73">
        <v>3.3702999999999999</v>
      </c>
      <c r="D73">
        <v>1.2</v>
      </c>
      <c r="E73" t="e">
        <v>#N/A</v>
      </c>
      <c r="F73">
        <v>9.1</v>
      </c>
      <c r="G73" s="8">
        <v>1883</v>
      </c>
      <c r="H73" t="e">
        <v>#N/A</v>
      </c>
      <c r="I73">
        <v>0.35749003291130066</v>
      </c>
      <c r="L73">
        <v>113.3</v>
      </c>
      <c r="M73">
        <v>63.2</v>
      </c>
      <c r="N73" t="e">
        <v>#N/A</v>
      </c>
      <c r="O73" t="e">
        <v>#N/A</v>
      </c>
      <c r="P73">
        <v>77.510000000000005</v>
      </c>
      <c r="Q73" s="4" t="e">
        <v>#N/A</v>
      </c>
    </row>
    <row r="74" spans="1:17" x14ac:dyDescent="0.4">
      <c r="A74" s="4">
        <v>38718</v>
      </c>
      <c r="B74" s="5">
        <v>245531</v>
      </c>
      <c r="C74">
        <v>3.3464999999999998</v>
      </c>
      <c r="D74">
        <v>1.3</v>
      </c>
      <c r="E74">
        <v>57</v>
      </c>
      <c r="F74">
        <v>9.1999999999999993</v>
      </c>
      <c r="G74" s="8">
        <v>1878</v>
      </c>
      <c r="H74">
        <v>26.2</v>
      </c>
      <c r="I74">
        <v>0.6371191143989563</v>
      </c>
      <c r="L74">
        <v>112.6</v>
      </c>
      <c r="M74">
        <v>63.1</v>
      </c>
      <c r="N74">
        <v>96.9</v>
      </c>
      <c r="O74">
        <v>225934.6</v>
      </c>
      <c r="P74">
        <v>78.83</v>
      </c>
      <c r="Q74" s="4" t="e">
        <v>#N/A</v>
      </c>
    </row>
    <row r="75" spans="1:17" x14ac:dyDescent="0.4">
      <c r="A75" s="4">
        <v>38749</v>
      </c>
      <c r="B75" s="5" t="e">
        <v>#N/A</v>
      </c>
      <c r="C75">
        <v>3.5089999999999999</v>
      </c>
      <c r="D75">
        <v>1.2</v>
      </c>
      <c r="E75" t="e">
        <v>#N/A</v>
      </c>
      <c r="F75">
        <v>9.1999999999999993</v>
      </c>
      <c r="G75" s="8">
        <v>1871</v>
      </c>
      <c r="H75" t="e">
        <v>#N/A</v>
      </c>
      <c r="I75">
        <v>0.44576048851013184</v>
      </c>
      <c r="L75">
        <v>111.8</v>
      </c>
      <c r="M75">
        <v>63.5</v>
      </c>
      <c r="N75" t="e">
        <v>#N/A</v>
      </c>
      <c r="O75" t="e">
        <v>#N/A</v>
      </c>
      <c r="P75">
        <v>79.11</v>
      </c>
      <c r="Q75" s="4" t="e">
        <v>#N/A</v>
      </c>
    </row>
    <row r="76" spans="1:17" x14ac:dyDescent="0.4">
      <c r="A76" s="4">
        <v>38777</v>
      </c>
      <c r="B76" s="5" t="e">
        <v>#N/A</v>
      </c>
      <c r="C76">
        <v>3.6886999999999999</v>
      </c>
      <c r="D76">
        <v>1.1000000000000001</v>
      </c>
      <c r="E76" t="e">
        <v>#N/A</v>
      </c>
      <c r="F76">
        <v>9.1</v>
      </c>
      <c r="G76" s="8">
        <v>1858</v>
      </c>
      <c r="H76" t="e">
        <v>#N/A</v>
      </c>
      <c r="I76">
        <v>0.43902438879013062</v>
      </c>
      <c r="L76">
        <v>114</v>
      </c>
      <c r="M76">
        <v>63.1</v>
      </c>
      <c r="N76" t="e">
        <v>#N/A</v>
      </c>
      <c r="O76" t="e">
        <v>#N/A</v>
      </c>
      <c r="P76">
        <v>79.5</v>
      </c>
      <c r="Q76" s="4" t="e">
        <v>#N/A</v>
      </c>
    </row>
    <row r="77" spans="1:17" x14ac:dyDescent="0.4">
      <c r="A77" s="4">
        <v>38808</v>
      </c>
      <c r="B77" s="5">
        <v>246923</v>
      </c>
      <c r="C77">
        <v>3.9527999999999999</v>
      </c>
      <c r="D77">
        <v>1.3</v>
      </c>
      <c r="E77">
        <v>56.2</v>
      </c>
      <c r="F77">
        <v>9</v>
      </c>
      <c r="G77" s="8">
        <v>1839</v>
      </c>
      <c r="H77">
        <v>27.7</v>
      </c>
      <c r="I77">
        <v>0.35724359750747681</v>
      </c>
      <c r="L77">
        <v>113.3</v>
      </c>
      <c r="M77">
        <v>63.8</v>
      </c>
      <c r="N77">
        <v>97.1</v>
      </c>
      <c r="O77">
        <v>232096.1</v>
      </c>
      <c r="P77">
        <v>81.599999999999994</v>
      </c>
      <c r="Q77" s="4" t="e">
        <v>#N/A</v>
      </c>
    </row>
    <row r="78" spans="1:17" x14ac:dyDescent="0.4">
      <c r="A78" s="4">
        <v>38838</v>
      </c>
      <c r="B78" s="5" t="e">
        <v>#N/A</v>
      </c>
      <c r="C78">
        <v>4.0034999999999998</v>
      </c>
      <c r="D78">
        <v>1.4</v>
      </c>
      <c r="E78" t="e">
        <v>#N/A</v>
      </c>
      <c r="F78">
        <v>8.9</v>
      </c>
      <c r="G78" s="8">
        <v>1817</v>
      </c>
      <c r="H78" t="e">
        <v>#N/A</v>
      </c>
      <c r="I78">
        <v>0.48481220006942749</v>
      </c>
      <c r="L78">
        <v>115.2</v>
      </c>
      <c r="M78">
        <v>63.7</v>
      </c>
      <c r="N78" t="e">
        <v>#N/A</v>
      </c>
      <c r="O78" t="e">
        <v>#N/A</v>
      </c>
      <c r="P78">
        <v>82.97</v>
      </c>
      <c r="Q78" s="4" t="e">
        <v>#N/A</v>
      </c>
    </row>
    <row r="79" spans="1:17" x14ac:dyDescent="0.4">
      <c r="A79" s="4">
        <v>38869</v>
      </c>
      <c r="B79" s="5" t="e">
        <v>#N/A</v>
      </c>
      <c r="C79">
        <v>4.0087999999999999</v>
      </c>
      <c r="D79">
        <v>1.5</v>
      </c>
      <c r="E79" t="e">
        <v>#N/A</v>
      </c>
      <c r="F79">
        <v>8.9</v>
      </c>
      <c r="G79" s="8">
        <v>1822</v>
      </c>
      <c r="H79" t="e">
        <v>#N/A</v>
      </c>
      <c r="I79">
        <v>0.45030069351196289</v>
      </c>
      <c r="L79">
        <v>115</v>
      </c>
      <c r="M79">
        <v>64.099999999999994</v>
      </c>
      <c r="N79" t="e">
        <v>#N/A</v>
      </c>
      <c r="O79" t="e">
        <v>#N/A</v>
      </c>
      <c r="P79">
        <v>82.42</v>
      </c>
      <c r="Q79" s="4" t="e">
        <v>#N/A</v>
      </c>
    </row>
    <row r="80" spans="1:17" x14ac:dyDescent="0.4">
      <c r="A80" s="4">
        <v>38899</v>
      </c>
      <c r="B80" s="5">
        <v>248601.4</v>
      </c>
      <c r="C80">
        <v>4.0209999999999999</v>
      </c>
      <c r="D80">
        <v>1.6</v>
      </c>
      <c r="E80">
        <v>56</v>
      </c>
      <c r="F80">
        <v>9</v>
      </c>
      <c r="G80" s="8">
        <v>1846</v>
      </c>
      <c r="H80">
        <v>27.5</v>
      </c>
      <c r="I80">
        <v>0.71147251129150391</v>
      </c>
      <c r="L80">
        <v>113.3</v>
      </c>
      <c r="M80">
        <v>64.599999999999994</v>
      </c>
      <c r="N80">
        <v>97.6</v>
      </c>
      <c r="O80">
        <v>229453.6</v>
      </c>
      <c r="P80">
        <v>83.06</v>
      </c>
      <c r="Q80" s="4" t="e">
        <v>#N/A</v>
      </c>
    </row>
    <row r="81" spans="1:17" x14ac:dyDescent="0.4">
      <c r="A81" s="4">
        <v>38930</v>
      </c>
      <c r="B81" s="5" t="e">
        <v>#N/A</v>
      </c>
      <c r="C81">
        <v>3.8925999999999998</v>
      </c>
      <c r="D81">
        <v>1.6</v>
      </c>
      <c r="E81" t="e">
        <v>#N/A</v>
      </c>
      <c r="F81">
        <v>9</v>
      </c>
      <c r="G81" s="8">
        <v>1850</v>
      </c>
      <c r="H81" t="e">
        <v>#N/A</v>
      </c>
      <c r="I81">
        <v>0.85842448472976685</v>
      </c>
      <c r="L81">
        <v>112.6</v>
      </c>
      <c r="M81">
        <v>64.3</v>
      </c>
      <c r="N81" t="e">
        <v>#N/A</v>
      </c>
      <c r="O81" t="e">
        <v>#N/A</v>
      </c>
      <c r="P81">
        <v>83.52</v>
      </c>
      <c r="Q81" s="4" t="e">
        <v>#N/A</v>
      </c>
    </row>
    <row r="82" spans="1:17" x14ac:dyDescent="0.4">
      <c r="A82" s="4">
        <v>38961</v>
      </c>
      <c r="B82" s="5" t="e">
        <v>#N/A</v>
      </c>
      <c r="C82">
        <v>3.7623000000000002</v>
      </c>
      <c r="D82">
        <v>1.5</v>
      </c>
      <c r="E82" t="e">
        <v>#N/A</v>
      </c>
      <c r="F82">
        <v>8.6999999999999993</v>
      </c>
      <c r="G82" s="8">
        <v>1789</v>
      </c>
      <c r="H82" t="e">
        <v>#N/A</v>
      </c>
      <c r="I82">
        <v>0.52511763572692871</v>
      </c>
      <c r="L82">
        <v>114.4</v>
      </c>
      <c r="M82">
        <v>64.400000000000006</v>
      </c>
      <c r="N82" t="e">
        <v>#N/A</v>
      </c>
      <c r="O82" t="e">
        <v>#N/A</v>
      </c>
      <c r="P82">
        <v>81.42</v>
      </c>
      <c r="Q82" s="4" t="e">
        <v>#N/A</v>
      </c>
    </row>
    <row r="83" spans="1:17" x14ac:dyDescent="0.4">
      <c r="A83" s="4">
        <v>38991</v>
      </c>
      <c r="B83" s="5">
        <v>251446.2</v>
      </c>
      <c r="C83">
        <v>3.8109999999999999</v>
      </c>
      <c r="D83">
        <v>1.5</v>
      </c>
      <c r="E83">
        <v>54.5</v>
      </c>
      <c r="F83">
        <v>8.5</v>
      </c>
      <c r="G83" s="8">
        <v>1738</v>
      </c>
      <c r="H83">
        <v>28.3</v>
      </c>
      <c r="I83">
        <v>0.52091085910797119</v>
      </c>
      <c r="L83">
        <v>113.5</v>
      </c>
      <c r="M83">
        <v>64.7</v>
      </c>
      <c r="N83">
        <v>98.2</v>
      </c>
      <c r="O83">
        <v>249841.5</v>
      </c>
      <c r="P83">
        <v>79.489999999999995</v>
      </c>
      <c r="Q83" s="4" t="e">
        <v>#N/A</v>
      </c>
    </row>
    <row r="84" spans="1:17" x14ac:dyDescent="0.4">
      <c r="A84" s="4">
        <v>39022</v>
      </c>
      <c r="B84" s="5" t="e">
        <v>#N/A</v>
      </c>
      <c r="C84">
        <v>3.7395</v>
      </c>
      <c r="D84">
        <v>1.7</v>
      </c>
      <c r="E84" t="e">
        <v>#N/A</v>
      </c>
      <c r="F84">
        <v>8.3000000000000007</v>
      </c>
      <c r="G84" s="8">
        <v>1695</v>
      </c>
      <c r="H84" t="e">
        <v>#N/A</v>
      </c>
      <c r="I84">
        <v>0.36131775379180908</v>
      </c>
      <c r="L84">
        <v>112.9</v>
      </c>
      <c r="M84">
        <v>65.599999999999994</v>
      </c>
      <c r="N84" t="e">
        <v>#N/A</v>
      </c>
      <c r="O84" t="e">
        <v>#N/A</v>
      </c>
      <c r="P84">
        <v>79.08</v>
      </c>
      <c r="Q84" s="4" t="e">
        <v>#N/A</v>
      </c>
    </row>
    <row r="85" spans="1:17" x14ac:dyDescent="0.4">
      <c r="A85" s="4">
        <v>39052</v>
      </c>
      <c r="B85" s="5" t="e">
        <v>#N/A</v>
      </c>
      <c r="C85">
        <v>3.8273000000000001</v>
      </c>
      <c r="D85">
        <v>1.7</v>
      </c>
      <c r="E85" t="e">
        <v>#N/A</v>
      </c>
      <c r="F85">
        <v>8.3000000000000007</v>
      </c>
      <c r="G85" s="8">
        <v>1699</v>
      </c>
      <c r="H85" t="e">
        <v>#N/A</v>
      </c>
      <c r="I85">
        <v>0.3900916576385498</v>
      </c>
      <c r="L85">
        <v>114.7</v>
      </c>
      <c r="M85">
        <v>65.099999999999994</v>
      </c>
      <c r="N85" t="e">
        <v>#N/A</v>
      </c>
      <c r="O85" t="e">
        <v>#N/A</v>
      </c>
      <c r="P85">
        <v>79.150000000000006</v>
      </c>
      <c r="Q85" s="4" t="e">
        <v>#N/A</v>
      </c>
    </row>
    <row r="86" spans="1:17" x14ac:dyDescent="0.4">
      <c r="A86" s="4">
        <v>39083</v>
      </c>
      <c r="B86" s="5">
        <v>255367.8</v>
      </c>
      <c r="C86">
        <v>4.0711000000000004</v>
      </c>
      <c r="D86">
        <v>1.6</v>
      </c>
      <c r="E86">
        <v>54.9</v>
      </c>
      <c r="F86">
        <v>8.5</v>
      </c>
      <c r="G86" s="8">
        <v>1740</v>
      </c>
      <c r="H86">
        <v>27.4</v>
      </c>
      <c r="I86">
        <v>0.27486103773117065</v>
      </c>
      <c r="L86">
        <v>113.4</v>
      </c>
      <c r="M86">
        <v>65.400000000000006</v>
      </c>
      <c r="N86">
        <v>99.1</v>
      </c>
      <c r="O86">
        <v>235515.8</v>
      </c>
      <c r="P86">
        <v>78.61</v>
      </c>
      <c r="Q86" s="4" t="e">
        <v>#N/A</v>
      </c>
    </row>
    <row r="87" spans="1:17" x14ac:dyDescent="0.4">
      <c r="A87" s="4">
        <v>39114</v>
      </c>
      <c r="B87" s="5" t="e">
        <v>#N/A</v>
      </c>
      <c r="C87">
        <v>4.0934999999999997</v>
      </c>
      <c r="D87">
        <v>1.4</v>
      </c>
      <c r="E87" t="e">
        <v>#N/A</v>
      </c>
      <c r="F87">
        <v>8.5</v>
      </c>
      <c r="G87" s="8">
        <v>1750</v>
      </c>
      <c r="H87" t="e">
        <v>#N/A</v>
      </c>
      <c r="I87">
        <v>0.32343235611915588</v>
      </c>
      <c r="L87">
        <v>114.5</v>
      </c>
      <c r="M87">
        <v>65.8</v>
      </c>
      <c r="N87" t="e">
        <v>#N/A</v>
      </c>
      <c r="O87" t="e">
        <v>#N/A</v>
      </c>
      <c r="P87">
        <v>78.78</v>
      </c>
      <c r="Q87" s="4" t="e">
        <v>#N/A</v>
      </c>
    </row>
    <row r="88" spans="1:17" x14ac:dyDescent="0.4">
      <c r="A88" s="4">
        <v>39142</v>
      </c>
      <c r="B88" s="5" t="e">
        <v>#N/A</v>
      </c>
      <c r="C88">
        <v>3.9994999999999998</v>
      </c>
      <c r="D88">
        <v>1.3</v>
      </c>
      <c r="E88" t="e">
        <v>#N/A</v>
      </c>
      <c r="F88">
        <v>8.4</v>
      </c>
      <c r="G88" s="8">
        <v>1732</v>
      </c>
      <c r="H88" t="e">
        <v>#N/A</v>
      </c>
      <c r="I88">
        <v>0.29491701722145081</v>
      </c>
      <c r="L88">
        <v>115.5</v>
      </c>
      <c r="M88">
        <v>66.900000000000006</v>
      </c>
      <c r="N88" t="e">
        <v>#N/A</v>
      </c>
      <c r="O88" t="e">
        <v>#N/A</v>
      </c>
      <c r="P88">
        <v>79.98</v>
      </c>
      <c r="Q88" s="4" t="e">
        <v>#N/A</v>
      </c>
    </row>
    <row r="89" spans="1:17" x14ac:dyDescent="0.4">
      <c r="A89" s="4">
        <v>39173</v>
      </c>
      <c r="B89" s="5">
        <v>258312</v>
      </c>
      <c r="C89">
        <v>4.2140000000000004</v>
      </c>
      <c r="D89">
        <v>1.5</v>
      </c>
      <c r="E89">
        <v>55.9</v>
      </c>
      <c r="F89">
        <v>8.1999999999999993</v>
      </c>
      <c r="G89" s="8">
        <v>1710</v>
      </c>
      <c r="H89">
        <v>25.3</v>
      </c>
      <c r="I89">
        <v>0.25959873199462891</v>
      </c>
      <c r="L89">
        <v>113.4</v>
      </c>
      <c r="M89">
        <v>66.900000000000006</v>
      </c>
      <c r="N89">
        <v>99.8</v>
      </c>
      <c r="O89">
        <v>242158</v>
      </c>
      <c r="P89">
        <v>81.25</v>
      </c>
      <c r="Q89" s="4" t="e">
        <v>#N/A</v>
      </c>
    </row>
    <row r="90" spans="1:17" x14ac:dyDescent="0.4">
      <c r="A90" s="4">
        <v>39203</v>
      </c>
      <c r="B90" s="5" t="e">
        <v>#N/A</v>
      </c>
      <c r="C90">
        <v>4.3425000000000002</v>
      </c>
      <c r="D90">
        <v>1.4</v>
      </c>
      <c r="E90" t="e">
        <v>#N/A</v>
      </c>
      <c r="F90">
        <v>8.1</v>
      </c>
      <c r="G90" s="8">
        <v>1692</v>
      </c>
      <c r="H90" t="e">
        <v>#N/A</v>
      </c>
      <c r="I90">
        <v>0.30175212025642395</v>
      </c>
      <c r="L90">
        <v>116.1</v>
      </c>
      <c r="M90">
        <v>65.8</v>
      </c>
      <c r="N90" t="e">
        <v>#N/A</v>
      </c>
      <c r="O90" t="e">
        <v>#N/A</v>
      </c>
      <c r="P90">
        <v>81.819999999999993</v>
      </c>
      <c r="Q90" s="4" t="e">
        <v>#N/A</v>
      </c>
    </row>
    <row r="91" spans="1:17" x14ac:dyDescent="0.4">
      <c r="A91" s="4">
        <v>39234</v>
      </c>
      <c r="B91" s="5" t="e">
        <v>#N/A</v>
      </c>
      <c r="C91">
        <v>4.6192000000000002</v>
      </c>
      <c r="D91">
        <v>1.5</v>
      </c>
      <c r="E91" t="e">
        <v>#N/A</v>
      </c>
      <c r="F91">
        <v>8</v>
      </c>
      <c r="G91" s="8">
        <v>1673</v>
      </c>
      <c r="H91" t="e">
        <v>#N/A</v>
      </c>
      <c r="I91">
        <v>0.3994167149066925</v>
      </c>
      <c r="L91">
        <v>115.8</v>
      </c>
      <c r="M91">
        <v>67</v>
      </c>
      <c r="N91" t="e">
        <v>#N/A</v>
      </c>
      <c r="O91" t="e">
        <v>#N/A</v>
      </c>
      <c r="P91">
        <v>82.23</v>
      </c>
      <c r="Q91" s="4" t="e">
        <v>#N/A</v>
      </c>
    </row>
    <row r="92" spans="1:17" x14ac:dyDescent="0.4">
      <c r="A92" s="4">
        <v>39264</v>
      </c>
      <c r="B92" s="5">
        <v>261356</v>
      </c>
      <c r="C92">
        <v>4.5815999999999999</v>
      </c>
      <c r="D92">
        <v>1.4</v>
      </c>
      <c r="E92">
        <v>55.2</v>
      </c>
      <c r="F92">
        <v>8.1</v>
      </c>
      <c r="G92" s="8">
        <v>1701</v>
      </c>
      <c r="H92">
        <v>25.4</v>
      </c>
      <c r="I92">
        <v>0.36577865481376648</v>
      </c>
      <c r="L92">
        <v>116</v>
      </c>
      <c r="M92">
        <v>68</v>
      </c>
      <c r="N92">
        <v>100.3</v>
      </c>
      <c r="O92">
        <v>238024.4</v>
      </c>
      <c r="P92">
        <v>82.55</v>
      </c>
      <c r="Q92" s="4" t="e">
        <v>#N/A</v>
      </c>
    </row>
    <row r="93" spans="1:17" x14ac:dyDescent="0.4">
      <c r="A93" s="4">
        <v>39295</v>
      </c>
      <c r="B93" s="5" t="e">
        <v>#N/A</v>
      </c>
      <c r="C93">
        <v>4.3836000000000004</v>
      </c>
      <c r="D93">
        <v>1.6</v>
      </c>
      <c r="E93" t="e">
        <v>#N/A</v>
      </c>
      <c r="F93">
        <v>8</v>
      </c>
      <c r="G93" s="8">
        <v>1700</v>
      </c>
      <c r="H93" t="e">
        <v>#N/A</v>
      </c>
      <c r="I93">
        <v>0.31104198098182678</v>
      </c>
      <c r="L93">
        <v>116.7</v>
      </c>
      <c r="M93">
        <v>67.5</v>
      </c>
      <c r="N93" t="e">
        <v>#N/A</v>
      </c>
      <c r="O93" t="e">
        <v>#N/A</v>
      </c>
      <c r="P93">
        <v>82.12</v>
      </c>
      <c r="Q93" s="4" t="e">
        <v>#N/A</v>
      </c>
    </row>
    <row r="94" spans="1:17" x14ac:dyDescent="0.4">
      <c r="A94" s="4">
        <v>39326</v>
      </c>
      <c r="B94" s="5" t="e">
        <v>#N/A</v>
      </c>
      <c r="C94">
        <v>4.3615000000000004</v>
      </c>
      <c r="D94">
        <v>1.6</v>
      </c>
      <c r="E94" t="e">
        <v>#N/A</v>
      </c>
      <c r="F94">
        <v>7.9</v>
      </c>
      <c r="G94" s="8">
        <v>1663</v>
      </c>
      <c r="H94" t="e">
        <v>#N/A</v>
      </c>
      <c r="I94">
        <v>0.43168169260025024</v>
      </c>
      <c r="L94">
        <v>114.1</v>
      </c>
      <c r="M94">
        <v>67.099999999999994</v>
      </c>
      <c r="N94" t="e">
        <v>#N/A</v>
      </c>
      <c r="O94" t="e">
        <v>#N/A</v>
      </c>
      <c r="P94">
        <v>82.63</v>
      </c>
      <c r="Q94" s="4" t="e">
        <v>#N/A</v>
      </c>
    </row>
    <row r="95" spans="1:17" x14ac:dyDescent="0.4">
      <c r="A95" s="4">
        <v>39356</v>
      </c>
      <c r="B95" s="5">
        <v>264409.2</v>
      </c>
      <c r="C95">
        <v>4.3974000000000002</v>
      </c>
      <c r="D95">
        <v>1.8</v>
      </c>
      <c r="E95">
        <v>54.5</v>
      </c>
      <c r="F95">
        <v>7.7</v>
      </c>
      <c r="G95" s="8">
        <v>1598</v>
      </c>
      <c r="H95">
        <v>24.8</v>
      </c>
      <c r="I95">
        <v>0.40046912431716919</v>
      </c>
      <c r="L95">
        <v>116.8</v>
      </c>
      <c r="M95">
        <v>68.099999999999994</v>
      </c>
      <c r="N95">
        <v>100.5</v>
      </c>
      <c r="O95">
        <v>258637</v>
      </c>
      <c r="P95">
        <v>83.62</v>
      </c>
      <c r="Q95" s="4" t="e">
        <v>#N/A</v>
      </c>
    </row>
    <row r="96" spans="1:17" x14ac:dyDescent="0.4">
      <c r="A96" s="4">
        <v>39387</v>
      </c>
      <c r="B96" s="5" t="e">
        <v>#N/A</v>
      </c>
      <c r="C96">
        <v>4.2279</v>
      </c>
      <c r="D96">
        <v>1.9</v>
      </c>
      <c r="E96" t="e">
        <v>#N/A</v>
      </c>
      <c r="F96">
        <v>7.5</v>
      </c>
      <c r="G96" s="8">
        <v>1539</v>
      </c>
      <c r="H96" t="e">
        <v>#N/A</v>
      </c>
      <c r="I96">
        <v>0.42242127656936646</v>
      </c>
      <c r="L96">
        <v>114.5</v>
      </c>
      <c r="M96">
        <v>67.7</v>
      </c>
      <c r="N96" t="e">
        <v>#N/A</v>
      </c>
      <c r="O96" t="e">
        <v>#N/A</v>
      </c>
      <c r="P96">
        <v>87.01</v>
      </c>
      <c r="Q96" s="4" t="e">
        <v>#N/A</v>
      </c>
    </row>
    <row r="97" spans="1:17" x14ac:dyDescent="0.4">
      <c r="A97" s="4">
        <v>39417</v>
      </c>
      <c r="B97" s="5" t="e">
        <v>#N/A</v>
      </c>
      <c r="C97">
        <v>4.3552</v>
      </c>
      <c r="D97">
        <v>2.1</v>
      </c>
      <c r="E97" t="e">
        <v>#N/A</v>
      </c>
      <c r="F97">
        <v>7.3</v>
      </c>
      <c r="G97" s="8">
        <v>1505</v>
      </c>
      <c r="H97" t="e">
        <v>#N/A</v>
      </c>
      <c r="I97">
        <v>0.50228458642959595</v>
      </c>
      <c r="L97">
        <v>114.8</v>
      </c>
      <c r="M97">
        <v>68.099999999999994</v>
      </c>
      <c r="N97" t="e">
        <v>#N/A</v>
      </c>
      <c r="O97" t="e">
        <v>#N/A</v>
      </c>
      <c r="P97">
        <v>87.46</v>
      </c>
      <c r="Q97" s="4" t="e">
        <v>#N/A</v>
      </c>
    </row>
    <row r="98" spans="1:17" x14ac:dyDescent="0.4">
      <c r="A98" s="4">
        <v>39448</v>
      </c>
      <c r="B98" s="5">
        <v>266657.8</v>
      </c>
      <c r="C98">
        <v>4.1414</v>
      </c>
      <c r="D98">
        <v>2.2999999999999998</v>
      </c>
      <c r="E98">
        <v>55.1</v>
      </c>
      <c r="F98">
        <v>7.2</v>
      </c>
      <c r="G98" s="8">
        <v>1490</v>
      </c>
      <c r="H98">
        <v>26.3</v>
      </c>
      <c r="I98">
        <v>0.32074236869812012</v>
      </c>
      <c r="L98">
        <v>115.8</v>
      </c>
      <c r="M98">
        <v>68.2</v>
      </c>
      <c r="N98">
        <v>100.4</v>
      </c>
      <c r="O98">
        <v>244680</v>
      </c>
      <c r="P98">
        <v>88.16</v>
      </c>
      <c r="Q98" s="4" t="e">
        <v>#N/A</v>
      </c>
    </row>
    <row r="99" spans="1:17" x14ac:dyDescent="0.4">
      <c r="A99" s="4">
        <v>39479</v>
      </c>
      <c r="B99" s="5" t="e">
        <v>#N/A</v>
      </c>
      <c r="C99">
        <v>4.0819999999999999</v>
      </c>
      <c r="D99">
        <v>2.4</v>
      </c>
      <c r="E99" t="e">
        <v>#N/A</v>
      </c>
      <c r="F99">
        <v>7</v>
      </c>
      <c r="G99" s="8">
        <v>1466</v>
      </c>
      <c r="H99" t="e">
        <v>#N/A</v>
      </c>
      <c r="I99">
        <v>0.31785383820533752</v>
      </c>
      <c r="L99">
        <v>116.8</v>
      </c>
      <c r="M99">
        <v>68</v>
      </c>
      <c r="N99" t="e">
        <v>#N/A</v>
      </c>
      <c r="O99" t="e">
        <v>#N/A</v>
      </c>
      <c r="P99">
        <v>87.67</v>
      </c>
      <c r="Q99" s="4" t="e">
        <v>#N/A</v>
      </c>
    </row>
    <row r="100" spans="1:17" x14ac:dyDescent="0.4">
      <c r="A100" s="4">
        <v>39508</v>
      </c>
      <c r="B100" s="5" t="e">
        <v>#N/A</v>
      </c>
      <c r="C100">
        <v>4.0109000000000004</v>
      </c>
      <c r="D100">
        <v>2.7</v>
      </c>
      <c r="E100" t="e">
        <v>#N/A</v>
      </c>
      <c r="F100">
        <v>7.1</v>
      </c>
      <c r="G100" s="8">
        <v>1488</v>
      </c>
      <c r="H100" t="e">
        <v>#N/A</v>
      </c>
      <c r="I100">
        <v>0.28178608417510986</v>
      </c>
      <c r="L100">
        <v>115.4</v>
      </c>
      <c r="M100">
        <v>67.3</v>
      </c>
      <c r="N100" t="e">
        <v>#N/A</v>
      </c>
      <c r="O100" t="e">
        <v>#N/A</v>
      </c>
      <c r="P100">
        <v>89.96</v>
      </c>
      <c r="Q100" s="4" t="e">
        <v>#N/A</v>
      </c>
    </row>
    <row r="101" spans="1:17" x14ac:dyDescent="0.4">
      <c r="A101" s="4">
        <v>39539</v>
      </c>
      <c r="B101" s="5">
        <v>268301.40000000002</v>
      </c>
      <c r="C101">
        <v>4.2778</v>
      </c>
      <c r="D101">
        <v>2.6</v>
      </c>
      <c r="E101">
        <v>55.3</v>
      </c>
      <c r="F101">
        <v>7.3</v>
      </c>
      <c r="G101" s="8">
        <v>1511</v>
      </c>
      <c r="H101">
        <v>25.8</v>
      </c>
      <c r="I101">
        <v>0.22168736159801483</v>
      </c>
      <c r="L101">
        <v>118.1</v>
      </c>
      <c r="M101">
        <v>67.5</v>
      </c>
      <c r="N101">
        <v>100.3</v>
      </c>
      <c r="O101">
        <v>250244.8</v>
      </c>
      <c r="P101">
        <v>90.88</v>
      </c>
      <c r="Q101" s="4" t="e">
        <v>#N/A</v>
      </c>
    </row>
    <row r="102" spans="1:17" x14ac:dyDescent="0.4">
      <c r="A102" s="4">
        <v>39569</v>
      </c>
      <c r="B102" s="5" t="e">
        <v>#N/A</v>
      </c>
      <c r="C102">
        <v>4.4066999999999998</v>
      </c>
      <c r="D102">
        <v>2.6</v>
      </c>
      <c r="E102" t="e">
        <v>#N/A</v>
      </c>
      <c r="F102">
        <v>7.3</v>
      </c>
      <c r="G102" s="8">
        <v>1520</v>
      </c>
      <c r="H102" t="e">
        <v>#N/A</v>
      </c>
      <c r="I102">
        <v>0.29308503866195679</v>
      </c>
      <c r="L102">
        <v>112.4</v>
      </c>
      <c r="M102">
        <v>68.2</v>
      </c>
      <c r="N102" t="e">
        <v>#N/A</v>
      </c>
      <c r="O102" t="e">
        <v>#N/A</v>
      </c>
      <c r="P102">
        <v>94.13</v>
      </c>
      <c r="Q102" s="4" t="e">
        <v>#N/A</v>
      </c>
    </row>
    <row r="103" spans="1:17" x14ac:dyDescent="0.4">
      <c r="A103" s="4">
        <v>39600</v>
      </c>
      <c r="B103" s="5" t="e">
        <v>#N/A</v>
      </c>
      <c r="C103">
        <v>4.7417999999999996</v>
      </c>
      <c r="D103">
        <v>2.6</v>
      </c>
      <c r="E103" t="e">
        <v>#N/A</v>
      </c>
      <c r="F103">
        <v>7.4</v>
      </c>
      <c r="G103" s="8">
        <v>1543</v>
      </c>
      <c r="H103" t="e">
        <v>#N/A</v>
      </c>
      <c r="I103">
        <v>0.42732253670692444</v>
      </c>
      <c r="L103">
        <v>112.3</v>
      </c>
      <c r="M103">
        <v>68.099999999999994</v>
      </c>
      <c r="N103" t="e">
        <v>#N/A</v>
      </c>
      <c r="O103" t="e">
        <v>#N/A</v>
      </c>
      <c r="P103">
        <v>97.39</v>
      </c>
      <c r="Q103" s="4" t="e">
        <v>#N/A</v>
      </c>
    </row>
    <row r="104" spans="1:17" x14ac:dyDescent="0.4">
      <c r="A104" s="4">
        <v>39630</v>
      </c>
      <c r="B104" s="5">
        <v>271363.5</v>
      </c>
      <c r="C104">
        <v>4.6928000000000001</v>
      </c>
      <c r="D104">
        <v>2.7</v>
      </c>
      <c r="E104">
        <v>55.5</v>
      </c>
      <c r="F104">
        <v>7.5</v>
      </c>
      <c r="G104" s="8">
        <v>1550</v>
      </c>
      <c r="H104">
        <v>23.2</v>
      </c>
      <c r="I104">
        <v>0.55483996868133545</v>
      </c>
      <c r="L104">
        <v>113</v>
      </c>
      <c r="M104">
        <v>68</v>
      </c>
      <c r="N104">
        <v>100.2</v>
      </c>
      <c r="O104">
        <v>245582.6</v>
      </c>
      <c r="P104">
        <v>97.56</v>
      </c>
      <c r="Q104" s="4" t="e">
        <v>#N/A</v>
      </c>
    </row>
    <row r="105" spans="1:17" x14ac:dyDescent="0.4">
      <c r="A105" s="4">
        <v>39661</v>
      </c>
      <c r="B105" s="5" t="e">
        <v>#N/A</v>
      </c>
      <c r="C105">
        <v>4.3985000000000003</v>
      </c>
      <c r="D105">
        <v>2.5</v>
      </c>
      <c r="E105" t="e">
        <v>#N/A</v>
      </c>
      <c r="F105">
        <v>7.5</v>
      </c>
      <c r="G105" s="8">
        <v>1559</v>
      </c>
      <c r="H105" t="e">
        <v>#N/A</v>
      </c>
      <c r="I105">
        <v>0.65400916337966919</v>
      </c>
      <c r="L105">
        <v>111.3</v>
      </c>
      <c r="M105">
        <v>68.5</v>
      </c>
      <c r="N105" t="e">
        <v>#N/A</v>
      </c>
      <c r="O105" t="e">
        <v>#N/A</v>
      </c>
      <c r="P105">
        <v>94.45</v>
      </c>
      <c r="Q105" s="4" t="e">
        <v>#N/A</v>
      </c>
    </row>
    <row r="106" spans="1:17" x14ac:dyDescent="0.4">
      <c r="A106" s="4">
        <v>39692</v>
      </c>
      <c r="B106" s="5" t="e">
        <v>#N/A</v>
      </c>
      <c r="C106">
        <v>4.3559999999999999</v>
      </c>
      <c r="D106">
        <v>2.4</v>
      </c>
      <c r="E106" t="e">
        <v>#N/A</v>
      </c>
      <c r="F106">
        <v>7.5</v>
      </c>
      <c r="G106" s="8">
        <v>1557</v>
      </c>
      <c r="H106" t="e">
        <v>#N/A</v>
      </c>
      <c r="I106">
        <v>0.48818591237068176</v>
      </c>
      <c r="L106">
        <v>111</v>
      </c>
      <c r="M106">
        <v>68.8</v>
      </c>
      <c r="N106" t="e">
        <v>#N/A</v>
      </c>
      <c r="O106" t="e">
        <v>#N/A</v>
      </c>
      <c r="P106">
        <v>94.14</v>
      </c>
      <c r="Q106" s="4" t="e">
        <v>#N/A</v>
      </c>
    </row>
    <row r="107" spans="1:17" x14ac:dyDescent="0.4">
      <c r="A107" s="4">
        <v>39722</v>
      </c>
      <c r="B107" s="5">
        <v>273715</v>
      </c>
      <c r="C107">
        <v>4.1890000000000001</v>
      </c>
      <c r="D107">
        <v>2.4</v>
      </c>
      <c r="E107">
        <v>58.4</v>
      </c>
      <c r="F107">
        <v>7.6</v>
      </c>
      <c r="G107" s="8">
        <v>1550</v>
      </c>
      <c r="H107">
        <v>21</v>
      </c>
      <c r="I107">
        <v>0.33739456534385681</v>
      </c>
      <c r="L107">
        <v>109</v>
      </c>
      <c r="M107">
        <v>67.8</v>
      </c>
      <c r="N107">
        <v>99.8</v>
      </c>
      <c r="O107">
        <v>263377.40000000002</v>
      </c>
      <c r="P107">
        <v>91.58</v>
      </c>
      <c r="Q107" s="4" t="e">
        <v>#N/A</v>
      </c>
    </row>
    <row r="108" spans="1:17" x14ac:dyDescent="0.4">
      <c r="A108" s="4">
        <v>39753</v>
      </c>
      <c r="B108" s="5" t="e">
        <v>#N/A</v>
      </c>
      <c r="C108">
        <v>3.9803999999999999</v>
      </c>
      <c r="D108">
        <v>2.1</v>
      </c>
      <c r="E108" t="e">
        <v>#N/A</v>
      </c>
      <c r="F108">
        <v>7.8</v>
      </c>
      <c r="G108" s="8">
        <v>1585</v>
      </c>
      <c r="H108" t="e">
        <v>#N/A</v>
      </c>
      <c r="I108">
        <v>0.30747398734092712</v>
      </c>
      <c r="L108">
        <v>103.5</v>
      </c>
      <c r="M108">
        <v>68</v>
      </c>
      <c r="N108" t="e">
        <v>#N/A</v>
      </c>
      <c r="O108" t="e">
        <v>#N/A</v>
      </c>
      <c r="P108">
        <v>86.7</v>
      </c>
      <c r="Q108" s="4" t="e">
        <v>#N/A</v>
      </c>
    </row>
    <row r="109" spans="1:17" x14ac:dyDescent="0.4">
      <c r="A109" s="4">
        <v>39783</v>
      </c>
      <c r="B109" s="5" t="e">
        <v>#N/A</v>
      </c>
      <c r="C109">
        <v>3.5449999999999999</v>
      </c>
      <c r="D109">
        <v>1.9</v>
      </c>
      <c r="E109" t="e">
        <v>#N/A</v>
      </c>
      <c r="F109">
        <v>8</v>
      </c>
      <c r="G109" s="8">
        <v>1623</v>
      </c>
      <c r="H109" t="e">
        <v>#N/A</v>
      </c>
      <c r="I109">
        <v>0.3504977822303772</v>
      </c>
      <c r="L109">
        <v>102.3</v>
      </c>
      <c r="M109">
        <v>68.099999999999994</v>
      </c>
      <c r="N109" t="e">
        <v>#N/A</v>
      </c>
      <c r="O109" t="e">
        <v>#N/A</v>
      </c>
      <c r="P109">
        <v>82.11</v>
      </c>
      <c r="Q109" s="4" t="e">
        <v>#N/A</v>
      </c>
    </row>
    <row r="110" spans="1:17" x14ac:dyDescent="0.4">
      <c r="A110" s="4">
        <v>39814</v>
      </c>
      <c r="B110" s="5">
        <v>275232.2</v>
      </c>
      <c r="C110">
        <v>3.6088</v>
      </c>
      <c r="D110">
        <v>1.7</v>
      </c>
      <c r="E110">
        <v>62.3</v>
      </c>
      <c r="F110">
        <v>8.3000000000000007</v>
      </c>
      <c r="G110" s="8">
        <v>1673</v>
      </c>
      <c r="H110">
        <v>19.899999999999999</v>
      </c>
      <c r="I110">
        <v>0.4146653413772583</v>
      </c>
      <c r="L110">
        <v>98</v>
      </c>
      <c r="M110">
        <v>68.5</v>
      </c>
      <c r="N110">
        <v>99.2</v>
      </c>
      <c r="O110">
        <v>246081.9</v>
      </c>
      <c r="P110">
        <v>80.39</v>
      </c>
      <c r="Q110" s="4" t="e">
        <v>#N/A</v>
      </c>
    </row>
    <row r="111" spans="1:17" x14ac:dyDescent="0.4">
      <c r="A111" s="4">
        <v>39845</v>
      </c>
      <c r="B111" s="5" t="e">
        <v>#N/A</v>
      </c>
      <c r="C111">
        <v>3.6591</v>
      </c>
      <c r="D111">
        <v>1.8</v>
      </c>
      <c r="E111" t="e">
        <v>#N/A</v>
      </c>
      <c r="F111">
        <v>8.6</v>
      </c>
      <c r="G111" s="8">
        <v>1740</v>
      </c>
      <c r="H111" t="e">
        <v>#N/A</v>
      </c>
      <c r="I111">
        <v>0.2557159960269928</v>
      </c>
      <c r="L111">
        <v>96.8</v>
      </c>
      <c r="M111">
        <v>67.400000000000006</v>
      </c>
      <c r="N111" t="e">
        <v>#N/A</v>
      </c>
      <c r="O111" t="e">
        <v>#N/A</v>
      </c>
      <c r="P111">
        <v>80.849999999999994</v>
      </c>
      <c r="Q111" s="4" t="e">
        <v>#N/A</v>
      </c>
    </row>
    <row r="112" spans="1:17" x14ac:dyDescent="0.4">
      <c r="A112" s="4">
        <v>39873</v>
      </c>
      <c r="B112" s="5" t="e">
        <v>#N/A</v>
      </c>
      <c r="C112">
        <v>3.6507999999999998</v>
      </c>
      <c r="D112">
        <v>1.6</v>
      </c>
      <c r="E112" t="e">
        <v>#N/A</v>
      </c>
      <c r="F112">
        <v>8.9</v>
      </c>
      <c r="G112" s="8">
        <v>1808</v>
      </c>
      <c r="H112" t="e">
        <v>#N/A</v>
      </c>
      <c r="I112">
        <v>0.21164388954639435</v>
      </c>
      <c r="L112">
        <v>95</v>
      </c>
      <c r="M112">
        <v>66.900000000000006</v>
      </c>
      <c r="N112" t="e">
        <v>#N/A</v>
      </c>
      <c r="O112" t="e">
        <v>#N/A</v>
      </c>
      <c r="P112">
        <v>79.31</v>
      </c>
      <c r="Q112" s="4" t="e">
        <v>#N/A</v>
      </c>
    </row>
    <row r="113" spans="1:17" x14ac:dyDescent="0.4">
      <c r="A113" s="4">
        <v>39904</v>
      </c>
      <c r="B113" s="5">
        <v>279717.5</v>
      </c>
      <c r="C113">
        <v>3.6635</v>
      </c>
      <c r="D113">
        <v>1.4</v>
      </c>
      <c r="E113">
        <v>67.2</v>
      </c>
      <c r="F113">
        <v>9.1</v>
      </c>
      <c r="G113" s="8">
        <v>1866</v>
      </c>
      <c r="H113">
        <v>21.4</v>
      </c>
      <c r="I113">
        <v>0.39401388168334961</v>
      </c>
      <c r="L113">
        <v>95</v>
      </c>
      <c r="M113">
        <v>67.8</v>
      </c>
      <c r="N113">
        <v>98.8</v>
      </c>
      <c r="O113">
        <v>249858.7</v>
      </c>
      <c r="P113">
        <v>79.290000000000006</v>
      </c>
      <c r="Q113" s="4" t="e">
        <v>#N/A</v>
      </c>
    </row>
    <row r="114" spans="1:17" x14ac:dyDescent="0.4">
      <c r="A114" s="4">
        <v>39934</v>
      </c>
      <c r="B114" s="5" t="e">
        <v>#N/A</v>
      </c>
      <c r="C114">
        <v>3.8012999999999999</v>
      </c>
      <c r="D114">
        <v>1.3</v>
      </c>
      <c r="E114" t="e">
        <v>#N/A</v>
      </c>
      <c r="F114">
        <v>9.1999999999999993</v>
      </c>
      <c r="G114" s="8">
        <v>1902</v>
      </c>
      <c r="H114" t="e">
        <v>#N/A</v>
      </c>
      <c r="I114">
        <v>0.24453394114971161</v>
      </c>
      <c r="L114">
        <v>96.3</v>
      </c>
      <c r="M114">
        <v>67.5</v>
      </c>
      <c r="N114" t="e">
        <v>#N/A</v>
      </c>
      <c r="O114" t="e">
        <v>#N/A</v>
      </c>
      <c r="P114">
        <v>78.86</v>
      </c>
      <c r="Q114" s="4" t="e">
        <v>#N/A</v>
      </c>
    </row>
    <row r="115" spans="1:17" x14ac:dyDescent="0.4">
      <c r="A115" s="4">
        <v>39965</v>
      </c>
      <c r="B115" s="5" t="e">
        <v>#N/A</v>
      </c>
      <c r="C115">
        <v>3.8980000000000001</v>
      </c>
      <c r="D115">
        <v>1.1000000000000001</v>
      </c>
      <c r="E115" t="e">
        <v>#N/A</v>
      </c>
      <c r="F115">
        <v>9.1999999999999993</v>
      </c>
      <c r="G115" s="8">
        <v>1891</v>
      </c>
      <c r="H115" t="e">
        <v>#N/A</v>
      </c>
      <c r="I115">
        <v>0.35344991087913513</v>
      </c>
      <c r="L115">
        <v>97.5</v>
      </c>
      <c r="M115">
        <v>68.7</v>
      </c>
      <c r="N115" t="e">
        <v>#N/A</v>
      </c>
      <c r="O115" t="e">
        <v>#N/A</v>
      </c>
      <c r="P115">
        <v>81.3</v>
      </c>
      <c r="Q115" s="4" t="e">
        <v>#N/A</v>
      </c>
    </row>
    <row r="116" spans="1:17" x14ac:dyDescent="0.4">
      <c r="A116" s="4">
        <v>39995</v>
      </c>
      <c r="B116" s="5">
        <v>282446.7</v>
      </c>
      <c r="C116">
        <v>3.7271000000000001</v>
      </c>
      <c r="D116">
        <v>1</v>
      </c>
      <c r="E116">
        <v>69.400000000000006</v>
      </c>
      <c r="F116">
        <v>9.1</v>
      </c>
      <c r="G116" s="8">
        <v>1878</v>
      </c>
      <c r="H116">
        <v>22.5</v>
      </c>
      <c r="I116">
        <v>0.29420754313468933</v>
      </c>
      <c r="L116">
        <v>97.1</v>
      </c>
      <c r="M116">
        <v>67.5</v>
      </c>
      <c r="N116">
        <v>98.6</v>
      </c>
      <c r="O116">
        <v>244943.9</v>
      </c>
      <c r="P116">
        <v>80.540000000000006</v>
      </c>
      <c r="Q116" s="4" t="e">
        <v>#N/A</v>
      </c>
    </row>
    <row r="117" spans="1:17" x14ac:dyDescent="0.4">
      <c r="A117" s="4">
        <v>40026</v>
      </c>
      <c r="B117" s="5" t="e">
        <v>#N/A</v>
      </c>
      <c r="C117">
        <v>3.5886</v>
      </c>
      <c r="D117">
        <v>1.1000000000000001</v>
      </c>
      <c r="E117" t="e">
        <v>#N/A</v>
      </c>
      <c r="F117">
        <v>9.1999999999999993</v>
      </c>
      <c r="G117" s="8">
        <v>1890</v>
      </c>
      <c r="H117" t="e">
        <v>#N/A</v>
      </c>
      <c r="I117">
        <v>0.2240716964006424</v>
      </c>
      <c r="L117">
        <v>98.5</v>
      </c>
      <c r="M117">
        <v>67.599999999999994</v>
      </c>
      <c r="N117" t="e">
        <v>#N/A</v>
      </c>
      <c r="O117" t="e">
        <v>#N/A</v>
      </c>
      <c r="P117">
        <v>82.02</v>
      </c>
      <c r="Q117" s="4" t="e">
        <v>#N/A</v>
      </c>
    </row>
    <row r="118" spans="1:17" x14ac:dyDescent="0.4">
      <c r="A118" s="4">
        <v>40057</v>
      </c>
      <c r="B118" s="5" t="e">
        <v>#N/A</v>
      </c>
      <c r="C118">
        <v>3.5857000000000001</v>
      </c>
      <c r="D118">
        <v>1</v>
      </c>
      <c r="E118" t="e">
        <v>#N/A</v>
      </c>
      <c r="F118">
        <v>9.3000000000000007</v>
      </c>
      <c r="G118" s="8">
        <v>1920</v>
      </c>
      <c r="H118" t="e">
        <v>#N/A</v>
      </c>
      <c r="I118">
        <v>0.62217837572097778</v>
      </c>
      <c r="L118">
        <v>99.3</v>
      </c>
      <c r="M118">
        <v>68.3</v>
      </c>
      <c r="N118" t="e">
        <v>#N/A</v>
      </c>
      <c r="O118" t="e">
        <v>#N/A</v>
      </c>
      <c r="P118">
        <v>81.430000000000007</v>
      </c>
      <c r="Q118" s="4" t="e">
        <v>#N/A</v>
      </c>
    </row>
    <row r="119" spans="1:17" x14ac:dyDescent="0.4">
      <c r="A119" s="4">
        <v>40087</v>
      </c>
      <c r="B119" s="5">
        <v>285284.7</v>
      </c>
      <c r="C119">
        <v>3.5558000000000001</v>
      </c>
      <c r="D119">
        <v>0.8</v>
      </c>
      <c r="E119">
        <v>70.400000000000006</v>
      </c>
      <c r="F119">
        <v>9.5</v>
      </c>
      <c r="G119" s="8">
        <v>1989</v>
      </c>
      <c r="H119">
        <v>24.2</v>
      </c>
      <c r="I119">
        <v>0.45160374045372009</v>
      </c>
      <c r="L119">
        <v>98.5</v>
      </c>
      <c r="M119">
        <v>68.7</v>
      </c>
      <c r="N119">
        <v>98.6</v>
      </c>
      <c r="O119">
        <v>265748.59999999998</v>
      </c>
      <c r="P119">
        <v>81.819999999999993</v>
      </c>
      <c r="Q119" s="4" t="e">
        <v>#N/A</v>
      </c>
    </row>
    <row r="120" spans="1:17" x14ac:dyDescent="0.4">
      <c r="A120" s="4">
        <v>40118</v>
      </c>
      <c r="B120" s="5" t="e">
        <v>#N/A</v>
      </c>
      <c r="C120">
        <v>3.5568</v>
      </c>
      <c r="D120">
        <v>0.9</v>
      </c>
      <c r="E120" t="e">
        <v>#N/A</v>
      </c>
      <c r="F120">
        <v>9.6</v>
      </c>
      <c r="G120" s="8">
        <v>2021</v>
      </c>
      <c r="H120" t="e">
        <v>#N/A</v>
      </c>
      <c r="I120">
        <v>0.28208744525909424</v>
      </c>
      <c r="L120">
        <v>99.6</v>
      </c>
      <c r="M120">
        <v>68.2</v>
      </c>
      <c r="N120" t="e">
        <v>#N/A</v>
      </c>
      <c r="O120" t="e">
        <v>#N/A</v>
      </c>
      <c r="P120">
        <v>83.36</v>
      </c>
      <c r="Q120" s="4" t="e">
        <v>#N/A</v>
      </c>
    </row>
    <row r="121" spans="1:17" x14ac:dyDescent="0.4">
      <c r="A121" s="4">
        <v>40148</v>
      </c>
      <c r="B121" s="5" t="e">
        <v>#N/A</v>
      </c>
      <c r="C121">
        <v>3.4744000000000002</v>
      </c>
      <c r="D121">
        <v>1</v>
      </c>
      <c r="E121" t="e">
        <v>#N/A</v>
      </c>
      <c r="F121">
        <v>9.5</v>
      </c>
      <c r="G121" s="8">
        <v>2007</v>
      </c>
      <c r="H121" t="e">
        <v>#N/A</v>
      </c>
      <c r="I121">
        <v>0.34194222092628479</v>
      </c>
      <c r="L121">
        <v>99.2</v>
      </c>
      <c r="M121">
        <v>69.5</v>
      </c>
      <c r="N121" t="e">
        <v>#N/A</v>
      </c>
      <c r="O121" t="e">
        <v>#N/A</v>
      </c>
      <c r="P121">
        <v>83.06</v>
      </c>
      <c r="Q121" s="4" t="e">
        <v>#N/A</v>
      </c>
    </row>
    <row r="122" spans="1:17" x14ac:dyDescent="0.4">
      <c r="A122" s="4">
        <v>40179</v>
      </c>
      <c r="B122" s="5">
        <v>285915.5</v>
      </c>
      <c r="C122">
        <v>3.5182000000000002</v>
      </c>
      <c r="D122">
        <v>0.8</v>
      </c>
      <c r="E122">
        <v>71.900000000000006</v>
      </c>
      <c r="F122">
        <v>9.5</v>
      </c>
      <c r="G122" s="8">
        <v>2011</v>
      </c>
      <c r="H122">
        <v>25.9</v>
      </c>
      <c r="I122">
        <v>0.31794151663780212</v>
      </c>
      <c r="L122">
        <v>99.9</v>
      </c>
      <c r="M122">
        <v>68.5</v>
      </c>
      <c r="N122">
        <v>98.4</v>
      </c>
      <c r="O122">
        <v>251246.2</v>
      </c>
      <c r="P122">
        <v>85.13</v>
      </c>
      <c r="Q122" s="4" t="e">
        <v>#N/A</v>
      </c>
    </row>
    <row r="123" spans="1:17" x14ac:dyDescent="0.4">
      <c r="A123" s="4">
        <v>40210</v>
      </c>
      <c r="B123" s="5" t="e">
        <v>#N/A</v>
      </c>
      <c r="C123">
        <v>3.4941</v>
      </c>
      <c r="D123">
        <v>1.1000000000000001</v>
      </c>
      <c r="E123" t="e">
        <v>#N/A</v>
      </c>
      <c r="F123">
        <v>9.4</v>
      </c>
      <c r="G123" s="8">
        <v>1990</v>
      </c>
      <c r="H123" t="e">
        <v>#N/A</v>
      </c>
      <c r="I123">
        <v>0.3094848096370697</v>
      </c>
      <c r="L123">
        <v>99.4</v>
      </c>
      <c r="M123">
        <v>69</v>
      </c>
      <c r="N123" t="e">
        <v>#N/A</v>
      </c>
      <c r="O123" t="e">
        <v>#N/A</v>
      </c>
      <c r="P123">
        <v>85.14</v>
      </c>
      <c r="Q123" s="4" t="e">
        <v>#N/A</v>
      </c>
    </row>
    <row r="124" spans="1:17" x14ac:dyDescent="0.4">
      <c r="A124" s="4">
        <v>40238</v>
      </c>
      <c r="B124" s="5" t="e">
        <v>#N/A</v>
      </c>
      <c r="C124">
        <v>3.4380999999999999</v>
      </c>
      <c r="D124">
        <v>1.1000000000000001</v>
      </c>
      <c r="E124" t="e">
        <v>#N/A</v>
      </c>
      <c r="F124">
        <v>9.3000000000000007</v>
      </c>
      <c r="G124" s="8">
        <v>1968</v>
      </c>
      <c r="H124" t="e">
        <v>#N/A</v>
      </c>
      <c r="I124">
        <v>0.23418408632278442</v>
      </c>
      <c r="L124">
        <v>101.4</v>
      </c>
      <c r="M124">
        <v>69.900000000000006</v>
      </c>
      <c r="N124" t="e">
        <v>#N/A</v>
      </c>
      <c r="O124" t="e">
        <v>#N/A</v>
      </c>
      <c r="P124">
        <v>86.87</v>
      </c>
      <c r="Q124" s="4" t="e">
        <v>#N/A</v>
      </c>
    </row>
    <row r="125" spans="1:17" x14ac:dyDescent="0.4">
      <c r="A125" s="4">
        <v>40269</v>
      </c>
      <c r="B125" s="5">
        <v>287168.40000000002</v>
      </c>
      <c r="C125">
        <v>3.3992</v>
      </c>
      <c r="D125">
        <v>1</v>
      </c>
      <c r="E125">
        <v>73.5</v>
      </c>
      <c r="F125">
        <v>9.3000000000000007</v>
      </c>
      <c r="G125" s="8">
        <v>1958</v>
      </c>
      <c r="H125">
        <v>25.7</v>
      </c>
      <c r="I125">
        <v>0.26694190502166748</v>
      </c>
      <c r="L125">
        <v>101</v>
      </c>
      <c r="M125">
        <v>70.3</v>
      </c>
      <c r="N125">
        <v>98.9</v>
      </c>
      <c r="O125">
        <v>257171.4</v>
      </c>
      <c r="P125">
        <v>89.16</v>
      </c>
      <c r="Q125" s="4" t="e">
        <v>#N/A</v>
      </c>
    </row>
    <row r="126" spans="1:17" x14ac:dyDescent="0.4">
      <c r="A126" s="4">
        <v>40299</v>
      </c>
      <c r="B126" s="5" t="e">
        <v>#N/A</v>
      </c>
      <c r="C126">
        <v>3.0766</v>
      </c>
      <c r="D126">
        <v>0.9</v>
      </c>
      <c r="E126" t="e">
        <v>#N/A</v>
      </c>
      <c r="F126">
        <v>9.3000000000000007</v>
      </c>
      <c r="G126" s="8">
        <v>1957</v>
      </c>
      <c r="H126" t="e">
        <v>#N/A</v>
      </c>
      <c r="I126">
        <v>0.37532413005828857</v>
      </c>
      <c r="L126">
        <v>102</v>
      </c>
      <c r="M126">
        <v>70.900000000000006</v>
      </c>
      <c r="N126" t="e">
        <v>#N/A</v>
      </c>
      <c r="O126" t="e">
        <v>#N/A</v>
      </c>
      <c r="P126">
        <v>89.31</v>
      </c>
      <c r="Q126" s="4" t="e">
        <v>#N/A</v>
      </c>
    </row>
    <row r="127" spans="1:17" x14ac:dyDescent="0.4">
      <c r="A127" s="4">
        <v>40330</v>
      </c>
      <c r="B127" s="5" t="e">
        <v>#N/A</v>
      </c>
      <c r="C127">
        <v>3.0714000000000001</v>
      </c>
      <c r="D127">
        <v>1.1000000000000001</v>
      </c>
      <c r="E127" t="e">
        <v>#N/A</v>
      </c>
      <c r="F127">
        <v>9.1999999999999993</v>
      </c>
      <c r="G127" s="8">
        <v>1936</v>
      </c>
      <c r="H127" t="e">
        <v>#N/A</v>
      </c>
      <c r="I127">
        <v>0.3405572772026062</v>
      </c>
      <c r="L127">
        <v>101.5</v>
      </c>
      <c r="M127">
        <v>69.7</v>
      </c>
      <c r="N127" t="e">
        <v>#N/A</v>
      </c>
      <c r="O127" t="e">
        <v>#N/A</v>
      </c>
      <c r="P127">
        <v>88.75</v>
      </c>
      <c r="Q127" s="4" t="e">
        <v>#N/A</v>
      </c>
    </row>
    <row r="128" spans="1:17" x14ac:dyDescent="0.4">
      <c r="A128" s="4">
        <v>40360</v>
      </c>
      <c r="B128" s="5">
        <v>288939.3</v>
      </c>
      <c r="C128">
        <v>2.9809000000000001</v>
      </c>
      <c r="D128">
        <v>1.2</v>
      </c>
      <c r="E128">
        <v>71.900000000000006</v>
      </c>
      <c r="F128">
        <v>9.1999999999999993</v>
      </c>
      <c r="G128" s="8">
        <v>1924</v>
      </c>
      <c r="H128">
        <v>25.6</v>
      </c>
      <c r="I128">
        <v>0.18991348147392273</v>
      </c>
      <c r="L128">
        <v>102.1</v>
      </c>
      <c r="M128">
        <v>71</v>
      </c>
      <c r="N128">
        <v>99</v>
      </c>
      <c r="O128">
        <v>252120.4</v>
      </c>
      <c r="P128">
        <v>88.75</v>
      </c>
      <c r="Q128" s="4" t="e">
        <v>#N/A</v>
      </c>
    </row>
    <row r="129" spans="1:17" x14ac:dyDescent="0.4">
      <c r="A129" s="4">
        <v>40391</v>
      </c>
      <c r="B129" s="5" t="e">
        <v>#N/A</v>
      </c>
      <c r="C129">
        <v>2.681</v>
      </c>
      <c r="D129">
        <v>1</v>
      </c>
      <c r="E129" t="e">
        <v>#N/A</v>
      </c>
      <c r="F129">
        <v>9.3000000000000007</v>
      </c>
      <c r="G129" s="8">
        <v>1941</v>
      </c>
      <c r="H129" t="e">
        <v>#N/A</v>
      </c>
      <c r="I129">
        <v>0.20651072263717651</v>
      </c>
      <c r="L129">
        <v>101.2</v>
      </c>
      <c r="M129">
        <v>70.7</v>
      </c>
      <c r="N129" t="e">
        <v>#N/A</v>
      </c>
      <c r="O129" t="e">
        <v>#N/A</v>
      </c>
      <c r="P129">
        <v>88.75</v>
      </c>
      <c r="Q129" s="4" t="e">
        <v>#N/A</v>
      </c>
    </row>
    <row r="130" spans="1:17" x14ac:dyDescent="0.4">
      <c r="A130" s="4">
        <v>40422</v>
      </c>
      <c r="B130" s="5" t="e">
        <v>#N/A</v>
      </c>
      <c r="C130">
        <v>2.6652</v>
      </c>
      <c r="D130">
        <v>1.1000000000000001</v>
      </c>
      <c r="E130" t="e">
        <v>#N/A</v>
      </c>
      <c r="F130">
        <v>9.1999999999999993</v>
      </c>
      <c r="G130" s="8">
        <v>1955</v>
      </c>
      <c r="H130" t="e">
        <v>#N/A</v>
      </c>
      <c r="I130">
        <v>0.24968349933624268</v>
      </c>
      <c r="L130">
        <v>102.5</v>
      </c>
      <c r="M130">
        <v>71.3</v>
      </c>
      <c r="N130" t="e">
        <v>#N/A</v>
      </c>
      <c r="O130" t="e">
        <v>#N/A</v>
      </c>
      <c r="P130">
        <v>89.19</v>
      </c>
      <c r="Q130" s="4" t="e">
        <v>#N/A</v>
      </c>
    </row>
    <row r="131" spans="1:17" x14ac:dyDescent="0.4">
      <c r="A131" s="4">
        <v>40452</v>
      </c>
      <c r="B131" s="5">
        <v>289622.5</v>
      </c>
      <c r="C131">
        <v>2.7206999999999999</v>
      </c>
      <c r="D131">
        <v>1.1000000000000001</v>
      </c>
      <c r="E131">
        <v>71.8</v>
      </c>
      <c r="F131">
        <v>9.1999999999999993</v>
      </c>
      <c r="G131" s="8">
        <v>1965</v>
      </c>
      <c r="H131">
        <v>26.1</v>
      </c>
      <c r="I131">
        <v>0.36167553067207336</v>
      </c>
      <c r="L131">
        <v>102.4</v>
      </c>
      <c r="M131">
        <v>70.900000000000006</v>
      </c>
      <c r="N131">
        <v>99.4</v>
      </c>
      <c r="O131">
        <v>272190.7</v>
      </c>
      <c r="P131">
        <v>90.59</v>
      </c>
      <c r="Q131" s="4" t="e">
        <v>#N/A</v>
      </c>
    </row>
    <row r="132" spans="1:17" x14ac:dyDescent="0.4">
      <c r="A132" s="4">
        <v>40483</v>
      </c>
      <c r="B132" s="5" t="e">
        <v>#N/A</v>
      </c>
      <c r="C132">
        <v>2.9965000000000002</v>
      </c>
      <c r="D132">
        <v>1.1000000000000001</v>
      </c>
      <c r="E132" t="e">
        <v>#N/A</v>
      </c>
      <c r="F132">
        <v>9.1999999999999993</v>
      </c>
      <c r="G132" s="8">
        <v>1982</v>
      </c>
      <c r="H132" t="e">
        <v>#N/A</v>
      </c>
      <c r="I132">
        <v>0.35638168454170227</v>
      </c>
      <c r="L132">
        <v>103.6</v>
      </c>
      <c r="M132">
        <v>72.2</v>
      </c>
      <c r="N132" t="e">
        <v>#N/A</v>
      </c>
      <c r="O132" t="e">
        <v>#N/A</v>
      </c>
      <c r="P132">
        <v>91.43</v>
      </c>
      <c r="Q132" s="4" t="e">
        <v>#N/A</v>
      </c>
    </row>
    <row r="133" spans="1:17" x14ac:dyDescent="0.4">
      <c r="A133" s="4">
        <v>40513</v>
      </c>
      <c r="B133" s="5" t="e">
        <v>#N/A</v>
      </c>
      <c r="C133">
        <v>3.3466</v>
      </c>
      <c r="D133">
        <v>1.1000000000000001</v>
      </c>
      <c r="E133" t="e">
        <v>#N/A</v>
      </c>
      <c r="F133">
        <v>9.1999999999999993</v>
      </c>
      <c r="G133" s="8">
        <v>1977</v>
      </c>
      <c r="H133" t="e">
        <v>#N/A</v>
      </c>
      <c r="I133">
        <v>0.41542354226112366</v>
      </c>
      <c r="L133">
        <v>104.9</v>
      </c>
      <c r="M133">
        <v>72.599999999999994</v>
      </c>
      <c r="N133" t="e">
        <v>#N/A</v>
      </c>
      <c r="O133" t="e">
        <v>#N/A</v>
      </c>
      <c r="P133">
        <v>93.15</v>
      </c>
      <c r="Q133" s="4" t="e">
        <v>#N/A</v>
      </c>
    </row>
    <row r="134" spans="1:17" x14ac:dyDescent="0.4">
      <c r="A134" s="4">
        <v>40544</v>
      </c>
      <c r="B134" s="5">
        <v>291612.79999999999</v>
      </c>
      <c r="C134">
        <v>3.4436</v>
      </c>
      <c r="D134">
        <v>0.9</v>
      </c>
      <c r="E134">
        <v>72.099999999999994</v>
      </c>
      <c r="F134">
        <v>9.1999999999999993</v>
      </c>
      <c r="G134" s="8">
        <v>1953</v>
      </c>
      <c r="H134">
        <v>26.2</v>
      </c>
      <c r="I134">
        <v>0.35478967428207397</v>
      </c>
      <c r="L134">
        <v>106.1</v>
      </c>
      <c r="M134">
        <v>72.599999999999994</v>
      </c>
      <c r="N134">
        <v>99.9</v>
      </c>
      <c r="O134">
        <v>259459.7</v>
      </c>
      <c r="P134">
        <v>96.4</v>
      </c>
      <c r="Q134" s="4" t="e">
        <v>#N/A</v>
      </c>
    </row>
    <row r="135" spans="1:17" x14ac:dyDescent="0.4">
      <c r="A135" s="4">
        <v>40575</v>
      </c>
      <c r="B135" s="5" t="e">
        <v>#N/A</v>
      </c>
      <c r="C135">
        <v>3.6029</v>
      </c>
      <c r="D135">
        <v>0.7</v>
      </c>
      <c r="E135" t="e">
        <v>#N/A</v>
      </c>
      <c r="F135">
        <v>9.1999999999999993</v>
      </c>
      <c r="G135" s="8">
        <v>1947</v>
      </c>
      <c r="H135" t="e">
        <v>#N/A</v>
      </c>
      <c r="I135">
        <v>0.3403860330581665</v>
      </c>
      <c r="L135">
        <v>106.6</v>
      </c>
      <c r="M135">
        <v>73.400000000000006</v>
      </c>
      <c r="N135" t="e">
        <v>#N/A</v>
      </c>
      <c r="O135" t="e">
        <v>#N/A</v>
      </c>
      <c r="P135">
        <v>97.39</v>
      </c>
      <c r="Q135" s="4" t="e">
        <v>#N/A</v>
      </c>
    </row>
    <row r="136" spans="1:17" x14ac:dyDescent="0.4">
      <c r="A136" s="4">
        <v>40603</v>
      </c>
      <c r="B136" s="5" t="e">
        <v>#N/A</v>
      </c>
      <c r="C136">
        <v>3.6073</v>
      </c>
      <c r="D136">
        <v>1</v>
      </c>
      <c r="E136" t="e">
        <v>#N/A</v>
      </c>
      <c r="F136">
        <v>9.1</v>
      </c>
      <c r="G136" s="8">
        <v>1923</v>
      </c>
      <c r="H136" t="e">
        <v>#N/A</v>
      </c>
      <c r="I136">
        <v>1.3242388963699341</v>
      </c>
      <c r="L136">
        <v>105.3</v>
      </c>
      <c r="M136">
        <v>73.2</v>
      </c>
      <c r="N136" t="e">
        <v>#N/A</v>
      </c>
      <c r="O136" t="e">
        <v>#N/A</v>
      </c>
      <c r="P136">
        <v>99.64</v>
      </c>
      <c r="Q136" s="4" t="e">
        <v>#N/A</v>
      </c>
    </row>
    <row r="137" spans="1:17" x14ac:dyDescent="0.4">
      <c r="A137" s="4">
        <v>40634</v>
      </c>
      <c r="B137" s="5">
        <v>293082.5</v>
      </c>
      <c r="C137">
        <v>3.6916000000000002</v>
      </c>
      <c r="D137">
        <v>1.2</v>
      </c>
      <c r="E137">
        <v>74.099999999999994</v>
      </c>
      <c r="F137">
        <v>9.1</v>
      </c>
      <c r="G137" s="8">
        <v>1926</v>
      </c>
      <c r="H137">
        <v>26.6</v>
      </c>
      <c r="I137">
        <v>0.77999210357666016</v>
      </c>
      <c r="L137">
        <v>103.5</v>
      </c>
      <c r="M137">
        <v>73.900000000000006</v>
      </c>
      <c r="N137">
        <v>100.2</v>
      </c>
      <c r="O137">
        <v>265212.2</v>
      </c>
      <c r="P137">
        <v>100.87</v>
      </c>
      <c r="Q137" s="4" t="e">
        <v>#N/A</v>
      </c>
    </row>
    <row r="138" spans="1:17" x14ac:dyDescent="0.4">
      <c r="A138" s="4">
        <v>40664</v>
      </c>
      <c r="B138" s="5" t="e">
        <v>#N/A</v>
      </c>
      <c r="C138">
        <v>3.4881000000000002</v>
      </c>
      <c r="D138">
        <v>1.3</v>
      </c>
      <c r="E138" t="e">
        <v>#N/A</v>
      </c>
      <c r="F138">
        <v>9.1</v>
      </c>
      <c r="G138" s="8">
        <v>1929</v>
      </c>
      <c r="H138" t="e">
        <v>#N/A</v>
      </c>
      <c r="I138">
        <v>0.50697988271713257</v>
      </c>
      <c r="L138">
        <v>107</v>
      </c>
      <c r="M138">
        <v>72.7</v>
      </c>
      <c r="N138" t="e">
        <v>#N/A</v>
      </c>
      <c r="O138" t="e">
        <v>#N/A</v>
      </c>
      <c r="P138">
        <v>99.29</v>
      </c>
      <c r="Q138" s="4" t="e">
        <v>#N/A</v>
      </c>
    </row>
    <row r="139" spans="1:17" x14ac:dyDescent="0.4">
      <c r="A139" s="4">
        <v>40695</v>
      </c>
      <c r="B139" s="5" t="e">
        <v>#N/A</v>
      </c>
      <c r="C139">
        <v>3.4298999999999999</v>
      </c>
      <c r="D139">
        <v>1.4</v>
      </c>
      <c r="E139" t="e">
        <v>#N/A</v>
      </c>
      <c r="F139">
        <v>9.1999999999999993</v>
      </c>
      <c r="G139" s="8">
        <v>1967</v>
      </c>
      <c r="H139" t="e">
        <v>#N/A</v>
      </c>
      <c r="I139">
        <v>0.40686997771263123</v>
      </c>
      <c r="L139">
        <v>103.8</v>
      </c>
      <c r="M139">
        <v>73.3</v>
      </c>
      <c r="N139" t="e">
        <v>#N/A</v>
      </c>
      <c r="O139" t="e">
        <v>#N/A</v>
      </c>
      <c r="P139">
        <v>98.81</v>
      </c>
      <c r="Q139" s="4" t="e">
        <v>#N/A</v>
      </c>
    </row>
    <row r="140" spans="1:17" x14ac:dyDescent="0.4">
      <c r="A140" s="4">
        <v>40725</v>
      </c>
      <c r="B140" s="5">
        <v>294633.2</v>
      </c>
      <c r="C140">
        <v>3.3927</v>
      </c>
      <c r="D140">
        <v>1.2</v>
      </c>
      <c r="E140">
        <v>73.3</v>
      </c>
      <c r="F140">
        <v>9.1999999999999993</v>
      </c>
      <c r="G140" s="8">
        <v>2000</v>
      </c>
      <c r="H140">
        <v>27.6</v>
      </c>
      <c r="I140">
        <v>0.3613569438457489</v>
      </c>
      <c r="L140">
        <v>105.1</v>
      </c>
      <c r="M140">
        <v>73.099999999999994</v>
      </c>
      <c r="N140">
        <v>100.2</v>
      </c>
      <c r="O140">
        <v>259323.4</v>
      </c>
      <c r="P140">
        <v>98.81</v>
      </c>
      <c r="Q140" s="4" t="s">
        <v>27</v>
      </c>
    </row>
    <row r="141" spans="1:17" x14ac:dyDescent="0.4">
      <c r="A141" s="4">
        <v>40756</v>
      </c>
      <c r="B141" s="5" t="e">
        <v>#N/A</v>
      </c>
      <c r="C141">
        <v>2.9815</v>
      </c>
      <c r="D141">
        <v>1.5</v>
      </c>
      <c r="E141" t="e">
        <v>#N/A</v>
      </c>
      <c r="F141">
        <v>9.1999999999999993</v>
      </c>
      <c r="G141" s="8">
        <v>2015</v>
      </c>
      <c r="H141" t="e">
        <v>#N/A</v>
      </c>
      <c r="I141">
        <v>0.4459100067615509</v>
      </c>
      <c r="L141">
        <v>104</v>
      </c>
      <c r="M141">
        <v>73</v>
      </c>
      <c r="N141" t="e">
        <v>#N/A</v>
      </c>
      <c r="O141" t="e">
        <v>#N/A</v>
      </c>
      <c r="P141">
        <v>99.2</v>
      </c>
      <c r="Q141" s="4" t="e">
        <v>#N/A</v>
      </c>
    </row>
    <row r="142" spans="1:17" x14ac:dyDescent="0.4">
      <c r="A142" s="4">
        <v>40787</v>
      </c>
      <c r="B142" s="5" t="e">
        <v>#N/A</v>
      </c>
      <c r="C142">
        <v>2.6408</v>
      </c>
      <c r="D142">
        <v>1.5</v>
      </c>
      <c r="E142" t="e">
        <v>#N/A</v>
      </c>
      <c r="F142">
        <v>9.1999999999999993</v>
      </c>
      <c r="G142" s="8">
        <v>2019</v>
      </c>
      <c r="H142" t="e">
        <v>#N/A</v>
      </c>
      <c r="I142">
        <v>0.29829546809196472</v>
      </c>
      <c r="L142">
        <v>103.4</v>
      </c>
      <c r="M142">
        <v>73.599999999999994</v>
      </c>
      <c r="N142" t="e">
        <v>#N/A</v>
      </c>
      <c r="O142" t="e">
        <v>#N/A</v>
      </c>
      <c r="P142">
        <v>99.9</v>
      </c>
      <c r="Q142" s="4" t="e">
        <v>#N/A</v>
      </c>
    </row>
    <row r="143" spans="1:17" x14ac:dyDescent="0.4">
      <c r="A143" s="4">
        <v>40817</v>
      </c>
      <c r="B143" s="5">
        <v>296253.7</v>
      </c>
      <c r="C143">
        <v>2.9946999999999999</v>
      </c>
      <c r="D143">
        <v>1.7</v>
      </c>
      <c r="E143">
        <v>73.5</v>
      </c>
      <c r="F143">
        <v>9.3000000000000007</v>
      </c>
      <c r="G143" s="8">
        <v>2038</v>
      </c>
      <c r="H143">
        <v>27.4</v>
      </c>
      <c r="I143">
        <v>0.32309043407440186</v>
      </c>
      <c r="L143">
        <v>103.7</v>
      </c>
      <c r="M143">
        <v>73.8</v>
      </c>
      <c r="N143">
        <v>100.3</v>
      </c>
      <c r="O143">
        <v>280382.8</v>
      </c>
      <c r="P143">
        <v>100.51</v>
      </c>
      <c r="Q143" s="4" t="e">
        <v>#N/A</v>
      </c>
    </row>
    <row r="144" spans="1:17" x14ac:dyDescent="0.4">
      <c r="A144" s="4">
        <v>40848</v>
      </c>
      <c r="B144" s="5" t="e">
        <v>#N/A</v>
      </c>
      <c r="C144">
        <v>3.4093</v>
      </c>
      <c r="D144">
        <v>1.9</v>
      </c>
      <c r="E144" t="e">
        <v>#N/A</v>
      </c>
      <c r="F144">
        <v>9.3000000000000007</v>
      </c>
      <c r="G144" s="8">
        <v>2048</v>
      </c>
      <c r="H144" t="e">
        <v>#N/A</v>
      </c>
      <c r="I144">
        <v>0.5159224271774292</v>
      </c>
      <c r="L144">
        <v>105.9</v>
      </c>
      <c r="M144">
        <v>74</v>
      </c>
      <c r="N144" t="e">
        <v>#N/A</v>
      </c>
      <c r="O144" t="e">
        <v>#N/A</v>
      </c>
      <c r="P144">
        <v>101.58</v>
      </c>
      <c r="Q144" s="4" t="s">
        <v>27</v>
      </c>
    </row>
    <row r="145" spans="1:17" x14ac:dyDescent="0.4">
      <c r="A145" s="4">
        <v>40878</v>
      </c>
      <c r="B145" s="5" t="e">
        <v>#N/A</v>
      </c>
      <c r="C145">
        <v>3.1593</v>
      </c>
      <c r="D145">
        <v>2</v>
      </c>
      <c r="E145" t="e">
        <v>#N/A</v>
      </c>
      <c r="F145">
        <v>9.4</v>
      </c>
      <c r="G145" s="8">
        <v>2065</v>
      </c>
      <c r="H145" t="e">
        <v>#N/A</v>
      </c>
      <c r="I145">
        <v>0.38034382462501526</v>
      </c>
      <c r="L145">
        <v>103.8</v>
      </c>
      <c r="M145">
        <v>73.5</v>
      </c>
      <c r="N145" t="e">
        <v>#N/A</v>
      </c>
      <c r="O145" t="e">
        <v>#N/A</v>
      </c>
      <c r="P145">
        <v>101.53</v>
      </c>
      <c r="Q145" s="4" t="s">
        <v>28</v>
      </c>
    </row>
    <row r="146" spans="1:17" x14ac:dyDescent="0.4">
      <c r="A146" s="4">
        <v>40909</v>
      </c>
      <c r="B146" s="5">
        <v>298722.59999999998</v>
      </c>
      <c r="C146">
        <v>3.1789999999999998</v>
      </c>
      <c r="D146">
        <v>2</v>
      </c>
      <c r="E146">
        <v>74.3</v>
      </c>
      <c r="F146">
        <v>9.5</v>
      </c>
      <c r="G146" s="8">
        <v>2082</v>
      </c>
      <c r="H146">
        <v>26.8</v>
      </c>
      <c r="I146">
        <v>0.40118870139122009</v>
      </c>
      <c r="L146">
        <v>103</v>
      </c>
      <c r="M146">
        <v>74.099999999999994</v>
      </c>
      <c r="N146">
        <v>100.3</v>
      </c>
      <c r="O146">
        <v>265737</v>
      </c>
      <c r="P146">
        <v>103.85</v>
      </c>
      <c r="Q146" s="4" t="s">
        <v>29</v>
      </c>
    </row>
    <row r="147" spans="1:17" x14ac:dyDescent="0.4">
      <c r="A147" s="4">
        <v>40940</v>
      </c>
      <c r="B147" s="5" t="e">
        <v>#N/A</v>
      </c>
      <c r="C147">
        <v>3.0156000000000001</v>
      </c>
      <c r="D147">
        <v>2</v>
      </c>
      <c r="E147" t="e">
        <v>#N/A</v>
      </c>
      <c r="F147">
        <v>9.5</v>
      </c>
      <c r="G147" s="8">
        <v>2091</v>
      </c>
      <c r="H147" t="e">
        <v>#N/A</v>
      </c>
      <c r="I147">
        <v>0.56751096248626709</v>
      </c>
      <c r="L147">
        <v>103.4</v>
      </c>
      <c r="M147">
        <v>74.900000000000006</v>
      </c>
      <c r="N147" t="e">
        <v>#N/A</v>
      </c>
      <c r="O147" t="e">
        <v>#N/A</v>
      </c>
      <c r="P147">
        <v>104.97</v>
      </c>
      <c r="Q147" s="4" t="s">
        <v>30</v>
      </c>
    </row>
    <row r="148" spans="1:17" x14ac:dyDescent="0.4">
      <c r="A148" s="4">
        <v>40969</v>
      </c>
      <c r="B148" s="5" t="e">
        <v>#N/A</v>
      </c>
      <c r="C148">
        <v>2.9504999999999999</v>
      </c>
      <c r="D148">
        <v>2.2000000000000002</v>
      </c>
      <c r="E148" t="e">
        <v>#N/A</v>
      </c>
      <c r="F148">
        <v>9.5</v>
      </c>
      <c r="G148" s="8">
        <v>2110</v>
      </c>
      <c r="H148" t="e">
        <v>#N/A</v>
      </c>
      <c r="I148">
        <v>0.43451273441314697</v>
      </c>
      <c r="L148">
        <v>102.8</v>
      </c>
      <c r="M148">
        <v>75.599999999999994</v>
      </c>
      <c r="N148" t="e">
        <v>#N/A</v>
      </c>
      <c r="O148" t="e">
        <v>#N/A</v>
      </c>
      <c r="P148">
        <v>106.15</v>
      </c>
      <c r="Q148" s="4" t="e">
        <v>#N/A</v>
      </c>
    </row>
    <row r="149" spans="1:17" x14ac:dyDescent="0.4">
      <c r="A149" s="4">
        <v>41000</v>
      </c>
      <c r="B149" s="5">
        <v>300832.8</v>
      </c>
      <c r="C149">
        <v>2.9948000000000001</v>
      </c>
      <c r="D149">
        <v>2.1</v>
      </c>
      <c r="E149">
        <v>76.400000000000006</v>
      </c>
      <c r="F149">
        <v>9.6</v>
      </c>
      <c r="G149" s="8">
        <v>2135</v>
      </c>
      <c r="H149">
        <v>26</v>
      </c>
      <c r="I149">
        <v>0.49705937504768372</v>
      </c>
      <c r="L149">
        <v>103.7</v>
      </c>
      <c r="M149">
        <v>73.8</v>
      </c>
      <c r="N149">
        <v>100.2</v>
      </c>
      <c r="O149">
        <v>271347.90000000002</v>
      </c>
      <c r="P149">
        <v>106.3</v>
      </c>
      <c r="Q149" s="4" t="s">
        <v>31</v>
      </c>
    </row>
    <row r="150" spans="1:17" x14ac:dyDescent="0.4">
      <c r="A150" s="4">
        <v>41030</v>
      </c>
      <c r="B150" s="5" t="e">
        <v>#N/A</v>
      </c>
      <c r="C150">
        <v>2.7545000000000002</v>
      </c>
      <c r="D150">
        <v>2</v>
      </c>
      <c r="E150" t="e">
        <v>#N/A</v>
      </c>
      <c r="F150">
        <v>9.6999999999999993</v>
      </c>
      <c r="G150" s="8">
        <v>2153</v>
      </c>
      <c r="H150" t="e">
        <v>#N/A</v>
      </c>
      <c r="I150">
        <v>0.35765895247459412</v>
      </c>
      <c r="L150">
        <v>101.6</v>
      </c>
      <c r="M150">
        <v>74.7</v>
      </c>
      <c r="N150" t="e">
        <v>#N/A</v>
      </c>
      <c r="O150" t="e">
        <v>#N/A</v>
      </c>
      <c r="P150">
        <v>104.18</v>
      </c>
      <c r="Q150" s="4" t="s">
        <v>31</v>
      </c>
    </row>
    <row r="151" spans="1:17" x14ac:dyDescent="0.4">
      <c r="A151" s="4">
        <v>41061</v>
      </c>
      <c r="B151" s="5" t="e">
        <v>#N/A</v>
      </c>
      <c r="C151">
        <v>2.5750000000000002</v>
      </c>
      <c r="D151">
        <v>2.1</v>
      </c>
      <c r="E151" t="e">
        <v>#N/A</v>
      </c>
      <c r="F151">
        <v>9.6999999999999993</v>
      </c>
      <c r="G151" s="8">
        <v>2141</v>
      </c>
      <c r="H151" t="e">
        <v>#N/A</v>
      </c>
      <c r="I151">
        <v>0.33292186260223389</v>
      </c>
      <c r="L151">
        <v>101.5</v>
      </c>
      <c r="M151">
        <v>75.400000000000006</v>
      </c>
      <c r="N151" t="e">
        <v>#N/A</v>
      </c>
      <c r="O151" t="e">
        <v>#N/A</v>
      </c>
      <c r="P151">
        <v>102.09</v>
      </c>
      <c r="Q151" s="4" t="e">
        <v>#N/A</v>
      </c>
    </row>
    <row r="152" spans="1:17" x14ac:dyDescent="0.4">
      <c r="A152" s="4">
        <v>41091</v>
      </c>
      <c r="B152" s="5">
        <v>302069.7</v>
      </c>
      <c r="C152">
        <v>2.2786</v>
      </c>
      <c r="D152">
        <v>2.1</v>
      </c>
      <c r="E152">
        <v>75.400000000000006</v>
      </c>
      <c r="F152">
        <v>9.6999999999999993</v>
      </c>
      <c r="G152" s="8">
        <v>2125</v>
      </c>
      <c r="H152">
        <v>26.4</v>
      </c>
      <c r="I152">
        <v>0.38892525434494019</v>
      </c>
      <c r="L152">
        <v>102.3</v>
      </c>
      <c r="M152">
        <v>75.599999999999994</v>
      </c>
      <c r="N152">
        <v>100.1</v>
      </c>
      <c r="O152">
        <v>265391.09999999998</v>
      </c>
      <c r="P152">
        <v>102.34</v>
      </c>
      <c r="Q152" s="4" t="s">
        <v>31</v>
      </c>
    </row>
    <row r="153" spans="1:17" x14ac:dyDescent="0.4">
      <c r="A153" s="4">
        <v>41122</v>
      </c>
      <c r="B153" s="5" t="e">
        <v>#N/A</v>
      </c>
      <c r="C153">
        <v>2.1194000000000002</v>
      </c>
      <c r="D153">
        <v>1.9</v>
      </c>
      <c r="E153" t="e">
        <v>#N/A</v>
      </c>
      <c r="F153">
        <v>9.6999999999999993</v>
      </c>
      <c r="G153" s="8">
        <v>2118</v>
      </c>
      <c r="H153" t="e">
        <v>#N/A</v>
      </c>
      <c r="I153">
        <v>0.22795216739177704</v>
      </c>
      <c r="L153">
        <v>103.5</v>
      </c>
      <c r="M153">
        <v>74.900000000000006</v>
      </c>
      <c r="N153" t="e">
        <v>#N/A</v>
      </c>
      <c r="O153" t="e">
        <v>#N/A</v>
      </c>
      <c r="P153">
        <v>105.89</v>
      </c>
      <c r="Q153" s="4" t="s">
        <v>31</v>
      </c>
    </row>
    <row r="154" spans="1:17" x14ac:dyDescent="0.4">
      <c r="A154" s="4">
        <v>41153</v>
      </c>
      <c r="B154" s="5" t="e">
        <v>#N/A</v>
      </c>
      <c r="C154">
        <v>2.2383999999999999</v>
      </c>
      <c r="D154">
        <v>1.8</v>
      </c>
      <c r="E154" t="e">
        <v>#N/A</v>
      </c>
      <c r="F154">
        <v>9.8000000000000007</v>
      </c>
      <c r="G154" s="8">
        <v>2138</v>
      </c>
      <c r="H154" t="e">
        <v>#N/A</v>
      </c>
      <c r="I154">
        <v>0.23088763654232025</v>
      </c>
      <c r="L154">
        <v>102</v>
      </c>
      <c r="M154">
        <v>75.400000000000006</v>
      </c>
      <c r="N154" t="e">
        <v>#N/A</v>
      </c>
      <c r="O154" t="e">
        <v>#N/A</v>
      </c>
      <c r="P154">
        <v>105.59</v>
      </c>
      <c r="Q154" s="4" t="e">
        <v>#N/A</v>
      </c>
    </row>
    <row r="155" spans="1:17" x14ac:dyDescent="0.4">
      <c r="A155" s="4">
        <v>41183</v>
      </c>
      <c r="B155" s="5">
        <v>307245.09999999998</v>
      </c>
      <c r="C155">
        <v>2.1865999999999999</v>
      </c>
      <c r="D155">
        <v>1.8</v>
      </c>
      <c r="E155">
        <v>76.5</v>
      </c>
      <c r="F155">
        <v>10</v>
      </c>
      <c r="G155" s="8">
        <v>2172</v>
      </c>
      <c r="H155">
        <v>26.6</v>
      </c>
      <c r="I155">
        <v>0.30006977915763855</v>
      </c>
      <c r="L155">
        <v>100.4</v>
      </c>
      <c r="M155">
        <v>75.7</v>
      </c>
      <c r="N155">
        <v>99.9</v>
      </c>
      <c r="O155">
        <v>286303.59999999998</v>
      </c>
      <c r="P155">
        <v>105.57</v>
      </c>
      <c r="Q155" s="4" t="e">
        <v>#N/A</v>
      </c>
    </row>
    <row r="156" spans="1:17" x14ac:dyDescent="0.4">
      <c r="A156" s="4">
        <v>41214</v>
      </c>
      <c r="B156" s="5" t="e">
        <v>#N/A</v>
      </c>
      <c r="C156">
        <v>2.1394000000000002</v>
      </c>
      <c r="D156">
        <v>1.5</v>
      </c>
      <c r="E156" t="e">
        <v>#N/A</v>
      </c>
      <c r="F156">
        <v>10.199999999999999</v>
      </c>
      <c r="G156" s="8">
        <v>2200</v>
      </c>
      <c r="H156" t="e">
        <v>#N/A</v>
      </c>
      <c r="I156">
        <v>0.29805201292037964</v>
      </c>
      <c r="L156">
        <v>100.5</v>
      </c>
      <c r="M156">
        <v>75</v>
      </c>
      <c r="N156" t="e">
        <v>#N/A</v>
      </c>
      <c r="O156" t="e">
        <v>#N/A</v>
      </c>
      <c r="P156">
        <v>104.43</v>
      </c>
      <c r="Q156" s="4" t="s">
        <v>32</v>
      </c>
    </row>
    <row r="157" spans="1:17" x14ac:dyDescent="0.4">
      <c r="A157" s="4">
        <v>41244</v>
      </c>
      <c r="B157" s="5" t="e">
        <v>#N/A</v>
      </c>
      <c r="C157">
        <v>1.9968999999999999</v>
      </c>
      <c r="D157">
        <v>1.4</v>
      </c>
      <c r="E157" t="e">
        <v>#N/A</v>
      </c>
      <c r="F157">
        <v>10.3</v>
      </c>
      <c r="G157" s="8">
        <v>2225</v>
      </c>
      <c r="H157" t="e">
        <v>#N/A</v>
      </c>
      <c r="I157">
        <v>0.38831934332847595</v>
      </c>
      <c r="L157">
        <v>101.7</v>
      </c>
      <c r="M157">
        <v>75.400000000000006</v>
      </c>
      <c r="N157" t="e">
        <v>#N/A</v>
      </c>
      <c r="O157" t="e">
        <v>#N/A</v>
      </c>
      <c r="P157">
        <v>104.26</v>
      </c>
      <c r="Q157" s="4" t="e">
        <v>#N/A</v>
      </c>
    </row>
    <row r="158" spans="1:17" x14ac:dyDescent="0.4">
      <c r="A158" s="4">
        <v>41275</v>
      </c>
      <c r="B158" s="5">
        <v>308184.2</v>
      </c>
      <c r="C158">
        <v>2.1663999999999999</v>
      </c>
      <c r="D158">
        <v>1.3</v>
      </c>
      <c r="E158">
        <v>77.8</v>
      </c>
      <c r="F158">
        <v>10.4</v>
      </c>
      <c r="G158" s="8">
        <v>2268</v>
      </c>
      <c r="H158">
        <v>26.3</v>
      </c>
      <c r="I158">
        <v>0.93941503763198853</v>
      </c>
      <c r="L158">
        <v>101.1</v>
      </c>
      <c r="M158">
        <v>75.900000000000006</v>
      </c>
      <c r="N158">
        <v>100</v>
      </c>
      <c r="O158">
        <v>269793.40000000002</v>
      </c>
      <c r="P158">
        <v>106.05</v>
      </c>
      <c r="Q158" s="4" t="e">
        <v>#N/A</v>
      </c>
    </row>
    <row r="159" spans="1:17" x14ac:dyDescent="0.4">
      <c r="A159" s="4">
        <v>41306</v>
      </c>
      <c r="B159" s="5" t="e">
        <v>#N/A</v>
      </c>
      <c r="C159">
        <v>2.2448000000000001</v>
      </c>
      <c r="D159">
        <v>1.1000000000000001</v>
      </c>
      <c r="E159" t="e">
        <v>#N/A</v>
      </c>
      <c r="F159">
        <v>10.4</v>
      </c>
      <c r="G159" s="8">
        <v>2278</v>
      </c>
      <c r="H159" t="e">
        <v>#N/A</v>
      </c>
      <c r="I159">
        <v>0.59206628799438477</v>
      </c>
      <c r="L159">
        <v>102.6</v>
      </c>
      <c r="M159">
        <v>75.900000000000006</v>
      </c>
      <c r="N159" t="e">
        <v>#N/A</v>
      </c>
      <c r="O159" t="e">
        <v>#N/A</v>
      </c>
      <c r="P159">
        <v>107.56</v>
      </c>
      <c r="Q159" s="4" t="e">
        <v>#N/A</v>
      </c>
    </row>
    <row r="160" spans="1:17" x14ac:dyDescent="0.4">
      <c r="A160" s="4">
        <v>41334</v>
      </c>
      <c r="B160" s="5" t="e">
        <v>#N/A</v>
      </c>
      <c r="C160">
        <v>2.0695999999999999</v>
      </c>
      <c r="D160">
        <v>1.1000000000000001</v>
      </c>
      <c r="E160" t="e">
        <v>#N/A</v>
      </c>
      <c r="F160">
        <v>10.4</v>
      </c>
      <c r="G160" s="8">
        <v>2304</v>
      </c>
      <c r="H160" t="e">
        <v>#N/A</v>
      </c>
      <c r="I160">
        <v>0.37231400609016418</v>
      </c>
      <c r="L160">
        <v>102.8</v>
      </c>
      <c r="M160">
        <v>75.8</v>
      </c>
      <c r="N160" t="e">
        <v>#N/A</v>
      </c>
      <c r="O160" t="e">
        <v>#N/A</v>
      </c>
      <c r="P160">
        <v>107.44</v>
      </c>
      <c r="Q160" s="4" t="s">
        <v>31</v>
      </c>
    </row>
    <row r="161" spans="1:17" x14ac:dyDescent="0.4">
      <c r="A161" s="4">
        <v>41365</v>
      </c>
      <c r="B161" s="5">
        <v>310035</v>
      </c>
      <c r="C161">
        <v>1.8022</v>
      </c>
      <c r="D161">
        <v>0.9</v>
      </c>
      <c r="E161">
        <v>79.5</v>
      </c>
      <c r="F161">
        <v>10.5</v>
      </c>
      <c r="G161" s="8">
        <v>2325</v>
      </c>
      <c r="H161">
        <v>26.6</v>
      </c>
      <c r="I161">
        <v>0.37436357140541077</v>
      </c>
      <c r="L161">
        <v>104.1</v>
      </c>
      <c r="M161">
        <v>76.400000000000006</v>
      </c>
      <c r="N161">
        <v>99.9</v>
      </c>
      <c r="O161">
        <v>276193.40000000002</v>
      </c>
      <c r="P161">
        <v>106.32</v>
      </c>
      <c r="Q161" s="4" t="e">
        <v>#N/A</v>
      </c>
    </row>
    <row r="162" spans="1:17" x14ac:dyDescent="0.4">
      <c r="A162" s="4">
        <v>41395</v>
      </c>
      <c r="B162" s="5" t="e">
        <v>#N/A</v>
      </c>
      <c r="C162">
        <v>1.8765000000000001</v>
      </c>
      <c r="D162">
        <v>1</v>
      </c>
      <c r="E162" t="e">
        <v>#N/A</v>
      </c>
      <c r="F162">
        <v>10.4</v>
      </c>
      <c r="G162" s="8">
        <v>2318</v>
      </c>
      <c r="H162" t="e">
        <v>#N/A</v>
      </c>
      <c r="I162">
        <v>0.45457825064659119</v>
      </c>
      <c r="L162">
        <v>103.8</v>
      </c>
      <c r="M162">
        <v>76.599999999999994</v>
      </c>
      <c r="N162" t="e">
        <v>#N/A</v>
      </c>
      <c r="O162" t="e">
        <v>#N/A</v>
      </c>
      <c r="P162">
        <v>103.9</v>
      </c>
      <c r="Q162" s="4" t="s">
        <v>31</v>
      </c>
    </row>
    <row r="163" spans="1:17" x14ac:dyDescent="0.4">
      <c r="A163" s="4">
        <v>41426</v>
      </c>
      <c r="B163" s="5" t="e">
        <v>#N/A</v>
      </c>
      <c r="C163">
        <v>2.2119</v>
      </c>
      <c r="D163">
        <v>0.9</v>
      </c>
      <c r="E163" t="e">
        <v>#N/A</v>
      </c>
      <c r="F163">
        <v>10.4</v>
      </c>
      <c r="G163" s="8">
        <v>2323</v>
      </c>
      <c r="H163" t="e">
        <v>#N/A</v>
      </c>
      <c r="I163">
        <v>0.41477987170219421</v>
      </c>
      <c r="L163">
        <v>102.2</v>
      </c>
      <c r="M163">
        <v>75.900000000000006</v>
      </c>
      <c r="N163" t="e">
        <v>#N/A</v>
      </c>
      <c r="O163" t="e">
        <v>#N/A</v>
      </c>
      <c r="P163">
        <v>103.92</v>
      </c>
      <c r="Q163" s="4" t="s">
        <v>31</v>
      </c>
    </row>
    <row r="164" spans="1:17" x14ac:dyDescent="0.4">
      <c r="A164" s="4">
        <v>41456</v>
      </c>
      <c r="B164" s="5">
        <v>311193.90000000002</v>
      </c>
      <c r="C164">
        <v>2.2492000000000001</v>
      </c>
      <c r="D164">
        <v>1.1000000000000001</v>
      </c>
      <c r="E164">
        <v>78.7</v>
      </c>
      <c r="F164">
        <v>10.3</v>
      </c>
      <c r="G164" s="8">
        <v>2301</v>
      </c>
      <c r="H164">
        <v>27.2</v>
      </c>
      <c r="I164">
        <v>0.25133520364761353</v>
      </c>
      <c r="L164">
        <v>101.6</v>
      </c>
      <c r="M164">
        <v>76.900000000000006</v>
      </c>
      <c r="N164">
        <v>100.1</v>
      </c>
      <c r="O164">
        <v>270997.5</v>
      </c>
      <c r="P164">
        <v>104.23</v>
      </c>
      <c r="Q164" s="4" t="s">
        <v>33</v>
      </c>
    </row>
    <row r="165" spans="1:17" x14ac:dyDescent="0.4">
      <c r="A165" s="4">
        <v>41487</v>
      </c>
      <c r="B165" s="5" t="e">
        <v>#N/A</v>
      </c>
      <c r="C165">
        <v>2.3620000000000001</v>
      </c>
      <c r="D165">
        <v>1.1000000000000001</v>
      </c>
      <c r="E165" t="e">
        <v>#N/A</v>
      </c>
      <c r="F165">
        <v>10.1</v>
      </c>
      <c r="G165" s="8">
        <v>2274</v>
      </c>
      <c r="H165" t="e">
        <v>#N/A</v>
      </c>
      <c r="I165">
        <v>0.49741727113723755</v>
      </c>
      <c r="L165">
        <v>100.5</v>
      </c>
      <c r="M165">
        <v>77.3</v>
      </c>
      <c r="N165" t="e">
        <v>#N/A</v>
      </c>
      <c r="O165" t="e">
        <v>#N/A</v>
      </c>
      <c r="P165">
        <v>105.66</v>
      </c>
      <c r="Q165" s="4" t="s">
        <v>33</v>
      </c>
    </row>
    <row r="166" spans="1:17" x14ac:dyDescent="0.4">
      <c r="A166" s="4">
        <v>41518</v>
      </c>
      <c r="B166" s="5" t="e">
        <v>#N/A</v>
      </c>
      <c r="C166">
        <v>2.4830000000000001</v>
      </c>
      <c r="D166">
        <v>1.1000000000000001</v>
      </c>
      <c r="E166" t="e">
        <v>#N/A</v>
      </c>
      <c r="F166">
        <v>10.3</v>
      </c>
      <c r="G166" s="8">
        <v>2305</v>
      </c>
      <c r="H166" t="e">
        <v>#N/A</v>
      </c>
      <c r="I166">
        <v>0.63880550861358643</v>
      </c>
      <c r="L166">
        <v>101.6</v>
      </c>
      <c r="M166">
        <v>76.599999999999994</v>
      </c>
      <c r="N166" t="e">
        <v>#N/A</v>
      </c>
      <c r="O166" t="e">
        <v>#N/A</v>
      </c>
      <c r="P166">
        <v>106.44</v>
      </c>
      <c r="Q166" s="4" t="e">
        <v>#N/A</v>
      </c>
    </row>
    <row r="167" spans="1:17" x14ac:dyDescent="0.4">
      <c r="A167" s="4">
        <v>41548</v>
      </c>
      <c r="B167" s="5">
        <v>313375.59999999998</v>
      </c>
      <c r="C167">
        <v>2.3915000000000002</v>
      </c>
      <c r="D167">
        <v>0.8</v>
      </c>
      <c r="E167">
        <v>79</v>
      </c>
      <c r="F167">
        <v>10.1</v>
      </c>
      <c r="G167" s="8">
        <v>2267</v>
      </c>
      <c r="H167">
        <v>29.3</v>
      </c>
      <c r="I167">
        <v>0.34720966219902039</v>
      </c>
      <c r="L167">
        <v>101.4</v>
      </c>
      <c r="M167">
        <v>76.900000000000006</v>
      </c>
      <c r="N167">
        <v>100.2</v>
      </c>
      <c r="O167">
        <v>290930.59999999998</v>
      </c>
      <c r="P167">
        <v>105.31</v>
      </c>
      <c r="Q167" s="4" t="s">
        <v>33</v>
      </c>
    </row>
    <row r="168" spans="1:17" x14ac:dyDescent="0.4">
      <c r="A168" s="4">
        <v>41579</v>
      </c>
      <c r="B168" s="5" t="e">
        <v>#N/A</v>
      </c>
      <c r="C168">
        <v>2.2656000000000001</v>
      </c>
      <c r="D168">
        <v>0.9</v>
      </c>
      <c r="E168" t="e">
        <v>#N/A</v>
      </c>
      <c r="F168">
        <v>10.199999999999999</v>
      </c>
      <c r="G168" s="8">
        <v>2286</v>
      </c>
      <c r="H168" t="e">
        <v>#N/A</v>
      </c>
      <c r="I168">
        <v>0.60594582557678223</v>
      </c>
      <c r="L168">
        <v>102.9</v>
      </c>
      <c r="M168">
        <v>77.5</v>
      </c>
      <c r="N168" t="e">
        <v>#N/A</v>
      </c>
      <c r="O168" t="e">
        <v>#N/A</v>
      </c>
      <c r="P168">
        <v>104.68</v>
      </c>
      <c r="Q168" s="4" t="s">
        <v>34</v>
      </c>
    </row>
    <row r="169" spans="1:17" x14ac:dyDescent="0.4">
      <c r="A169" s="4">
        <v>41609</v>
      </c>
      <c r="B169" s="5" t="e">
        <v>#N/A</v>
      </c>
      <c r="C169">
        <v>2.3294000000000001</v>
      </c>
      <c r="D169">
        <v>0.8</v>
      </c>
      <c r="E169" t="e">
        <v>#N/A</v>
      </c>
      <c r="F169">
        <v>10.199999999999999</v>
      </c>
      <c r="G169" s="8">
        <v>2294</v>
      </c>
      <c r="H169" t="e">
        <v>#N/A</v>
      </c>
      <c r="I169">
        <v>0.29975020885467529</v>
      </c>
      <c r="L169">
        <v>101.9</v>
      </c>
      <c r="M169">
        <v>77</v>
      </c>
      <c r="N169" t="e">
        <v>#N/A</v>
      </c>
      <c r="O169" t="e">
        <v>#N/A</v>
      </c>
      <c r="P169">
        <v>105.43</v>
      </c>
      <c r="Q169" s="4" t="s">
        <v>33</v>
      </c>
    </row>
    <row r="170" spans="1:17" x14ac:dyDescent="0.4">
      <c r="A170" s="4">
        <v>41640</v>
      </c>
      <c r="B170" s="5">
        <v>313451.40000000002</v>
      </c>
      <c r="C170">
        <v>2.3851</v>
      </c>
      <c r="D170">
        <v>0.8</v>
      </c>
      <c r="E170">
        <v>80.2</v>
      </c>
      <c r="F170">
        <v>10.199999999999999</v>
      </c>
      <c r="G170" s="8">
        <v>2306</v>
      </c>
      <c r="H170">
        <v>28.8</v>
      </c>
      <c r="I170">
        <v>0.29457974433898926</v>
      </c>
      <c r="L170">
        <v>100.4</v>
      </c>
      <c r="M170">
        <v>77.400000000000006</v>
      </c>
      <c r="N170">
        <v>100.2</v>
      </c>
      <c r="O170">
        <v>275142.5</v>
      </c>
      <c r="P170">
        <v>106.31</v>
      </c>
      <c r="Q170" s="4" t="s">
        <v>33</v>
      </c>
    </row>
    <row r="171" spans="1:17" x14ac:dyDescent="0.4">
      <c r="A171" s="4">
        <v>41671</v>
      </c>
      <c r="B171" s="5" t="e">
        <v>#N/A</v>
      </c>
      <c r="C171">
        <v>2.2524000000000002</v>
      </c>
      <c r="D171">
        <v>1.3</v>
      </c>
      <c r="E171" t="e">
        <v>#N/A</v>
      </c>
      <c r="F171">
        <v>10.199999999999999</v>
      </c>
      <c r="G171" s="8">
        <v>2316</v>
      </c>
      <c r="H171" t="e">
        <v>#N/A</v>
      </c>
      <c r="I171">
        <v>0.36914142966270447</v>
      </c>
      <c r="L171">
        <v>102.3</v>
      </c>
      <c r="M171">
        <v>76.900000000000006</v>
      </c>
      <c r="N171" t="e">
        <v>#N/A</v>
      </c>
      <c r="O171" t="e">
        <v>#N/A</v>
      </c>
      <c r="P171">
        <v>106.45</v>
      </c>
      <c r="Q171" s="4" t="e">
        <v>#N/A</v>
      </c>
    </row>
    <row r="172" spans="1:17" x14ac:dyDescent="0.4">
      <c r="A172" s="4">
        <v>41699</v>
      </c>
      <c r="B172" s="5" t="e">
        <v>#N/A</v>
      </c>
      <c r="C172">
        <v>2.1501999999999999</v>
      </c>
      <c r="D172">
        <v>1</v>
      </c>
      <c r="E172" t="e">
        <v>#N/A</v>
      </c>
      <c r="F172">
        <v>10.199999999999999</v>
      </c>
      <c r="G172" s="8">
        <v>2318</v>
      </c>
      <c r="H172" t="e">
        <v>#N/A</v>
      </c>
      <c r="I172">
        <v>0.71813952922821045</v>
      </c>
      <c r="L172">
        <v>101.6</v>
      </c>
      <c r="M172">
        <v>77.8</v>
      </c>
      <c r="N172" t="e">
        <v>#N/A</v>
      </c>
      <c r="O172" t="e">
        <v>#N/A</v>
      </c>
      <c r="P172">
        <v>105.79</v>
      </c>
      <c r="Q172" s="4" t="s">
        <v>33</v>
      </c>
    </row>
    <row r="173" spans="1:17" x14ac:dyDescent="0.4">
      <c r="A173" s="4">
        <v>41730</v>
      </c>
      <c r="B173" s="5">
        <v>313510.59999999998</v>
      </c>
      <c r="C173">
        <v>2.0259</v>
      </c>
      <c r="D173">
        <v>1</v>
      </c>
      <c r="E173">
        <v>81</v>
      </c>
      <c r="F173">
        <v>10.1</v>
      </c>
      <c r="G173" s="8">
        <v>2295</v>
      </c>
      <c r="H173">
        <v>29.5</v>
      </c>
      <c r="I173">
        <v>0.41408684849739075</v>
      </c>
      <c r="L173">
        <v>101.6</v>
      </c>
      <c r="M173">
        <v>77.400000000000006</v>
      </c>
      <c r="N173">
        <v>100.1</v>
      </c>
      <c r="O173">
        <v>281262.90000000002</v>
      </c>
      <c r="P173">
        <v>105.63</v>
      </c>
      <c r="Q173" s="4" t="s">
        <v>33</v>
      </c>
    </row>
    <row r="174" spans="1:17" x14ac:dyDescent="0.4">
      <c r="A174" s="4">
        <v>41760</v>
      </c>
      <c r="B174" s="5" t="e">
        <v>#N/A</v>
      </c>
      <c r="C174">
        <v>1.8421000000000001</v>
      </c>
      <c r="D174">
        <v>0.8</v>
      </c>
      <c r="E174" t="e">
        <v>#N/A</v>
      </c>
      <c r="F174">
        <v>10.1</v>
      </c>
      <c r="G174" s="8">
        <v>2296</v>
      </c>
      <c r="H174" t="e">
        <v>#N/A</v>
      </c>
      <c r="I174">
        <v>0.35747882723808289</v>
      </c>
      <c r="L174">
        <v>100</v>
      </c>
      <c r="M174">
        <v>77.8</v>
      </c>
      <c r="N174" t="e">
        <v>#N/A</v>
      </c>
      <c r="O174" t="e">
        <v>#N/A</v>
      </c>
      <c r="P174">
        <v>104.99</v>
      </c>
      <c r="Q174" s="4" t="s">
        <v>33</v>
      </c>
    </row>
    <row r="175" spans="1:17" x14ac:dyDescent="0.4">
      <c r="A175" s="4">
        <v>41791</v>
      </c>
      <c r="B175" s="5" t="e">
        <v>#N/A</v>
      </c>
      <c r="C175">
        <v>1.7123999999999999</v>
      </c>
      <c r="D175">
        <v>0.6</v>
      </c>
      <c r="E175" t="e">
        <v>#N/A</v>
      </c>
      <c r="F175">
        <v>10.199999999999999</v>
      </c>
      <c r="G175" s="8">
        <v>2304</v>
      </c>
      <c r="H175" t="e">
        <v>#N/A</v>
      </c>
      <c r="I175">
        <v>0.43623095750808716</v>
      </c>
      <c r="L175">
        <v>101.5</v>
      </c>
      <c r="M175">
        <v>78</v>
      </c>
      <c r="N175" t="e">
        <v>#N/A</v>
      </c>
      <c r="O175" t="e">
        <v>#N/A</v>
      </c>
      <c r="P175">
        <v>104.94</v>
      </c>
      <c r="Q175" s="4" t="s">
        <v>33</v>
      </c>
    </row>
    <row r="176" spans="1:17" x14ac:dyDescent="0.4">
      <c r="A176" s="4">
        <v>41821</v>
      </c>
      <c r="B176" s="5">
        <v>315143.5</v>
      </c>
      <c r="C176">
        <v>1.5608</v>
      </c>
      <c r="D176">
        <v>0.5</v>
      </c>
      <c r="E176">
        <v>80.400000000000006</v>
      </c>
      <c r="F176">
        <v>10.199999999999999</v>
      </c>
      <c r="G176" s="8">
        <v>2306</v>
      </c>
      <c r="H176">
        <v>29.8</v>
      </c>
      <c r="I176">
        <v>0.85510313510894775</v>
      </c>
      <c r="L176">
        <v>102.5</v>
      </c>
      <c r="M176">
        <v>77.7</v>
      </c>
      <c r="N176">
        <v>100.1</v>
      </c>
      <c r="O176">
        <v>275262.40000000002</v>
      </c>
      <c r="P176">
        <v>105.07</v>
      </c>
      <c r="Q176" s="4" t="s">
        <v>33</v>
      </c>
    </row>
    <row r="177" spans="1:17" x14ac:dyDescent="0.4">
      <c r="A177" s="4">
        <v>41852</v>
      </c>
      <c r="B177" s="5" t="e">
        <v>#N/A</v>
      </c>
      <c r="C177">
        <v>1.4045000000000001</v>
      </c>
      <c r="D177">
        <v>0.7</v>
      </c>
      <c r="E177" t="e">
        <v>#N/A</v>
      </c>
      <c r="F177">
        <v>10.199999999999999</v>
      </c>
      <c r="G177" s="8">
        <v>2311</v>
      </c>
      <c r="H177" t="e">
        <v>#N/A</v>
      </c>
      <c r="I177">
        <v>0.68691551685333252</v>
      </c>
      <c r="L177">
        <v>100.8</v>
      </c>
      <c r="M177">
        <v>78.599999999999994</v>
      </c>
      <c r="N177" t="e">
        <v>#N/A</v>
      </c>
      <c r="O177" t="e">
        <v>#N/A</v>
      </c>
      <c r="P177">
        <v>104.23</v>
      </c>
      <c r="Q177" s="4" t="s">
        <v>33</v>
      </c>
    </row>
    <row r="178" spans="1:17" x14ac:dyDescent="0.4">
      <c r="A178" s="4">
        <v>41883</v>
      </c>
      <c r="B178" s="5" t="e">
        <v>#N/A</v>
      </c>
      <c r="C178">
        <v>1.3512</v>
      </c>
      <c r="D178">
        <v>0.6</v>
      </c>
      <c r="E178" t="e">
        <v>#N/A</v>
      </c>
      <c r="F178">
        <v>10.4</v>
      </c>
      <c r="G178" s="8">
        <v>2343</v>
      </c>
      <c r="H178" t="e">
        <v>#N/A</v>
      </c>
      <c r="I178">
        <v>0.83493900299072266</v>
      </c>
      <c r="L178">
        <v>101.9</v>
      </c>
      <c r="M178">
        <v>78.5</v>
      </c>
      <c r="N178" t="e">
        <v>#N/A</v>
      </c>
      <c r="O178" t="e">
        <v>#N/A</v>
      </c>
      <c r="P178">
        <v>104.01</v>
      </c>
      <c r="Q178" s="4" t="s">
        <v>33</v>
      </c>
    </row>
    <row r="179" spans="1:17" x14ac:dyDescent="0.4">
      <c r="A179" s="4">
        <v>41913</v>
      </c>
      <c r="B179" s="5">
        <v>315952.5</v>
      </c>
      <c r="C179">
        <v>1.2585999999999999</v>
      </c>
      <c r="D179">
        <v>0.7</v>
      </c>
      <c r="E179">
        <v>80.099999999999994</v>
      </c>
      <c r="F179">
        <v>10.4</v>
      </c>
      <c r="G179" s="8">
        <v>2357</v>
      </c>
      <c r="H179">
        <v>29.7</v>
      </c>
      <c r="I179">
        <v>0.29275339841842651</v>
      </c>
      <c r="L179">
        <v>100.3</v>
      </c>
      <c r="M179">
        <v>78.3</v>
      </c>
      <c r="N179">
        <v>99.9</v>
      </c>
      <c r="O179">
        <v>295186.7</v>
      </c>
      <c r="P179">
        <v>104.25</v>
      </c>
      <c r="Q179" s="4" t="s">
        <v>35</v>
      </c>
    </row>
    <row r="180" spans="1:17" x14ac:dyDescent="0.4">
      <c r="A180" s="4">
        <v>41944</v>
      </c>
      <c r="B180" s="5" t="e">
        <v>#N/A</v>
      </c>
      <c r="C180">
        <v>1.1379999999999999</v>
      </c>
      <c r="D180">
        <v>0.5</v>
      </c>
      <c r="E180" t="e">
        <v>#N/A</v>
      </c>
      <c r="F180">
        <v>10.5</v>
      </c>
      <c r="G180" s="8">
        <v>2395</v>
      </c>
      <c r="H180" t="e">
        <v>#N/A</v>
      </c>
      <c r="I180">
        <v>0.38627126812934875</v>
      </c>
      <c r="L180">
        <v>98.8</v>
      </c>
      <c r="M180">
        <v>78.5</v>
      </c>
      <c r="N180" t="e">
        <v>#N/A</v>
      </c>
      <c r="O180" t="e">
        <v>#N/A</v>
      </c>
      <c r="P180">
        <v>103.66</v>
      </c>
      <c r="Q180" s="4" t="e">
        <v>#N/A</v>
      </c>
    </row>
    <row r="181" spans="1:17" x14ac:dyDescent="0.4">
      <c r="A181" s="4">
        <v>41974</v>
      </c>
      <c r="B181" s="5" t="e">
        <v>#N/A</v>
      </c>
      <c r="C181">
        <v>0.92179999999999995</v>
      </c>
      <c r="D181">
        <v>0.5</v>
      </c>
      <c r="E181" t="e">
        <v>#N/A</v>
      </c>
      <c r="F181">
        <v>10.5</v>
      </c>
      <c r="G181" s="8">
        <v>2370</v>
      </c>
      <c r="H181" t="e">
        <v>#N/A</v>
      </c>
      <c r="I181">
        <v>0.26126715540885925</v>
      </c>
      <c r="L181">
        <v>102.4</v>
      </c>
      <c r="M181">
        <v>79.2</v>
      </c>
      <c r="N181" t="e">
        <v>#N/A</v>
      </c>
      <c r="O181" t="e">
        <v>#N/A</v>
      </c>
      <c r="P181">
        <v>101.11</v>
      </c>
      <c r="Q181" s="4" t="e">
        <v>#N/A</v>
      </c>
    </row>
    <row r="182" spans="1:17" x14ac:dyDescent="0.4">
      <c r="A182" s="4">
        <v>42005</v>
      </c>
      <c r="B182" s="5">
        <v>317092.09999999998</v>
      </c>
      <c r="C182">
        <v>0.67490000000000006</v>
      </c>
      <c r="D182">
        <v>0.3</v>
      </c>
      <c r="E182">
        <v>81.2</v>
      </c>
      <c r="F182">
        <v>10.4</v>
      </c>
      <c r="G182" s="8">
        <v>2326</v>
      </c>
      <c r="H182">
        <v>29.4</v>
      </c>
      <c r="I182">
        <v>1.5873016119003296</v>
      </c>
      <c r="L182">
        <v>102</v>
      </c>
      <c r="M182">
        <v>79.599999999999994</v>
      </c>
      <c r="N182">
        <v>99.9</v>
      </c>
      <c r="O182">
        <v>278929.90000000002</v>
      </c>
      <c r="P182">
        <v>99.12</v>
      </c>
      <c r="Q182" s="4" t="e">
        <v>#N/A</v>
      </c>
    </row>
    <row r="183" spans="1:17" x14ac:dyDescent="0.4">
      <c r="A183" s="4">
        <v>42036</v>
      </c>
      <c r="B183" s="5" t="e">
        <v>#N/A</v>
      </c>
      <c r="C183">
        <v>0.5948</v>
      </c>
      <c r="D183">
        <v>0.2</v>
      </c>
      <c r="E183" t="e">
        <v>#N/A</v>
      </c>
      <c r="F183">
        <v>10.3</v>
      </c>
      <c r="G183" s="8">
        <v>2314</v>
      </c>
      <c r="H183" t="e">
        <v>#N/A</v>
      </c>
      <c r="I183">
        <v>1.0764459371566772</v>
      </c>
      <c r="L183">
        <v>103</v>
      </c>
      <c r="M183">
        <v>79.400000000000006</v>
      </c>
      <c r="N183" t="e">
        <v>#N/A</v>
      </c>
      <c r="O183" t="e">
        <v>#N/A</v>
      </c>
      <c r="P183">
        <v>101.12</v>
      </c>
      <c r="Q183" s="4" t="e">
        <v>#N/A</v>
      </c>
    </row>
    <row r="184" spans="1:17" x14ac:dyDescent="0.4">
      <c r="A184" s="4">
        <v>42064</v>
      </c>
      <c r="B184" s="5" t="e">
        <v>#N/A</v>
      </c>
      <c r="C184">
        <v>0.50390000000000001</v>
      </c>
      <c r="D184">
        <v>0.3</v>
      </c>
      <c r="E184" t="e">
        <v>#N/A</v>
      </c>
      <c r="F184">
        <v>10.4</v>
      </c>
      <c r="G184" s="8">
        <v>2334</v>
      </c>
      <c r="H184" t="e">
        <v>#N/A</v>
      </c>
      <c r="I184">
        <v>0.57255840301513672</v>
      </c>
      <c r="L184">
        <v>102.9</v>
      </c>
      <c r="M184">
        <v>79</v>
      </c>
      <c r="N184" t="e">
        <v>#N/A</v>
      </c>
      <c r="O184" t="e">
        <v>#N/A</v>
      </c>
      <c r="P184">
        <v>102.1</v>
      </c>
      <c r="Q184" s="4" t="e">
        <v>#N/A</v>
      </c>
    </row>
    <row r="185" spans="1:17" x14ac:dyDescent="0.4">
      <c r="A185" s="4">
        <v>42095</v>
      </c>
      <c r="B185" s="5">
        <v>317594</v>
      </c>
      <c r="C185">
        <v>0.43469999999999998</v>
      </c>
      <c r="D185">
        <v>0.5</v>
      </c>
      <c r="E185">
        <v>81.900000000000006</v>
      </c>
      <c r="F185">
        <v>10.4</v>
      </c>
      <c r="G185" s="8">
        <v>2361</v>
      </c>
      <c r="H185">
        <v>29.4</v>
      </c>
      <c r="I185">
        <v>0.54414826631546021</v>
      </c>
      <c r="L185">
        <v>101.8</v>
      </c>
      <c r="M185">
        <v>80.3</v>
      </c>
      <c r="N185">
        <v>99.9</v>
      </c>
      <c r="O185">
        <v>285293</v>
      </c>
      <c r="P185">
        <v>102.29</v>
      </c>
      <c r="Q185" s="4" t="e">
        <v>#N/A</v>
      </c>
    </row>
    <row r="186" spans="1:17" x14ac:dyDescent="0.4">
      <c r="A186" s="4">
        <v>42125</v>
      </c>
      <c r="B186" s="5" t="e">
        <v>#N/A</v>
      </c>
      <c r="C186">
        <v>0.88600000000000001</v>
      </c>
      <c r="D186">
        <v>0.6</v>
      </c>
      <c r="E186" t="e">
        <v>#N/A</v>
      </c>
      <c r="F186">
        <v>10.5</v>
      </c>
      <c r="G186" s="8">
        <v>2389</v>
      </c>
      <c r="H186" t="e">
        <v>#N/A</v>
      </c>
      <c r="I186">
        <v>0.33776560425758362</v>
      </c>
      <c r="L186">
        <v>102.5</v>
      </c>
      <c r="M186">
        <v>80.599999999999994</v>
      </c>
      <c r="N186" t="e">
        <v>#N/A</v>
      </c>
      <c r="O186" t="e">
        <v>#N/A</v>
      </c>
      <c r="P186">
        <v>102.64</v>
      </c>
      <c r="Q186" s="4" t="e">
        <v>#N/A</v>
      </c>
    </row>
    <row r="187" spans="1:17" x14ac:dyDescent="0.4">
      <c r="A187" s="4">
        <v>42156</v>
      </c>
      <c r="B187" s="5" t="e">
        <v>#N/A</v>
      </c>
      <c r="C187">
        <v>1.1958</v>
      </c>
      <c r="D187">
        <v>0.7</v>
      </c>
      <c r="E187" t="e">
        <v>#N/A</v>
      </c>
      <c r="F187">
        <v>10.4</v>
      </c>
      <c r="G187" s="8">
        <v>2369</v>
      </c>
      <c r="H187" t="e">
        <v>#N/A</v>
      </c>
      <c r="I187">
        <v>0.51966047286987305</v>
      </c>
      <c r="L187">
        <v>102.8</v>
      </c>
      <c r="M187">
        <v>80.900000000000006</v>
      </c>
      <c r="N187" t="e">
        <v>#N/A</v>
      </c>
      <c r="O187" t="e">
        <v>#N/A</v>
      </c>
      <c r="P187">
        <v>102.17</v>
      </c>
      <c r="Q187" s="4" t="e">
        <v>#N/A</v>
      </c>
    </row>
    <row r="188" spans="1:17" x14ac:dyDescent="0.4">
      <c r="A188" s="4">
        <v>42186</v>
      </c>
      <c r="B188" s="5">
        <v>317340.09999999998</v>
      </c>
      <c r="C188">
        <v>1.117</v>
      </c>
      <c r="D188">
        <v>0.7</v>
      </c>
      <c r="E188">
        <v>81.7</v>
      </c>
      <c r="F188">
        <v>10.3</v>
      </c>
      <c r="G188" s="8">
        <v>2338</v>
      </c>
      <c r="H188">
        <v>29.6</v>
      </c>
      <c r="I188">
        <v>0.70565825700759888</v>
      </c>
      <c r="L188">
        <v>101.9</v>
      </c>
      <c r="M188">
        <v>81</v>
      </c>
      <c r="N188">
        <v>100.1</v>
      </c>
      <c r="O188">
        <v>279081.90000000002</v>
      </c>
      <c r="P188">
        <v>100.96</v>
      </c>
      <c r="Q188" s="4" t="e">
        <v>#N/A</v>
      </c>
    </row>
    <row r="189" spans="1:17" x14ac:dyDescent="0.4">
      <c r="A189" s="4">
        <v>42217</v>
      </c>
      <c r="B189" s="5" t="e">
        <v>#N/A</v>
      </c>
      <c r="C189">
        <v>0.99809999999999999</v>
      </c>
      <c r="D189">
        <v>0.6</v>
      </c>
      <c r="E189" t="e">
        <v>#N/A</v>
      </c>
      <c r="F189">
        <v>10.3</v>
      </c>
      <c r="G189" s="8">
        <v>2334</v>
      </c>
      <c r="H189" t="e">
        <v>#N/A</v>
      </c>
      <c r="I189">
        <v>0.41466403007507324</v>
      </c>
      <c r="L189">
        <v>102.8</v>
      </c>
      <c r="M189">
        <v>82.2</v>
      </c>
      <c r="N189" t="e">
        <v>#N/A</v>
      </c>
      <c r="O189" t="e">
        <v>#N/A</v>
      </c>
      <c r="P189">
        <v>99.12</v>
      </c>
      <c r="Q189" s="4" t="e">
        <v>#N/A</v>
      </c>
    </row>
    <row r="190" spans="1:17" x14ac:dyDescent="0.4">
      <c r="A190" s="4">
        <v>42248</v>
      </c>
      <c r="B190" s="5" t="e">
        <v>#N/A</v>
      </c>
      <c r="C190">
        <v>1.0051000000000001</v>
      </c>
      <c r="D190">
        <v>0.7</v>
      </c>
      <c r="E190" t="e">
        <v>#N/A</v>
      </c>
      <c r="F190">
        <v>10.3</v>
      </c>
      <c r="G190" s="8">
        <v>2308</v>
      </c>
      <c r="H190" t="e">
        <v>#N/A</v>
      </c>
      <c r="I190">
        <v>0.56986254453659058</v>
      </c>
      <c r="L190">
        <v>103.9</v>
      </c>
      <c r="M190">
        <v>82.3</v>
      </c>
      <c r="N190" t="e">
        <v>#N/A</v>
      </c>
      <c r="O190" t="e">
        <v>#N/A</v>
      </c>
      <c r="P190">
        <v>98.13</v>
      </c>
      <c r="Q190" s="4" t="s">
        <v>36</v>
      </c>
    </row>
    <row r="191" spans="1:17" x14ac:dyDescent="0.4">
      <c r="A191" s="4">
        <v>42278</v>
      </c>
      <c r="B191" s="5">
        <v>316151.59999999998</v>
      </c>
      <c r="C191">
        <v>0.86180000000000001</v>
      </c>
      <c r="D191">
        <v>0.8</v>
      </c>
      <c r="E191">
        <v>81</v>
      </c>
      <c r="F191">
        <v>10.3</v>
      </c>
      <c r="G191" s="8">
        <v>2305</v>
      </c>
      <c r="H191">
        <v>30.1</v>
      </c>
      <c r="I191">
        <v>0.40144357085227966</v>
      </c>
      <c r="L191">
        <v>103.9</v>
      </c>
      <c r="M191">
        <v>81.8</v>
      </c>
      <c r="N191">
        <v>100.1</v>
      </c>
      <c r="O191">
        <v>299785.8</v>
      </c>
      <c r="P191">
        <v>98.13</v>
      </c>
      <c r="Q191" s="4" t="e">
        <v>#N/A</v>
      </c>
    </row>
    <row r="192" spans="1:17" x14ac:dyDescent="0.4">
      <c r="A192" s="4">
        <v>42309</v>
      </c>
      <c r="B192" s="5" t="e">
        <v>#N/A</v>
      </c>
      <c r="C192">
        <v>0.88500000000000001</v>
      </c>
      <c r="D192">
        <v>0.7</v>
      </c>
      <c r="E192" t="e">
        <v>#N/A</v>
      </c>
      <c r="F192">
        <v>10.3</v>
      </c>
      <c r="G192" s="8">
        <v>2302</v>
      </c>
      <c r="H192" t="e">
        <v>#N/A</v>
      </c>
      <c r="I192">
        <v>2.7990868091583252</v>
      </c>
      <c r="L192">
        <v>101.6</v>
      </c>
      <c r="M192">
        <v>79.8</v>
      </c>
      <c r="N192" t="e">
        <v>#N/A</v>
      </c>
      <c r="O192" t="e">
        <v>#N/A</v>
      </c>
      <c r="P192">
        <v>97.69</v>
      </c>
      <c r="Q192" s="4" t="e">
        <v>#N/A</v>
      </c>
    </row>
    <row r="193" spans="1:17" x14ac:dyDescent="0.4">
      <c r="A193" s="4">
        <v>42339</v>
      </c>
      <c r="B193" s="5" t="e">
        <v>#N/A</v>
      </c>
      <c r="C193">
        <v>0.93279999999999996</v>
      </c>
      <c r="D193">
        <v>0.8</v>
      </c>
      <c r="E193" t="e">
        <v>#N/A</v>
      </c>
      <c r="F193">
        <v>10.199999999999999</v>
      </c>
      <c r="G193" s="8">
        <v>2298</v>
      </c>
      <c r="H193" t="e">
        <v>#N/A</v>
      </c>
      <c r="I193">
        <v>2.0607907772064209</v>
      </c>
      <c r="L193">
        <v>101.9</v>
      </c>
      <c r="M193">
        <v>83.1</v>
      </c>
      <c r="N193" t="e">
        <v>#N/A</v>
      </c>
      <c r="O193" t="e">
        <v>#N/A</v>
      </c>
      <c r="P193">
        <v>96.53</v>
      </c>
      <c r="Q193" s="4" t="s">
        <v>34</v>
      </c>
    </row>
    <row r="194" spans="1:17" x14ac:dyDescent="0.4">
      <c r="A194" s="4">
        <v>42370</v>
      </c>
      <c r="B194" s="5">
        <v>317928.59999999998</v>
      </c>
      <c r="C194">
        <v>0.84530000000000005</v>
      </c>
      <c r="D194">
        <v>0.8</v>
      </c>
      <c r="E194">
        <v>82.5</v>
      </c>
      <c r="F194">
        <v>10.3</v>
      </c>
      <c r="G194" s="8">
        <v>2309</v>
      </c>
      <c r="H194">
        <v>30.3</v>
      </c>
      <c r="I194">
        <v>1.0103819370269775</v>
      </c>
      <c r="L194">
        <v>103.5</v>
      </c>
      <c r="M194">
        <v>83.2</v>
      </c>
      <c r="N194">
        <v>100.1</v>
      </c>
      <c r="O194">
        <v>283807.40000000002</v>
      </c>
      <c r="P194">
        <v>95.43</v>
      </c>
      <c r="Q194" s="4" t="e">
        <v>#N/A</v>
      </c>
    </row>
    <row r="195" spans="1:17" x14ac:dyDescent="0.4">
      <c r="A195" s="4">
        <v>42401</v>
      </c>
      <c r="B195" s="5" t="e">
        <v>#N/A</v>
      </c>
      <c r="C195">
        <v>0.59240000000000004</v>
      </c>
      <c r="D195">
        <v>0.6</v>
      </c>
      <c r="E195" t="e">
        <v>#N/A</v>
      </c>
      <c r="F195">
        <v>10.4</v>
      </c>
      <c r="G195" s="8">
        <v>2340</v>
      </c>
      <c r="H195" t="e">
        <v>#N/A</v>
      </c>
      <c r="I195">
        <v>0.63117724657058716</v>
      </c>
      <c r="L195">
        <v>103.4</v>
      </c>
      <c r="M195">
        <v>83.2</v>
      </c>
      <c r="N195" t="e">
        <v>#N/A</v>
      </c>
      <c r="O195" t="e">
        <v>#N/A</v>
      </c>
      <c r="P195">
        <v>94.5</v>
      </c>
      <c r="Q195" s="4" t="e">
        <v>#N/A</v>
      </c>
    </row>
    <row r="196" spans="1:17" x14ac:dyDescent="0.4">
      <c r="A196" s="4">
        <v>42430</v>
      </c>
      <c r="B196" s="5" t="e">
        <v>#N/A</v>
      </c>
      <c r="C196">
        <v>0.50890000000000002</v>
      </c>
      <c r="D196">
        <v>0.6</v>
      </c>
      <c r="E196" t="e">
        <v>#N/A</v>
      </c>
      <c r="F196">
        <v>10.199999999999999</v>
      </c>
      <c r="G196" s="8">
        <v>2297</v>
      </c>
      <c r="H196" t="e">
        <v>#N/A</v>
      </c>
      <c r="I196">
        <v>0.86913222074508667</v>
      </c>
      <c r="L196">
        <v>102.6</v>
      </c>
      <c r="M196">
        <v>82.5</v>
      </c>
      <c r="N196" t="e">
        <v>#N/A</v>
      </c>
      <c r="O196" t="e">
        <v>#N/A</v>
      </c>
      <c r="P196">
        <v>95.28</v>
      </c>
      <c r="Q196" s="4" t="e">
        <v>#N/A</v>
      </c>
    </row>
    <row r="197" spans="1:17" x14ac:dyDescent="0.4">
      <c r="A197" s="4">
        <v>42461</v>
      </c>
      <c r="B197" s="5">
        <v>318533</v>
      </c>
      <c r="C197">
        <v>0.51</v>
      </c>
      <c r="D197">
        <v>0.6</v>
      </c>
      <c r="E197">
        <v>83.2</v>
      </c>
      <c r="F197">
        <v>10.1</v>
      </c>
      <c r="G197" s="8">
        <v>2265</v>
      </c>
      <c r="H197">
        <v>31.1</v>
      </c>
      <c r="I197">
        <v>0.72500813007354736</v>
      </c>
      <c r="L197">
        <v>104.1</v>
      </c>
      <c r="M197">
        <v>82.9</v>
      </c>
      <c r="N197">
        <v>100.3</v>
      </c>
      <c r="O197">
        <v>291043.59999999998</v>
      </c>
      <c r="P197">
        <v>95.54</v>
      </c>
      <c r="Q197" s="4" t="e">
        <v>#N/A</v>
      </c>
    </row>
    <row r="198" spans="1:17" x14ac:dyDescent="0.4">
      <c r="A198" s="4">
        <v>42491</v>
      </c>
      <c r="B198" s="5" t="e">
        <v>#N/A</v>
      </c>
      <c r="C198">
        <v>0.51129999999999998</v>
      </c>
      <c r="D198">
        <v>0.6</v>
      </c>
      <c r="E198" t="e">
        <v>#N/A</v>
      </c>
      <c r="F198">
        <v>10</v>
      </c>
      <c r="G198" s="8">
        <v>2242</v>
      </c>
      <c r="H198" t="e">
        <v>#N/A</v>
      </c>
      <c r="I198">
        <v>0.78754496574401855</v>
      </c>
      <c r="L198">
        <v>102.3</v>
      </c>
      <c r="M198">
        <v>82.5</v>
      </c>
      <c r="N198" t="e">
        <v>#N/A</v>
      </c>
      <c r="O198" t="e">
        <v>#N/A</v>
      </c>
      <c r="P198">
        <v>97.52</v>
      </c>
      <c r="Q198" s="4" t="e">
        <v>#N/A</v>
      </c>
    </row>
    <row r="199" spans="1:17" x14ac:dyDescent="0.4">
      <c r="A199" s="4">
        <v>42522</v>
      </c>
      <c r="B199" s="5" t="e">
        <v>#N/A</v>
      </c>
      <c r="C199">
        <v>0.3901</v>
      </c>
      <c r="D199">
        <v>0.6</v>
      </c>
      <c r="E199" t="e">
        <v>#N/A</v>
      </c>
      <c r="F199">
        <v>10</v>
      </c>
      <c r="G199" s="8">
        <v>2218</v>
      </c>
      <c r="H199" t="e">
        <v>#N/A</v>
      </c>
      <c r="I199">
        <v>0.6607825756072998</v>
      </c>
      <c r="L199">
        <v>101.8</v>
      </c>
      <c r="M199">
        <v>83.4</v>
      </c>
      <c r="N199" t="e">
        <v>#N/A</v>
      </c>
      <c r="O199" t="e">
        <v>#N/A</v>
      </c>
      <c r="P199">
        <v>99.55</v>
      </c>
      <c r="Q199" s="4" t="s">
        <v>34</v>
      </c>
    </row>
    <row r="200" spans="1:17" x14ac:dyDescent="0.4">
      <c r="A200" s="4">
        <v>42552</v>
      </c>
      <c r="B200" s="5">
        <v>320757.7</v>
      </c>
      <c r="C200">
        <v>0.17299999999999999</v>
      </c>
      <c r="D200">
        <v>0.7</v>
      </c>
      <c r="E200">
        <v>83</v>
      </c>
      <c r="F200">
        <v>9.8000000000000007</v>
      </c>
      <c r="G200" s="8">
        <v>2188</v>
      </c>
      <c r="H200">
        <v>31.3</v>
      </c>
      <c r="I200">
        <v>1.0705691576004028</v>
      </c>
      <c r="L200">
        <v>101.6</v>
      </c>
      <c r="M200">
        <v>83.5</v>
      </c>
      <c r="N200">
        <v>100.4</v>
      </c>
      <c r="O200">
        <v>284068.5</v>
      </c>
      <c r="P200">
        <v>98.26</v>
      </c>
      <c r="Q200" s="4" t="s">
        <v>34</v>
      </c>
    </row>
    <row r="201" spans="1:17" x14ac:dyDescent="0.4">
      <c r="A201" s="4">
        <v>42583</v>
      </c>
      <c r="B201" s="5" t="e">
        <v>#N/A</v>
      </c>
      <c r="C201">
        <v>0.15140000000000001</v>
      </c>
      <c r="D201">
        <v>0.7</v>
      </c>
      <c r="E201" t="e">
        <v>#N/A</v>
      </c>
      <c r="F201">
        <v>9.9</v>
      </c>
      <c r="G201" s="8">
        <v>2197</v>
      </c>
      <c r="H201" t="e">
        <v>#N/A</v>
      </c>
      <c r="I201">
        <v>0.66673558950424194</v>
      </c>
      <c r="L201">
        <v>103.4</v>
      </c>
      <c r="M201">
        <v>83</v>
      </c>
      <c r="N201" t="e">
        <v>#N/A</v>
      </c>
      <c r="O201" t="e">
        <v>#N/A</v>
      </c>
      <c r="P201">
        <v>96.76</v>
      </c>
      <c r="Q201" s="4" t="e">
        <v>#N/A</v>
      </c>
    </row>
    <row r="202" spans="1:17" x14ac:dyDescent="0.4">
      <c r="A202" s="4">
        <v>42614</v>
      </c>
      <c r="B202" s="5" t="e">
        <v>#N/A</v>
      </c>
      <c r="C202">
        <v>0.18329999999999999</v>
      </c>
      <c r="D202">
        <v>0.6</v>
      </c>
      <c r="E202" t="e">
        <v>#N/A</v>
      </c>
      <c r="F202">
        <v>9.9</v>
      </c>
      <c r="G202" s="8">
        <v>2210</v>
      </c>
      <c r="H202" t="e">
        <v>#N/A</v>
      </c>
      <c r="I202">
        <v>0.60496068000793457</v>
      </c>
      <c r="L202">
        <v>102.5</v>
      </c>
      <c r="M202">
        <v>83.6</v>
      </c>
      <c r="N202" t="e">
        <v>#N/A</v>
      </c>
      <c r="O202" t="e">
        <v>#N/A</v>
      </c>
      <c r="P202">
        <v>97.57</v>
      </c>
      <c r="Q202" s="4" t="e">
        <v>#N/A</v>
      </c>
    </row>
    <row r="203" spans="1:17" x14ac:dyDescent="0.4">
      <c r="A203" s="4">
        <v>42644</v>
      </c>
      <c r="B203" s="5">
        <v>323255.90000000002</v>
      </c>
      <c r="C203">
        <v>0.32700000000000001</v>
      </c>
      <c r="D203">
        <v>0.5</v>
      </c>
      <c r="E203">
        <v>82.1</v>
      </c>
      <c r="F203">
        <v>10.1</v>
      </c>
      <c r="G203" s="8">
        <v>2265</v>
      </c>
      <c r="H203">
        <v>30.8</v>
      </c>
      <c r="I203">
        <v>0.64297634363174438</v>
      </c>
      <c r="L203">
        <v>102.1</v>
      </c>
      <c r="M203">
        <v>84.7</v>
      </c>
      <c r="N203">
        <v>100.5</v>
      </c>
      <c r="O203">
        <v>306066.59999999998</v>
      </c>
      <c r="P203">
        <v>98.72</v>
      </c>
      <c r="Q203" s="4" t="s">
        <v>34</v>
      </c>
    </row>
    <row r="204" spans="1:17" x14ac:dyDescent="0.4">
      <c r="A204" s="4">
        <v>42675</v>
      </c>
      <c r="B204" s="5" t="e">
        <v>#N/A</v>
      </c>
      <c r="C204">
        <v>0.66379999999999995</v>
      </c>
      <c r="D204">
        <v>0.6</v>
      </c>
      <c r="E204" t="e">
        <v>#N/A</v>
      </c>
      <c r="F204">
        <v>10.1</v>
      </c>
      <c r="G204" s="8">
        <v>2277</v>
      </c>
      <c r="H204" t="e">
        <v>#N/A</v>
      </c>
      <c r="I204">
        <v>0.63073688745498657</v>
      </c>
      <c r="L204">
        <v>104.3</v>
      </c>
      <c r="M204">
        <v>84.1</v>
      </c>
      <c r="N204" t="e">
        <v>#N/A</v>
      </c>
      <c r="O204" t="e">
        <v>#N/A</v>
      </c>
      <c r="P204">
        <v>99.61</v>
      </c>
      <c r="Q204" s="4" t="e">
        <v>#N/A</v>
      </c>
    </row>
    <row r="205" spans="1:17" x14ac:dyDescent="0.4">
      <c r="A205" s="4">
        <v>42705</v>
      </c>
      <c r="B205" s="5" t="e">
        <v>#N/A</v>
      </c>
      <c r="C205">
        <v>0.75419999999999998</v>
      </c>
      <c r="D205">
        <v>0.5</v>
      </c>
      <c r="E205" t="e">
        <v>#N/A</v>
      </c>
      <c r="F205">
        <v>10</v>
      </c>
      <c r="G205" s="8">
        <v>2260</v>
      </c>
      <c r="H205" t="e">
        <v>#N/A</v>
      </c>
      <c r="I205">
        <v>0.6870269775390625</v>
      </c>
      <c r="L205">
        <v>103.6</v>
      </c>
      <c r="M205">
        <v>84.6</v>
      </c>
      <c r="N205" t="e">
        <v>#N/A</v>
      </c>
      <c r="O205" t="e">
        <v>#N/A</v>
      </c>
      <c r="P205">
        <v>100.5</v>
      </c>
      <c r="Q205" s="4" t="s">
        <v>34</v>
      </c>
    </row>
    <row r="206" spans="1:17" x14ac:dyDescent="0.4">
      <c r="A206" s="4">
        <v>42736</v>
      </c>
      <c r="B206" s="5">
        <v>326429.40000000002</v>
      </c>
      <c r="C206">
        <v>0.86250000000000004</v>
      </c>
      <c r="D206">
        <v>0.8</v>
      </c>
      <c r="E206">
        <v>83.8</v>
      </c>
      <c r="F206">
        <v>9.6999999999999993</v>
      </c>
      <c r="G206" s="8">
        <v>2211</v>
      </c>
      <c r="H206">
        <v>30.9</v>
      </c>
      <c r="I206">
        <v>0.54700160026550293</v>
      </c>
      <c r="L206">
        <v>103.6</v>
      </c>
      <c r="M206">
        <v>85.1</v>
      </c>
      <c r="N206">
        <v>101</v>
      </c>
      <c r="O206">
        <v>292645.5</v>
      </c>
      <c r="P206">
        <v>104.92</v>
      </c>
      <c r="Q206" s="4" t="e">
        <v>#N/A</v>
      </c>
    </row>
    <row r="207" spans="1:17" x14ac:dyDescent="0.4">
      <c r="A207" s="4">
        <v>42767</v>
      </c>
      <c r="B207" s="5" t="e">
        <v>#N/A</v>
      </c>
      <c r="C207">
        <v>1.0290999999999999</v>
      </c>
      <c r="D207">
        <v>0.5</v>
      </c>
      <c r="E207" t="e">
        <v>#N/A</v>
      </c>
      <c r="F207">
        <v>9.6</v>
      </c>
      <c r="G207" s="8">
        <v>2183</v>
      </c>
      <c r="H207" t="e">
        <v>#N/A</v>
      </c>
      <c r="I207">
        <v>0.53419977426528931</v>
      </c>
      <c r="L207">
        <v>102.7</v>
      </c>
      <c r="M207">
        <v>85.6</v>
      </c>
      <c r="N207" t="e">
        <v>#N/A</v>
      </c>
      <c r="O207" t="e">
        <v>#N/A</v>
      </c>
      <c r="P207">
        <v>104.94</v>
      </c>
      <c r="Q207" s="4" t="e">
        <v>#N/A</v>
      </c>
    </row>
    <row r="208" spans="1:17" x14ac:dyDescent="0.4">
      <c r="A208" s="4">
        <v>42795</v>
      </c>
      <c r="B208" s="5" t="e">
        <v>#N/A</v>
      </c>
      <c r="C208">
        <v>1.0199</v>
      </c>
      <c r="D208">
        <v>0.6</v>
      </c>
      <c r="E208" t="e">
        <v>#N/A</v>
      </c>
      <c r="F208">
        <v>9.6</v>
      </c>
      <c r="G208" s="8">
        <v>2174</v>
      </c>
      <c r="H208" t="e">
        <v>#N/A</v>
      </c>
      <c r="I208">
        <v>0.44222265481948853</v>
      </c>
      <c r="L208">
        <v>104.7</v>
      </c>
      <c r="M208">
        <v>86.2</v>
      </c>
      <c r="N208" t="e">
        <v>#N/A</v>
      </c>
      <c r="O208" t="e">
        <v>#N/A</v>
      </c>
      <c r="P208">
        <v>104.5</v>
      </c>
      <c r="Q208" s="4" t="s">
        <v>34</v>
      </c>
    </row>
    <row r="209" spans="1:17" x14ac:dyDescent="0.4">
      <c r="A209" s="4">
        <v>42826</v>
      </c>
      <c r="B209" s="5">
        <v>328395</v>
      </c>
      <c r="C209">
        <v>0.88139999999999996</v>
      </c>
      <c r="D209">
        <v>0.7</v>
      </c>
      <c r="E209">
        <v>84.9</v>
      </c>
      <c r="F209">
        <v>9.5</v>
      </c>
      <c r="G209" s="8">
        <v>2147</v>
      </c>
      <c r="H209">
        <v>30.8</v>
      </c>
      <c r="I209">
        <v>0.76179468631744385</v>
      </c>
      <c r="L209">
        <v>103.6</v>
      </c>
      <c r="M209">
        <v>85.7</v>
      </c>
      <c r="N209">
        <v>101.3</v>
      </c>
      <c r="O209">
        <v>299794.09999999998</v>
      </c>
      <c r="P209">
        <v>104.24</v>
      </c>
      <c r="Q209" s="4" t="e">
        <v>#N/A</v>
      </c>
    </row>
    <row r="210" spans="1:17" x14ac:dyDescent="0.4">
      <c r="A210" s="4">
        <v>42856</v>
      </c>
      <c r="B210" s="5" t="e">
        <v>#N/A</v>
      </c>
      <c r="C210">
        <v>0.79900000000000004</v>
      </c>
      <c r="D210">
        <v>0.5</v>
      </c>
      <c r="E210" t="e">
        <v>#N/A</v>
      </c>
      <c r="F210">
        <v>9.5</v>
      </c>
      <c r="G210" s="8">
        <v>2146</v>
      </c>
      <c r="H210" t="e">
        <v>#N/A</v>
      </c>
      <c r="I210">
        <v>0.59910643100738525</v>
      </c>
      <c r="L210">
        <v>106</v>
      </c>
      <c r="M210">
        <v>86.5</v>
      </c>
      <c r="N210" t="e">
        <v>#N/A</v>
      </c>
      <c r="O210" t="e">
        <v>#N/A</v>
      </c>
      <c r="P210">
        <v>102.61</v>
      </c>
      <c r="Q210" s="4" t="s">
        <v>37</v>
      </c>
    </row>
    <row r="211" spans="1:17" x14ac:dyDescent="0.4">
      <c r="A211" s="4">
        <v>42887</v>
      </c>
      <c r="B211" s="5" t="e">
        <v>#N/A</v>
      </c>
      <c r="C211">
        <v>0.66459999999999997</v>
      </c>
      <c r="D211">
        <v>0.7</v>
      </c>
      <c r="E211" t="e">
        <v>#N/A</v>
      </c>
      <c r="F211">
        <v>9.5</v>
      </c>
      <c r="G211" s="8">
        <v>2154</v>
      </c>
      <c r="H211" t="e">
        <v>#N/A</v>
      </c>
      <c r="I211">
        <v>0.73787409067153931</v>
      </c>
      <c r="L211">
        <v>104.8</v>
      </c>
      <c r="M211">
        <v>86.1</v>
      </c>
      <c r="N211" t="e">
        <v>#N/A</v>
      </c>
      <c r="O211" t="e">
        <v>#N/A</v>
      </c>
      <c r="P211">
        <v>101.42</v>
      </c>
      <c r="Q211" s="4" t="s">
        <v>34</v>
      </c>
    </row>
    <row r="212" spans="1:17" x14ac:dyDescent="0.4">
      <c r="A212" s="4">
        <v>42917</v>
      </c>
      <c r="B212" s="5">
        <v>333968.40000000002</v>
      </c>
      <c r="C212">
        <v>0.83709999999999996</v>
      </c>
      <c r="D212">
        <v>0.7</v>
      </c>
      <c r="E212">
        <v>84.8</v>
      </c>
      <c r="F212">
        <v>9.6</v>
      </c>
      <c r="G212" s="8">
        <v>2196</v>
      </c>
      <c r="H212">
        <v>31.8</v>
      </c>
      <c r="I212">
        <v>0.52985745668411255</v>
      </c>
      <c r="L212">
        <v>104.8</v>
      </c>
      <c r="M212">
        <v>87.2</v>
      </c>
      <c r="N212">
        <v>101.5</v>
      </c>
      <c r="O212">
        <v>293481</v>
      </c>
      <c r="P212">
        <v>100.12</v>
      </c>
      <c r="Q212" s="4" t="s">
        <v>34</v>
      </c>
    </row>
    <row r="213" spans="1:17" x14ac:dyDescent="0.4">
      <c r="A213" s="4">
        <v>42948</v>
      </c>
      <c r="B213" s="5" t="e">
        <v>#N/A</v>
      </c>
      <c r="C213">
        <v>0.71079999999999999</v>
      </c>
      <c r="D213">
        <v>0.6</v>
      </c>
      <c r="E213" t="e">
        <v>#N/A</v>
      </c>
      <c r="F213">
        <v>9.5</v>
      </c>
      <c r="G213" s="8">
        <v>2198</v>
      </c>
      <c r="H213" t="e">
        <v>#N/A</v>
      </c>
      <c r="I213">
        <v>0.58214056491851807</v>
      </c>
      <c r="L213">
        <v>105.2</v>
      </c>
      <c r="M213">
        <v>85.8</v>
      </c>
      <c r="N213" t="e">
        <v>#N/A</v>
      </c>
      <c r="O213" t="e">
        <v>#N/A</v>
      </c>
      <c r="P213">
        <v>101.28</v>
      </c>
      <c r="Q213" s="4" t="e">
        <v>#N/A</v>
      </c>
    </row>
    <row r="214" spans="1:17" x14ac:dyDescent="0.4">
      <c r="A214" s="4">
        <v>42979</v>
      </c>
      <c r="B214" s="5" t="e">
        <v>#N/A</v>
      </c>
      <c r="C214">
        <v>0.7</v>
      </c>
      <c r="D214">
        <v>0.7</v>
      </c>
      <c r="E214" t="e">
        <v>#N/A</v>
      </c>
      <c r="F214">
        <v>9.3000000000000007</v>
      </c>
      <c r="G214" s="8">
        <v>2135</v>
      </c>
      <c r="H214" t="e">
        <v>#N/A</v>
      </c>
      <c r="I214">
        <v>0.6441304087638855</v>
      </c>
      <c r="L214">
        <v>106.5</v>
      </c>
      <c r="M214">
        <v>89</v>
      </c>
      <c r="N214" t="e">
        <v>#N/A</v>
      </c>
      <c r="O214" t="e">
        <v>#N/A</v>
      </c>
      <c r="P214">
        <v>102.33</v>
      </c>
      <c r="Q214" s="4" t="e">
        <v>#N/A</v>
      </c>
    </row>
    <row r="215" spans="1:17" x14ac:dyDescent="0.4">
      <c r="A215" s="4">
        <v>43009</v>
      </c>
      <c r="B215" s="5">
        <v>333057.5</v>
      </c>
      <c r="C215">
        <v>0.81159999999999999</v>
      </c>
      <c r="D215">
        <v>0.8</v>
      </c>
      <c r="E215">
        <v>83.3</v>
      </c>
      <c r="F215">
        <v>9.1</v>
      </c>
      <c r="G215" s="8">
        <v>2074</v>
      </c>
      <c r="H215">
        <v>29.5</v>
      </c>
      <c r="I215">
        <v>0.58436816930770874</v>
      </c>
      <c r="L215">
        <v>106.9</v>
      </c>
      <c r="M215">
        <v>86.1</v>
      </c>
      <c r="N215">
        <v>101.8</v>
      </c>
      <c r="O215">
        <v>316278.40000000002</v>
      </c>
      <c r="P215">
        <v>103.33</v>
      </c>
      <c r="Q215" s="4" t="e">
        <v>#N/A</v>
      </c>
    </row>
    <row r="216" spans="1:17" x14ac:dyDescent="0.4">
      <c r="A216" s="4">
        <v>43040</v>
      </c>
      <c r="B216" s="5" t="e">
        <v>#N/A</v>
      </c>
      <c r="C216">
        <v>0.71950000000000003</v>
      </c>
      <c r="D216">
        <v>0.9</v>
      </c>
      <c r="E216" t="e">
        <v>#N/A</v>
      </c>
      <c r="F216">
        <v>9</v>
      </c>
      <c r="G216" s="8">
        <v>2034</v>
      </c>
      <c r="H216" t="e">
        <v>#N/A</v>
      </c>
      <c r="I216">
        <v>0.34085169434547424</v>
      </c>
      <c r="L216">
        <v>107.3</v>
      </c>
      <c r="M216">
        <v>89.1</v>
      </c>
      <c r="N216" t="e">
        <v>#N/A</v>
      </c>
      <c r="O216" t="e">
        <v>#N/A</v>
      </c>
      <c r="P216">
        <v>104.95</v>
      </c>
      <c r="Q216" s="4" t="e">
        <v>#N/A</v>
      </c>
    </row>
    <row r="217" spans="1:17" x14ac:dyDescent="0.4">
      <c r="A217" s="4">
        <v>43070</v>
      </c>
      <c r="B217" s="5" t="e">
        <v>#N/A</v>
      </c>
      <c r="C217">
        <v>0.67630000000000001</v>
      </c>
      <c r="D217">
        <v>0.9</v>
      </c>
      <c r="E217" t="e">
        <v>#N/A</v>
      </c>
      <c r="F217">
        <v>9</v>
      </c>
      <c r="G217" s="8">
        <v>2049</v>
      </c>
      <c r="H217" t="e">
        <v>#N/A</v>
      </c>
      <c r="I217">
        <v>0.31070089340209961</v>
      </c>
      <c r="L217">
        <v>108.5</v>
      </c>
      <c r="M217">
        <v>88.9</v>
      </c>
      <c r="N217" t="e">
        <v>#N/A</v>
      </c>
      <c r="O217" t="e">
        <v>#N/A</v>
      </c>
      <c r="P217">
        <v>105.47</v>
      </c>
      <c r="Q217" s="4" t="e">
        <v>#N/A</v>
      </c>
    </row>
    <row r="218" spans="1:17" x14ac:dyDescent="0.4">
      <c r="A218" s="4">
        <v>43101</v>
      </c>
      <c r="B218" s="5">
        <v>331584</v>
      </c>
      <c r="C218">
        <v>0.85440000000000005</v>
      </c>
      <c r="D218">
        <v>1.1000000000000001</v>
      </c>
      <c r="E218">
        <v>84.4</v>
      </c>
      <c r="F218">
        <v>9.1999999999999993</v>
      </c>
      <c r="G218" s="8">
        <v>2093</v>
      </c>
      <c r="H218">
        <v>28.1</v>
      </c>
      <c r="I218">
        <v>0.44685465097427368</v>
      </c>
      <c r="L218">
        <v>104.6</v>
      </c>
      <c r="M218">
        <v>88.3</v>
      </c>
      <c r="N218">
        <v>102.2</v>
      </c>
      <c r="O218">
        <v>300703.2</v>
      </c>
      <c r="P218">
        <v>110.31</v>
      </c>
      <c r="Q218" s="4" t="s">
        <v>34</v>
      </c>
    </row>
    <row r="219" spans="1:17" x14ac:dyDescent="0.4">
      <c r="A219" s="4">
        <v>43132</v>
      </c>
      <c r="B219" s="5" t="e">
        <v>#N/A</v>
      </c>
      <c r="C219">
        <v>0.98160000000000003</v>
      </c>
      <c r="D219">
        <v>0.9</v>
      </c>
      <c r="E219" t="e">
        <v>#N/A</v>
      </c>
      <c r="F219">
        <v>9.3000000000000007</v>
      </c>
      <c r="G219" s="8">
        <v>2121</v>
      </c>
      <c r="H219" t="e">
        <v>#N/A</v>
      </c>
      <c r="I219">
        <v>0.30689111351966858</v>
      </c>
      <c r="L219">
        <v>106.1</v>
      </c>
      <c r="M219">
        <v>88.7</v>
      </c>
      <c r="N219" t="e">
        <v>#N/A</v>
      </c>
      <c r="O219" t="e">
        <v>#N/A</v>
      </c>
      <c r="P219">
        <v>110.34</v>
      </c>
      <c r="Q219" s="4" t="e">
        <v>#N/A</v>
      </c>
    </row>
    <row r="220" spans="1:17" x14ac:dyDescent="0.4">
      <c r="A220" s="4">
        <v>43160</v>
      </c>
      <c r="B220" s="5" t="e">
        <v>#N/A</v>
      </c>
      <c r="C220">
        <v>0.83420000000000005</v>
      </c>
      <c r="D220">
        <v>1.4</v>
      </c>
      <c r="E220" t="e">
        <v>#N/A</v>
      </c>
      <c r="F220">
        <v>9.3000000000000007</v>
      </c>
      <c r="G220" s="8">
        <v>2127</v>
      </c>
      <c r="H220" t="e">
        <v>#N/A</v>
      </c>
      <c r="I220">
        <v>0.65720927715301514</v>
      </c>
      <c r="L220">
        <v>107</v>
      </c>
      <c r="M220">
        <v>89.4</v>
      </c>
      <c r="N220" t="e">
        <v>#N/A</v>
      </c>
      <c r="O220" t="e">
        <v>#N/A</v>
      </c>
      <c r="P220">
        <v>109.58</v>
      </c>
      <c r="Q220" s="4" t="e">
        <v>#N/A</v>
      </c>
    </row>
    <row r="221" spans="1:17" x14ac:dyDescent="0.4">
      <c r="A221" s="4">
        <v>43191</v>
      </c>
      <c r="B221" s="5">
        <v>330788.09999999998</v>
      </c>
      <c r="C221">
        <v>0.77629999999999999</v>
      </c>
      <c r="D221">
        <v>1.4</v>
      </c>
      <c r="E221">
        <v>84.7</v>
      </c>
      <c r="F221">
        <v>9.1999999999999993</v>
      </c>
      <c r="G221" s="8">
        <v>2113</v>
      </c>
      <c r="H221">
        <v>28.1</v>
      </c>
      <c r="I221">
        <v>1.0193063020706177</v>
      </c>
      <c r="L221">
        <v>105.8</v>
      </c>
      <c r="M221">
        <v>88.8</v>
      </c>
      <c r="N221">
        <v>102.3</v>
      </c>
      <c r="O221">
        <v>307453.3</v>
      </c>
      <c r="P221">
        <v>110.58</v>
      </c>
      <c r="Q221" s="4" t="e">
        <v>#N/A</v>
      </c>
    </row>
    <row r="222" spans="1:17" x14ac:dyDescent="0.4">
      <c r="A222" s="4">
        <v>43221</v>
      </c>
      <c r="B222" s="5" t="e">
        <v>#N/A</v>
      </c>
      <c r="C222">
        <v>0.78549999999999998</v>
      </c>
      <c r="D222">
        <v>1.6</v>
      </c>
      <c r="E222" t="e">
        <v>#N/A</v>
      </c>
      <c r="F222">
        <v>9.1</v>
      </c>
      <c r="G222" s="8">
        <v>2092</v>
      </c>
      <c r="H222" t="e">
        <v>#N/A</v>
      </c>
      <c r="I222">
        <v>0.9832758903503418</v>
      </c>
      <c r="L222">
        <v>104.7</v>
      </c>
      <c r="M222">
        <v>89.6</v>
      </c>
      <c r="N222" t="e">
        <v>#N/A</v>
      </c>
      <c r="O222" t="e">
        <v>#N/A</v>
      </c>
      <c r="P222">
        <v>112.71</v>
      </c>
      <c r="Q222" s="4" t="s">
        <v>38</v>
      </c>
    </row>
    <row r="223" spans="1:17" x14ac:dyDescent="0.4">
      <c r="A223" s="4">
        <v>43252</v>
      </c>
      <c r="B223" s="5" t="e">
        <v>#N/A</v>
      </c>
      <c r="C223">
        <v>0.75260000000000005</v>
      </c>
      <c r="D223">
        <v>1.4</v>
      </c>
      <c r="E223" t="e">
        <v>#N/A</v>
      </c>
      <c r="F223">
        <v>9</v>
      </c>
      <c r="G223" s="8">
        <v>2067</v>
      </c>
      <c r="H223" t="e">
        <v>#N/A</v>
      </c>
      <c r="I223">
        <v>0.66085666418075562</v>
      </c>
      <c r="L223">
        <v>106.7</v>
      </c>
      <c r="M223">
        <v>89.4</v>
      </c>
      <c r="N223" t="e">
        <v>#N/A</v>
      </c>
      <c r="O223" t="e">
        <v>#N/A</v>
      </c>
      <c r="P223">
        <v>113.63</v>
      </c>
      <c r="Q223" s="4" t="e">
        <v>#N/A</v>
      </c>
    </row>
    <row r="224" spans="1:17" x14ac:dyDescent="0.4">
      <c r="A224" s="4">
        <v>43282</v>
      </c>
      <c r="B224" s="5">
        <v>331222.8</v>
      </c>
      <c r="C224">
        <v>0.66579999999999995</v>
      </c>
      <c r="D224">
        <v>1.5</v>
      </c>
      <c r="E224">
        <v>85.7</v>
      </c>
      <c r="F224">
        <v>9</v>
      </c>
      <c r="G224" s="8">
        <v>2039</v>
      </c>
      <c r="H224">
        <v>27.6</v>
      </c>
      <c r="I224">
        <v>0.51231694221496582</v>
      </c>
      <c r="L224">
        <v>106.1</v>
      </c>
      <c r="M224">
        <v>90</v>
      </c>
      <c r="N224">
        <v>102.7</v>
      </c>
      <c r="O224">
        <v>300662.90000000002</v>
      </c>
      <c r="P224">
        <v>114.19</v>
      </c>
      <c r="Q224" s="4" t="s">
        <v>34</v>
      </c>
    </row>
    <row r="225" spans="1:17" x14ac:dyDescent="0.4">
      <c r="A225" s="4">
        <v>43313</v>
      </c>
      <c r="B225" s="5" t="e">
        <v>#N/A</v>
      </c>
      <c r="C225">
        <v>0.70479999999999998</v>
      </c>
      <c r="D225">
        <v>1.6</v>
      </c>
      <c r="E225" t="e">
        <v>#N/A</v>
      </c>
      <c r="F225">
        <v>8.9</v>
      </c>
      <c r="G225" s="8">
        <v>2020</v>
      </c>
      <c r="H225" t="e">
        <v>#N/A</v>
      </c>
      <c r="I225">
        <v>0.34039503335952759</v>
      </c>
      <c r="L225">
        <v>106.4</v>
      </c>
      <c r="M225">
        <v>89.9</v>
      </c>
      <c r="N225" t="e">
        <v>#N/A</v>
      </c>
      <c r="O225" t="e">
        <v>#N/A</v>
      </c>
      <c r="P225">
        <v>114.22</v>
      </c>
      <c r="Q225" s="4" t="e">
        <v>#N/A</v>
      </c>
    </row>
    <row r="226" spans="1:17" x14ac:dyDescent="0.4">
      <c r="A226" s="4">
        <v>43344</v>
      </c>
      <c r="B226" s="5" t="e">
        <v>#N/A</v>
      </c>
      <c r="C226">
        <v>0.76770000000000005</v>
      </c>
      <c r="D226">
        <v>1.5</v>
      </c>
      <c r="E226" t="e">
        <v>#N/A</v>
      </c>
      <c r="F226">
        <v>8.9</v>
      </c>
      <c r="G226" s="8">
        <v>2025</v>
      </c>
      <c r="H226" t="e">
        <v>#N/A</v>
      </c>
      <c r="I226">
        <v>0.32759344577789307</v>
      </c>
      <c r="L226">
        <v>105.3</v>
      </c>
      <c r="M226">
        <v>90.1</v>
      </c>
      <c r="N226" t="e">
        <v>#N/A</v>
      </c>
      <c r="O226" t="e">
        <v>#N/A</v>
      </c>
      <c r="P226">
        <v>115.28</v>
      </c>
      <c r="Q226" s="4" t="e">
        <v>#N/A</v>
      </c>
    </row>
    <row r="227" spans="1:17" x14ac:dyDescent="0.4">
      <c r="A227" s="4">
        <v>43374</v>
      </c>
      <c r="B227" s="5">
        <v>334285.59999999998</v>
      </c>
      <c r="C227">
        <v>0.82269999999999999</v>
      </c>
      <c r="D227">
        <v>1.4</v>
      </c>
      <c r="E227">
        <v>84.3</v>
      </c>
      <c r="F227">
        <v>8.8000000000000007</v>
      </c>
      <c r="G227" s="8">
        <v>2011</v>
      </c>
      <c r="H227">
        <v>27.5</v>
      </c>
      <c r="I227">
        <v>0.53962761163711548</v>
      </c>
      <c r="L227">
        <v>106.8</v>
      </c>
      <c r="M227">
        <v>90.9</v>
      </c>
      <c r="N227">
        <v>103</v>
      </c>
      <c r="O227">
        <v>323166</v>
      </c>
      <c r="P227">
        <v>117.33</v>
      </c>
      <c r="Q227" s="4" t="e">
        <v>#N/A</v>
      </c>
    </row>
    <row r="228" spans="1:17" x14ac:dyDescent="0.4">
      <c r="A228" s="4">
        <v>43405</v>
      </c>
      <c r="B228" s="5" t="e">
        <v>#N/A</v>
      </c>
      <c r="C228">
        <v>0.76219999999999999</v>
      </c>
      <c r="D228">
        <v>1.3</v>
      </c>
      <c r="E228" t="e">
        <v>#N/A</v>
      </c>
      <c r="F228">
        <v>8.8000000000000007</v>
      </c>
      <c r="G228" s="8">
        <v>2010</v>
      </c>
      <c r="H228" t="e">
        <v>#N/A</v>
      </c>
      <c r="I228">
        <v>0.52981817722320557</v>
      </c>
      <c r="L228">
        <v>105.6</v>
      </c>
      <c r="M228">
        <v>90.2</v>
      </c>
      <c r="N228" t="e">
        <v>#N/A</v>
      </c>
      <c r="O228" t="e">
        <v>#N/A</v>
      </c>
      <c r="P228">
        <v>116.54</v>
      </c>
      <c r="Q228" s="4" t="e">
        <v>#N/A</v>
      </c>
    </row>
    <row r="229" spans="1:17" x14ac:dyDescent="0.4">
      <c r="A229" s="4">
        <v>43435</v>
      </c>
      <c r="B229" s="5" t="e">
        <v>#N/A</v>
      </c>
      <c r="C229">
        <v>0.69789999999999996</v>
      </c>
      <c r="D229">
        <v>1.3</v>
      </c>
      <c r="E229" t="e">
        <v>#N/A</v>
      </c>
      <c r="F229">
        <v>8.8000000000000007</v>
      </c>
      <c r="G229" s="8">
        <v>2027</v>
      </c>
      <c r="H229" t="e">
        <v>#N/A</v>
      </c>
      <c r="I229">
        <v>0.38019242882728577</v>
      </c>
      <c r="L229">
        <v>106.7</v>
      </c>
      <c r="M229">
        <v>90</v>
      </c>
      <c r="N229" t="e">
        <v>#N/A</v>
      </c>
      <c r="O229" t="e">
        <v>#N/A</v>
      </c>
      <c r="P229">
        <v>113.9</v>
      </c>
      <c r="Q229" s="4" t="e">
        <v>#N/A</v>
      </c>
    </row>
    <row r="230" spans="1:17" x14ac:dyDescent="0.4">
      <c r="A230" s="4">
        <v>43466</v>
      </c>
      <c r="B230" s="5">
        <v>333532.5</v>
      </c>
      <c r="C230">
        <v>0.64629999999999999</v>
      </c>
      <c r="D230">
        <v>1.4</v>
      </c>
      <c r="E230">
        <v>85.4</v>
      </c>
      <c r="F230">
        <v>8.8000000000000007</v>
      </c>
      <c r="G230" s="8">
        <v>2010</v>
      </c>
      <c r="H230">
        <v>27</v>
      </c>
      <c r="I230">
        <v>0.36124098300933838</v>
      </c>
      <c r="L230">
        <v>107.3</v>
      </c>
      <c r="M230">
        <v>91.1</v>
      </c>
      <c r="N230">
        <v>103.8</v>
      </c>
      <c r="O230">
        <v>304855.2</v>
      </c>
      <c r="P230">
        <v>112.5</v>
      </c>
      <c r="Q230" s="4" t="s">
        <v>34</v>
      </c>
    </row>
    <row r="231" spans="1:17" x14ac:dyDescent="0.4">
      <c r="A231" s="4">
        <v>43497</v>
      </c>
      <c r="B231" s="5" t="e">
        <v>#N/A</v>
      </c>
      <c r="C231">
        <v>0.55059999999999998</v>
      </c>
      <c r="D231">
        <v>1.4</v>
      </c>
      <c r="E231" t="e">
        <v>#N/A</v>
      </c>
      <c r="F231">
        <v>8.6999999999999993</v>
      </c>
      <c r="G231" s="8">
        <v>2001</v>
      </c>
      <c r="H231" t="e">
        <v>#N/A</v>
      </c>
      <c r="I231">
        <v>0.62317061424255371</v>
      </c>
      <c r="L231">
        <v>107.3</v>
      </c>
      <c r="M231">
        <v>91.7</v>
      </c>
      <c r="N231" t="e">
        <v>#N/A</v>
      </c>
      <c r="O231" t="e">
        <v>#N/A</v>
      </c>
      <c r="P231">
        <v>113.96</v>
      </c>
      <c r="Q231" s="4" t="e">
        <v>#N/A</v>
      </c>
    </row>
    <row r="232" spans="1:17" x14ac:dyDescent="0.4">
      <c r="A232" s="4">
        <v>43525</v>
      </c>
      <c r="B232" s="5" t="e">
        <v>#N/A</v>
      </c>
      <c r="C232">
        <v>0.437</v>
      </c>
      <c r="D232">
        <v>0.9</v>
      </c>
      <c r="E232" t="e">
        <v>#N/A</v>
      </c>
      <c r="F232">
        <v>8.6999999999999993</v>
      </c>
      <c r="G232" s="8">
        <v>1994</v>
      </c>
      <c r="H232" t="e">
        <v>#N/A</v>
      </c>
      <c r="I232">
        <v>0.32952365279197693</v>
      </c>
      <c r="L232">
        <v>107.1</v>
      </c>
      <c r="M232">
        <v>91.4</v>
      </c>
      <c r="N232" t="e">
        <v>#N/A</v>
      </c>
      <c r="O232" t="e">
        <v>#N/A</v>
      </c>
      <c r="P232">
        <v>115.17</v>
      </c>
      <c r="Q232" s="4" t="e">
        <v>#N/A</v>
      </c>
    </row>
    <row r="233" spans="1:17" x14ac:dyDescent="0.4">
      <c r="A233" s="4">
        <v>43556</v>
      </c>
      <c r="B233" s="5">
        <v>335839.7</v>
      </c>
      <c r="C233">
        <v>0.37180000000000002</v>
      </c>
      <c r="D233">
        <v>1.1000000000000001</v>
      </c>
      <c r="E233">
        <v>85.5</v>
      </c>
      <c r="F233">
        <v>8.5</v>
      </c>
      <c r="G233" s="8">
        <v>1955</v>
      </c>
      <c r="H233">
        <v>26.5</v>
      </c>
      <c r="I233">
        <v>0.5103411078453064</v>
      </c>
      <c r="L233">
        <v>107.3</v>
      </c>
      <c r="M233">
        <v>92</v>
      </c>
      <c r="N233">
        <v>104.3</v>
      </c>
      <c r="O233">
        <v>310378.3</v>
      </c>
      <c r="P233">
        <v>115.88</v>
      </c>
      <c r="Q233" s="4" t="e">
        <v>#N/A</v>
      </c>
    </row>
    <row r="234" spans="1:17" x14ac:dyDescent="0.4">
      <c r="A234" s="4">
        <v>43586</v>
      </c>
      <c r="B234" s="5" t="e">
        <v>#N/A</v>
      </c>
      <c r="C234">
        <v>0.30359999999999998</v>
      </c>
      <c r="D234">
        <v>0.9</v>
      </c>
      <c r="E234" t="e">
        <v>#N/A</v>
      </c>
      <c r="F234">
        <v>8.5</v>
      </c>
      <c r="G234" s="8">
        <v>1942</v>
      </c>
      <c r="H234" t="e">
        <v>#N/A</v>
      </c>
      <c r="I234">
        <v>0.51147598028182983</v>
      </c>
      <c r="L234">
        <v>109.2</v>
      </c>
      <c r="M234">
        <v>91.8</v>
      </c>
      <c r="N234" t="e">
        <v>#N/A</v>
      </c>
      <c r="O234" t="e">
        <v>#N/A</v>
      </c>
      <c r="P234">
        <v>116.56</v>
      </c>
      <c r="Q234" s="4" t="s">
        <v>34</v>
      </c>
    </row>
    <row r="235" spans="1:17" x14ac:dyDescent="0.4">
      <c r="A235" s="4">
        <v>43617</v>
      </c>
      <c r="B235" s="5" t="e">
        <v>#N/A</v>
      </c>
      <c r="C235">
        <v>7.9000000000000001E-2</v>
      </c>
      <c r="D235">
        <v>1.3</v>
      </c>
      <c r="E235" t="e">
        <v>#N/A</v>
      </c>
      <c r="F235">
        <v>8.5</v>
      </c>
      <c r="G235" s="8">
        <v>1952</v>
      </c>
      <c r="H235" t="e">
        <v>#N/A</v>
      </c>
      <c r="I235">
        <v>0.54361897706985474</v>
      </c>
      <c r="L235">
        <v>105.8</v>
      </c>
      <c r="M235">
        <v>92.1</v>
      </c>
      <c r="N235" t="e">
        <v>#N/A</v>
      </c>
      <c r="O235" t="e">
        <v>#N/A</v>
      </c>
      <c r="P235">
        <v>116.32</v>
      </c>
      <c r="Q235" s="4" t="s">
        <v>34</v>
      </c>
    </row>
    <row r="236" spans="1:17" x14ac:dyDescent="0.4">
      <c r="A236" s="4">
        <v>43647</v>
      </c>
      <c r="B236" s="5">
        <v>337841.2</v>
      </c>
      <c r="C236">
        <v>-6.9800000000000001E-2</v>
      </c>
      <c r="D236">
        <v>1.3</v>
      </c>
      <c r="E236">
        <v>86.5</v>
      </c>
      <c r="F236">
        <v>8.4</v>
      </c>
      <c r="G236" s="8">
        <v>1942</v>
      </c>
      <c r="H236">
        <v>26.9</v>
      </c>
      <c r="I236">
        <v>0.57959473133087158</v>
      </c>
      <c r="L236">
        <v>106.7</v>
      </c>
      <c r="M236">
        <v>91.9</v>
      </c>
      <c r="N236">
        <v>104.7</v>
      </c>
      <c r="O236">
        <v>303588.5</v>
      </c>
      <c r="P236">
        <v>115.05</v>
      </c>
      <c r="Q236" s="4" t="e">
        <v>#N/A</v>
      </c>
    </row>
    <row r="237" spans="1:17" x14ac:dyDescent="0.4">
      <c r="A237" s="4">
        <v>43678</v>
      </c>
      <c r="B237" s="5" t="e">
        <v>#N/A</v>
      </c>
      <c r="C237">
        <v>-0.34289999999999998</v>
      </c>
      <c r="D237">
        <v>1.3</v>
      </c>
      <c r="E237" t="e">
        <v>#N/A</v>
      </c>
      <c r="F237">
        <v>8.3000000000000007</v>
      </c>
      <c r="G237" s="8">
        <v>1923</v>
      </c>
      <c r="H237" t="e">
        <v>#N/A</v>
      </c>
      <c r="I237">
        <v>0.49553138017654419</v>
      </c>
      <c r="L237">
        <v>105.3</v>
      </c>
      <c r="M237">
        <v>93.4</v>
      </c>
      <c r="N237" t="e">
        <v>#N/A</v>
      </c>
      <c r="O237" t="e">
        <v>#N/A</v>
      </c>
      <c r="P237">
        <v>115.03</v>
      </c>
      <c r="Q237" s="4" t="e">
        <v>#N/A</v>
      </c>
    </row>
    <row r="238" spans="1:17" x14ac:dyDescent="0.4">
      <c r="A238" s="4">
        <v>43709</v>
      </c>
      <c r="B238" s="5" t="e">
        <v>#N/A</v>
      </c>
      <c r="C238">
        <v>-0.27289999999999998</v>
      </c>
      <c r="D238">
        <v>1.2</v>
      </c>
      <c r="E238" t="e">
        <v>#N/A</v>
      </c>
      <c r="F238">
        <v>8.1999999999999993</v>
      </c>
      <c r="G238" s="8">
        <v>1881</v>
      </c>
      <c r="H238" t="e">
        <v>#N/A</v>
      </c>
      <c r="I238">
        <v>0.58018511533737183</v>
      </c>
      <c r="L238">
        <v>106.6</v>
      </c>
      <c r="M238">
        <v>92.4</v>
      </c>
      <c r="N238" t="e">
        <v>#N/A</v>
      </c>
      <c r="O238" t="e">
        <v>#N/A</v>
      </c>
      <c r="P238">
        <v>115.37</v>
      </c>
      <c r="Q238" s="4" t="e">
        <v>#N/A</v>
      </c>
    </row>
    <row r="239" spans="1:17" x14ac:dyDescent="0.4">
      <c r="A239" s="4">
        <v>43739</v>
      </c>
      <c r="B239" s="5">
        <v>339438.2</v>
      </c>
      <c r="C239">
        <v>-0.15559999999999999</v>
      </c>
      <c r="D239">
        <v>1.2</v>
      </c>
      <c r="E239">
        <v>84.8</v>
      </c>
      <c r="F239">
        <v>8.1999999999999993</v>
      </c>
      <c r="G239" s="8">
        <v>1834</v>
      </c>
      <c r="H239">
        <v>26.1</v>
      </c>
      <c r="I239">
        <v>0.53392750024795532</v>
      </c>
      <c r="L239">
        <v>106.6</v>
      </c>
      <c r="M239">
        <v>92.7</v>
      </c>
      <c r="N239">
        <v>104.8</v>
      </c>
      <c r="O239">
        <v>324219.09999999998</v>
      </c>
      <c r="P239">
        <v>115.38</v>
      </c>
      <c r="Q239" s="4" t="e">
        <v>#N/A</v>
      </c>
    </row>
    <row r="240" spans="1:17" x14ac:dyDescent="0.4">
      <c r="A240" s="4">
        <v>43770</v>
      </c>
      <c r="B240" s="5" t="e">
        <v>#N/A</v>
      </c>
      <c r="C240">
        <v>-1.9900000000000001E-2</v>
      </c>
      <c r="D240">
        <v>1.4</v>
      </c>
      <c r="E240" t="e">
        <v>#N/A</v>
      </c>
      <c r="F240">
        <v>8.1999999999999993</v>
      </c>
      <c r="G240" s="8">
        <v>1824</v>
      </c>
      <c r="H240" t="e">
        <v>#N/A</v>
      </c>
      <c r="I240">
        <v>0.34330984950065613</v>
      </c>
      <c r="L240">
        <v>105.8</v>
      </c>
      <c r="M240">
        <v>93.2</v>
      </c>
      <c r="N240" t="e">
        <v>#N/A</v>
      </c>
      <c r="O240" t="e">
        <v>#N/A</v>
      </c>
      <c r="P240">
        <v>115.78</v>
      </c>
      <c r="Q240" s="4" t="e">
        <v>#N/A</v>
      </c>
    </row>
    <row r="241" spans="1:17" x14ac:dyDescent="0.4">
      <c r="A241" s="4">
        <v>43800</v>
      </c>
      <c r="B241" s="5" t="e">
        <v>#N/A</v>
      </c>
      <c r="C241">
        <v>3.6200000000000003E-2</v>
      </c>
      <c r="D241">
        <v>1.5</v>
      </c>
      <c r="E241" t="e">
        <v>#N/A</v>
      </c>
      <c r="F241">
        <v>8.1999999999999993</v>
      </c>
      <c r="G241" s="8">
        <v>1830</v>
      </c>
      <c r="H241" t="e">
        <v>#N/A</v>
      </c>
      <c r="I241">
        <v>0.42714300751686096</v>
      </c>
      <c r="L241">
        <v>103.5</v>
      </c>
      <c r="M241">
        <v>92.7</v>
      </c>
      <c r="N241" t="e">
        <v>#N/A</v>
      </c>
      <c r="O241" t="e">
        <v>#N/A</v>
      </c>
      <c r="P241">
        <v>116.69</v>
      </c>
      <c r="Q241" s="4" t="s">
        <v>34</v>
      </c>
    </row>
    <row r="242" spans="1:17" x14ac:dyDescent="0.4">
      <c r="A242" s="4">
        <v>43831</v>
      </c>
      <c r="B242" s="5">
        <v>346943.7</v>
      </c>
      <c r="C242">
        <v>-6.7999999999999996E-3</v>
      </c>
      <c r="D242">
        <v>1.4</v>
      </c>
      <c r="E242">
        <v>87.5</v>
      </c>
      <c r="F242">
        <v>8.1999999999999993</v>
      </c>
      <c r="G242" s="8">
        <v>1847</v>
      </c>
      <c r="H242">
        <v>25.2</v>
      </c>
      <c r="I242">
        <v>1.0412530899047852</v>
      </c>
      <c r="L242">
        <v>105.5</v>
      </c>
      <c r="M242">
        <v>93.6</v>
      </c>
      <c r="N242">
        <v>101</v>
      </c>
      <c r="O242">
        <v>299957</v>
      </c>
      <c r="P242">
        <v>117.26</v>
      </c>
      <c r="Q242" s="4" t="e">
        <v>#N/A</v>
      </c>
    </row>
    <row r="243" spans="1:17" x14ac:dyDescent="0.4">
      <c r="A243" s="4">
        <v>43862</v>
      </c>
      <c r="B243" s="5" t="e">
        <v>#N/A</v>
      </c>
      <c r="C243">
        <v>-0.1802</v>
      </c>
      <c r="D243">
        <v>1.6</v>
      </c>
      <c r="E243" t="e">
        <v>#N/A</v>
      </c>
      <c r="F243">
        <v>7.8</v>
      </c>
      <c r="G243" s="8">
        <v>1755</v>
      </c>
      <c r="H243" t="e">
        <v>#N/A</v>
      </c>
      <c r="I243">
        <v>0.41462326049804688</v>
      </c>
      <c r="L243">
        <v>107.1</v>
      </c>
      <c r="M243">
        <v>93.2</v>
      </c>
      <c r="N243" t="e">
        <v>#N/A</v>
      </c>
      <c r="O243" t="e">
        <v>#N/A</v>
      </c>
      <c r="P243">
        <v>115.04</v>
      </c>
      <c r="Q243" s="4" t="s">
        <v>36</v>
      </c>
    </row>
    <row r="244" spans="1:17" x14ac:dyDescent="0.4">
      <c r="A244" s="4">
        <v>43891</v>
      </c>
      <c r="B244" s="5" t="e">
        <v>#N/A</v>
      </c>
      <c r="C244">
        <v>-5.3600000000000002E-2</v>
      </c>
      <c r="D244">
        <v>1.2</v>
      </c>
      <c r="E244" t="e">
        <v>#N/A</v>
      </c>
      <c r="F244">
        <v>7.6</v>
      </c>
      <c r="G244" s="8">
        <v>1670</v>
      </c>
      <c r="H244" t="e">
        <v>#N/A</v>
      </c>
      <c r="I244">
        <v>0.32922866940498352</v>
      </c>
      <c r="L244">
        <v>86.9</v>
      </c>
      <c r="M244">
        <v>79</v>
      </c>
      <c r="N244" t="e">
        <v>#N/A</v>
      </c>
      <c r="O244" t="e">
        <v>#N/A</v>
      </c>
      <c r="P244">
        <v>110.58</v>
      </c>
      <c r="Q244" s="4" t="e">
        <v>#N/A</v>
      </c>
    </row>
    <row r="245" spans="1:17" x14ac:dyDescent="0.4">
      <c r="A245" s="4">
        <v>43922</v>
      </c>
      <c r="B245" s="5">
        <v>361136.9</v>
      </c>
      <c r="C245">
        <v>5.91E-2</v>
      </c>
      <c r="D245">
        <v>1.3</v>
      </c>
      <c r="E245">
        <v>95.7</v>
      </c>
      <c r="F245">
        <v>7.6</v>
      </c>
      <c r="G245" s="8">
        <v>1600</v>
      </c>
      <c r="H245">
        <v>19.8</v>
      </c>
      <c r="I245">
        <v>0.31567707657814026</v>
      </c>
      <c r="L245">
        <v>67.400000000000006</v>
      </c>
      <c r="M245">
        <v>67</v>
      </c>
      <c r="N245">
        <v>82.6</v>
      </c>
      <c r="O245">
        <v>275344.7</v>
      </c>
      <c r="P245">
        <v>106.03</v>
      </c>
      <c r="Q245" s="4" t="e">
        <v>#N/A</v>
      </c>
    </row>
    <row r="246" spans="1:17" x14ac:dyDescent="0.4">
      <c r="A246" s="4">
        <v>43952</v>
      </c>
      <c r="B246" s="5" t="e">
        <v>#N/A</v>
      </c>
      <c r="C246">
        <v>-3.0599999999999999E-2</v>
      </c>
      <c r="D246">
        <v>1.6</v>
      </c>
      <c r="E246" t="e">
        <v>#N/A</v>
      </c>
      <c r="F246">
        <v>6.9</v>
      </c>
      <c r="G246" s="8">
        <v>1418</v>
      </c>
      <c r="H246" t="e">
        <v>#N/A</v>
      </c>
      <c r="I246">
        <v>0.19826965034008026</v>
      </c>
      <c r="L246">
        <v>81.900000000000006</v>
      </c>
      <c r="M246">
        <v>90.7</v>
      </c>
      <c r="N246" t="e">
        <v>#N/A</v>
      </c>
      <c r="O246" t="e">
        <v>#N/A</v>
      </c>
      <c r="P246">
        <v>103.84</v>
      </c>
      <c r="Q246" s="4" t="s">
        <v>35</v>
      </c>
    </row>
    <row r="247" spans="1:17" x14ac:dyDescent="0.4">
      <c r="A247" s="4">
        <v>43983</v>
      </c>
      <c r="B247" s="5" t="e">
        <v>#N/A</v>
      </c>
      <c r="C247">
        <v>-4.4600000000000001E-2</v>
      </c>
      <c r="D247">
        <v>1.2</v>
      </c>
      <c r="E247" t="e">
        <v>#N/A</v>
      </c>
      <c r="F247">
        <v>7.3</v>
      </c>
      <c r="G247" s="8">
        <v>1540</v>
      </c>
      <c r="H247" t="e">
        <v>#N/A</v>
      </c>
      <c r="I247">
        <v>0.25378367304801941</v>
      </c>
      <c r="L247">
        <v>92.9</v>
      </c>
      <c r="M247">
        <v>96.3</v>
      </c>
      <c r="N247" t="e">
        <v>#N/A</v>
      </c>
      <c r="O247" t="e">
        <v>#N/A</v>
      </c>
      <c r="P247">
        <v>105.58</v>
      </c>
      <c r="Q247" s="4" t="e">
        <v>#N/A</v>
      </c>
    </row>
    <row r="248" spans="1:17" x14ac:dyDescent="0.4">
      <c r="A248" s="4">
        <v>44013</v>
      </c>
      <c r="B248" s="5">
        <v>350564.6</v>
      </c>
      <c r="C248">
        <v>-0.14530000000000001</v>
      </c>
      <c r="D248">
        <v>1.7</v>
      </c>
      <c r="E248">
        <v>97.8</v>
      </c>
      <c r="F248">
        <v>8.6</v>
      </c>
      <c r="G248" s="8">
        <v>1904</v>
      </c>
      <c r="H248">
        <v>24.5</v>
      </c>
      <c r="I248">
        <v>0.3015437126159668</v>
      </c>
      <c r="L248">
        <v>97.3</v>
      </c>
      <c r="M248">
        <v>93.5</v>
      </c>
      <c r="N248">
        <v>100.8</v>
      </c>
      <c r="O248">
        <v>300055.8</v>
      </c>
      <c r="P248">
        <v>106.56</v>
      </c>
      <c r="Q248" s="4" t="e">
        <v>#N/A</v>
      </c>
    </row>
    <row r="249" spans="1:17" x14ac:dyDescent="0.4">
      <c r="A249" s="4">
        <v>44044</v>
      </c>
      <c r="B249" s="5" t="e">
        <v>#N/A</v>
      </c>
      <c r="C249">
        <v>-0.17130000000000001</v>
      </c>
      <c r="D249">
        <v>0.9</v>
      </c>
      <c r="E249" t="e">
        <v>#N/A</v>
      </c>
      <c r="F249">
        <v>9</v>
      </c>
      <c r="G249" s="8">
        <v>2063</v>
      </c>
      <c r="H249" t="e">
        <v>#N/A</v>
      </c>
      <c r="I249">
        <v>0.44970834255218506</v>
      </c>
      <c r="L249">
        <v>97.9</v>
      </c>
      <c r="M249">
        <v>98.9</v>
      </c>
      <c r="N249" t="e">
        <v>#N/A</v>
      </c>
      <c r="O249" t="e">
        <v>#N/A</v>
      </c>
      <c r="P249">
        <v>106.91</v>
      </c>
      <c r="Q249" s="4" t="e">
        <v>#N/A</v>
      </c>
    </row>
    <row r="250" spans="1:17" x14ac:dyDescent="0.4">
      <c r="A250" s="4">
        <v>44075</v>
      </c>
      <c r="B250" s="5" t="e">
        <v>#N/A</v>
      </c>
      <c r="C250">
        <v>-0.20699999999999999</v>
      </c>
      <c r="D250">
        <v>0.8</v>
      </c>
      <c r="E250" t="e">
        <v>#N/A</v>
      </c>
      <c r="F250">
        <v>9</v>
      </c>
      <c r="G250" s="8">
        <v>2077</v>
      </c>
      <c r="H250" t="e">
        <v>#N/A</v>
      </c>
      <c r="I250">
        <v>0.53324967622756958</v>
      </c>
      <c r="L250">
        <v>99.8</v>
      </c>
      <c r="M250">
        <v>95.4</v>
      </c>
      <c r="N250" t="e">
        <v>#N/A</v>
      </c>
      <c r="O250" t="e">
        <v>#N/A</v>
      </c>
      <c r="P250">
        <v>106.2</v>
      </c>
      <c r="Q250" s="4" t="e">
        <v>#N/A</v>
      </c>
    </row>
    <row r="251" spans="1:17" x14ac:dyDescent="0.4">
      <c r="A251" s="4">
        <v>44105</v>
      </c>
      <c r="B251" s="5">
        <v>371498.4</v>
      </c>
      <c r="C251">
        <v>-0.29580000000000001</v>
      </c>
      <c r="D251">
        <v>0.9</v>
      </c>
      <c r="E251">
        <v>97.7</v>
      </c>
      <c r="F251">
        <v>8.3000000000000007</v>
      </c>
      <c r="G251" s="8">
        <v>1893</v>
      </c>
      <c r="H251">
        <v>25.7</v>
      </c>
      <c r="I251">
        <v>0.56523388624191284</v>
      </c>
      <c r="L251">
        <v>101.9</v>
      </c>
      <c r="M251">
        <v>98.4</v>
      </c>
      <c r="N251">
        <v>98.6</v>
      </c>
      <c r="O251">
        <v>319654</v>
      </c>
      <c r="P251">
        <v>106.46</v>
      </c>
      <c r="Q251" s="4" t="e">
        <v>#N/A</v>
      </c>
    </row>
    <row r="252" spans="1:17" x14ac:dyDescent="0.4">
      <c r="A252" s="4">
        <v>44136</v>
      </c>
      <c r="B252" s="5" t="e">
        <v>#N/A</v>
      </c>
      <c r="C252">
        <v>-0.32319999999999999</v>
      </c>
      <c r="D252">
        <v>1</v>
      </c>
      <c r="E252" t="e">
        <v>#N/A</v>
      </c>
      <c r="F252">
        <v>8.1</v>
      </c>
      <c r="G252" s="8">
        <v>1821</v>
      </c>
      <c r="H252" t="e">
        <v>#N/A</v>
      </c>
      <c r="I252">
        <v>0.50474923849105835</v>
      </c>
      <c r="L252">
        <v>100.3</v>
      </c>
      <c r="M252">
        <v>82.5</v>
      </c>
      <c r="N252" t="e">
        <v>#N/A</v>
      </c>
      <c r="O252" t="e">
        <v>#N/A</v>
      </c>
      <c r="P252">
        <v>106.91</v>
      </c>
      <c r="Q252" s="4" t="s">
        <v>35</v>
      </c>
    </row>
    <row r="253" spans="1:17" x14ac:dyDescent="0.4">
      <c r="A253" s="4">
        <v>44166</v>
      </c>
      <c r="B253" s="5" t="e">
        <v>#N/A</v>
      </c>
      <c r="C253">
        <v>-0.33560000000000001</v>
      </c>
      <c r="D253">
        <v>0.7</v>
      </c>
      <c r="E253" t="e">
        <v>#N/A</v>
      </c>
      <c r="F253">
        <v>7.9</v>
      </c>
      <c r="G253" s="8">
        <v>1774</v>
      </c>
      <c r="H253" t="e">
        <v>#N/A</v>
      </c>
      <c r="I253">
        <v>0.50519359111785889</v>
      </c>
      <c r="L253">
        <v>99.7</v>
      </c>
      <c r="M253">
        <v>102.7</v>
      </c>
      <c r="N253" t="e">
        <v>#N/A</v>
      </c>
      <c r="O253" t="e">
        <v>#N/A</v>
      </c>
      <c r="P253">
        <v>108.67</v>
      </c>
      <c r="Q253" s="4" t="e">
        <v>#N/A</v>
      </c>
    </row>
    <row r="254" spans="1:17" x14ac:dyDescent="0.4">
      <c r="A254" s="4">
        <v>44197</v>
      </c>
      <c r="B254" s="5">
        <v>375151.1</v>
      </c>
      <c r="C254">
        <v>-0.30509999999999998</v>
      </c>
      <c r="D254">
        <v>1.4</v>
      </c>
      <c r="E254">
        <v>99.7</v>
      </c>
      <c r="F254">
        <v>8.1</v>
      </c>
      <c r="G254" s="8">
        <v>1790</v>
      </c>
      <c r="H254">
        <v>30.2</v>
      </c>
      <c r="I254">
        <v>0.29191914200782776</v>
      </c>
      <c r="L254">
        <v>102.8</v>
      </c>
      <c r="M254">
        <v>97</v>
      </c>
      <c r="N254">
        <v>99.7</v>
      </c>
      <c r="O254">
        <v>306774.3</v>
      </c>
      <c r="P254">
        <v>110.47</v>
      </c>
      <c r="Q254" s="4" t="e">
        <v>#N/A</v>
      </c>
    </row>
    <row r="255" spans="1:17" x14ac:dyDescent="0.4">
      <c r="A255" s="4">
        <v>44228</v>
      </c>
      <c r="B255" s="5" t="e">
        <v>#N/A</v>
      </c>
      <c r="C255">
        <v>-0.1522</v>
      </c>
      <c r="D255">
        <v>1</v>
      </c>
      <c r="E255" t="e">
        <v>#N/A</v>
      </c>
      <c r="F255">
        <v>8.1999999999999993</v>
      </c>
      <c r="G255" s="8">
        <v>1821</v>
      </c>
      <c r="H255" t="e">
        <v>#N/A</v>
      </c>
      <c r="I255">
        <v>0.4397834837436676</v>
      </c>
      <c r="L255">
        <v>98.4</v>
      </c>
      <c r="M255">
        <v>98</v>
      </c>
      <c r="N255" t="e">
        <v>#N/A</v>
      </c>
      <c r="O255" t="e">
        <v>#N/A</v>
      </c>
      <c r="P255">
        <v>113.2</v>
      </c>
      <c r="Q255" s="4" t="e">
        <v>#N/A</v>
      </c>
    </row>
    <row r="256" spans="1:17" x14ac:dyDescent="0.4">
      <c r="A256" s="4">
        <v>44256</v>
      </c>
      <c r="B256" s="5" t="e">
        <v>#N/A</v>
      </c>
      <c r="C256">
        <v>-6.8699999999999997E-2</v>
      </c>
      <c r="D256">
        <v>1.1000000000000001</v>
      </c>
      <c r="E256" t="e">
        <v>#N/A</v>
      </c>
      <c r="F256">
        <v>8.1999999999999993</v>
      </c>
      <c r="G256" s="8">
        <v>1829</v>
      </c>
      <c r="H256" t="e">
        <v>#N/A</v>
      </c>
      <c r="I256">
        <v>0.4803493320941925</v>
      </c>
      <c r="L256">
        <v>100</v>
      </c>
      <c r="M256">
        <v>98.4</v>
      </c>
      <c r="N256" t="e">
        <v>#N/A</v>
      </c>
      <c r="O256" t="e">
        <v>#N/A</v>
      </c>
      <c r="P256">
        <v>115.7</v>
      </c>
      <c r="Q256" s="4" t="e">
        <v>#N/A</v>
      </c>
    </row>
    <row r="257" spans="1:17" x14ac:dyDescent="0.4">
      <c r="A257" s="4">
        <v>44287</v>
      </c>
      <c r="B257" s="5">
        <v>374665.6</v>
      </c>
      <c r="C257">
        <v>-6.8999999999999999E-3</v>
      </c>
      <c r="D257">
        <v>1</v>
      </c>
      <c r="E257">
        <v>97.1</v>
      </c>
      <c r="F257">
        <v>8.1999999999999993</v>
      </c>
      <c r="G257" s="8">
        <v>1853</v>
      </c>
      <c r="H257">
        <v>29.5</v>
      </c>
      <c r="I257">
        <v>0.57265233993530273</v>
      </c>
      <c r="L257">
        <v>100</v>
      </c>
      <c r="M257">
        <v>93.9</v>
      </c>
      <c r="N257">
        <v>101.2</v>
      </c>
      <c r="O257">
        <v>316448.3</v>
      </c>
      <c r="P257">
        <v>115.18</v>
      </c>
      <c r="Q257" s="4" t="e">
        <v>#N/A</v>
      </c>
    </row>
    <row r="258" spans="1:17" x14ac:dyDescent="0.4">
      <c r="A258" s="4">
        <v>44317</v>
      </c>
      <c r="B258" s="5" t="e">
        <v>#N/A</v>
      </c>
      <c r="C258">
        <v>0.2107</v>
      </c>
      <c r="D258">
        <v>0.9</v>
      </c>
      <c r="E258" t="e">
        <v>#N/A</v>
      </c>
      <c r="F258">
        <v>8</v>
      </c>
      <c r="G258" s="8">
        <v>1818</v>
      </c>
      <c r="H258" t="e">
        <v>#N/A</v>
      </c>
      <c r="I258">
        <v>0.51340299844741821</v>
      </c>
      <c r="L258">
        <v>100</v>
      </c>
      <c r="M258">
        <v>99.2</v>
      </c>
      <c r="N258" t="e">
        <v>#N/A</v>
      </c>
      <c r="O258" t="e">
        <v>#N/A</v>
      </c>
      <c r="P258">
        <v>115.8</v>
      </c>
      <c r="Q258" s="4" t="s">
        <v>35</v>
      </c>
    </row>
    <row r="259" spans="1:17" x14ac:dyDescent="0.4">
      <c r="A259" s="4">
        <v>44348</v>
      </c>
      <c r="B259" s="5" t="e">
        <v>#N/A</v>
      </c>
      <c r="C259">
        <v>0.153</v>
      </c>
      <c r="D259">
        <v>1.1000000000000001</v>
      </c>
      <c r="E259" t="e">
        <v>#N/A</v>
      </c>
      <c r="F259">
        <v>7.9</v>
      </c>
      <c r="G259" s="8">
        <v>1799</v>
      </c>
      <c r="H259" t="e">
        <v>#N/A</v>
      </c>
      <c r="I259">
        <v>0.48737466335296631</v>
      </c>
      <c r="L259">
        <v>99.5</v>
      </c>
      <c r="M259">
        <v>101.2</v>
      </c>
      <c r="N259" t="e">
        <v>#N/A</v>
      </c>
      <c r="O259" t="e">
        <v>#N/A</v>
      </c>
      <c r="P259">
        <v>117.09</v>
      </c>
      <c r="Q259" s="4" t="e">
        <v>#N/A</v>
      </c>
    </row>
    <row r="260" spans="1:17" x14ac:dyDescent="0.4">
      <c r="A260" s="4">
        <v>44378</v>
      </c>
      <c r="B260" s="5">
        <v>366590</v>
      </c>
      <c r="C260">
        <v>-5.8999999999999999E-3</v>
      </c>
      <c r="D260">
        <v>0.6</v>
      </c>
      <c r="E260">
        <v>98.3</v>
      </c>
      <c r="F260">
        <v>7.9</v>
      </c>
      <c r="G260" s="8">
        <v>1804</v>
      </c>
      <c r="H260">
        <v>29.8</v>
      </c>
      <c r="I260">
        <v>0.20614860951900482</v>
      </c>
      <c r="L260">
        <v>100.3</v>
      </c>
      <c r="M260">
        <v>101.1</v>
      </c>
      <c r="N260">
        <v>106.3</v>
      </c>
      <c r="O260">
        <v>318381.40000000002</v>
      </c>
      <c r="P260">
        <v>119.65</v>
      </c>
      <c r="Q260" s="4" t="e">
        <v>#N/A</v>
      </c>
    </row>
    <row r="261" spans="1:17" x14ac:dyDescent="0.4">
      <c r="A261" s="4">
        <v>44409</v>
      </c>
      <c r="B261" s="5" t="e">
        <v>#N/A</v>
      </c>
      <c r="C261">
        <v>-0.11550000000000001</v>
      </c>
      <c r="D261">
        <v>1.4</v>
      </c>
      <c r="E261" t="e">
        <v>#N/A</v>
      </c>
      <c r="F261">
        <v>7.8</v>
      </c>
      <c r="G261" s="8">
        <v>1794</v>
      </c>
      <c r="H261" t="e">
        <v>#N/A</v>
      </c>
      <c r="I261">
        <v>0.36205649375915527</v>
      </c>
      <c r="L261">
        <v>100.1</v>
      </c>
      <c r="M261">
        <v>101.2</v>
      </c>
      <c r="N261" t="e">
        <v>#N/A</v>
      </c>
      <c r="O261" t="e">
        <v>#N/A</v>
      </c>
      <c r="P261">
        <v>120.46</v>
      </c>
      <c r="Q261" s="4" t="e">
        <v>#N/A</v>
      </c>
    </row>
    <row r="262" spans="1:17" x14ac:dyDescent="0.4">
      <c r="A262" s="4">
        <v>44440</v>
      </c>
      <c r="B262" s="5" t="e">
        <v>#N/A</v>
      </c>
      <c r="C262">
        <v>3.6299999999999999E-2</v>
      </c>
      <c r="D262">
        <v>1.6</v>
      </c>
      <c r="E262" t="e">
        <v>#N/A</v>
      </c>
      <c r="F262">
        <v>7.7</v>
      </c>
      <c r="G262" s="8">
        <v>1779</v>
      </c>
      <c r="H262" t="e">
        <v>#N/A</v>
      </c>
      <c r="I262">
        <v>0.63670414686203003</v>
      </c>
      <c r="L262">
        <v>98.6</v>
      </c>
      <c r="M262">
        <v>101.2</v>
      </c>
      <c r="N262" t="e">
        <v>#N/A</v>
      </c>
      <c r="O262" t="e">
        <v>#N/A</v>
      </c>
      <c r="P262">
        <v>122.09</v>
      </c>
      <c r="Q262" s="4" t="e">
        <v>#N/A</v>
      </c>
    </row>
    <row r="263" spans="1:17" x14ac:dyDescent="0.4">
      <c r="A263" s="4">
        <v>44470</v>
      </c>
      <c r="B263" s="5">
        <v>374485.7</v>
      </c>
      <c r="C263">
        <v>0.1973</v>
      </c>
      <c r="D263">
        <v>1.6</v>
      </c>
      <c r="E263">
        <v>96.7</v>
      </c>
      <c r="F263">
        <v>7.5</v>
      </c>
      <c r="G263" s="8">
        <v>1751</v>
      </c>
      <c r="H263">
        <v>28.5</v>
      </c>
      <c r="I263">
        <v>0.41672268509864807</v>
      </c>
      <c r="L263">
        <v>101.3</v>
      </c>
      <c r="M263">
        <v>102.5</v>
      </c>
      <c r="N263">
        <v>107.3</v>
      </c>
      <c r="O263">
        <v>344031.5</v>
      </c>
      <c r="P263">
        <v>127.98</v>
      </c>
      <c r="Q263" s="4" t="e">
        <v>#N/A</v>
      </c>
    </row>
    <row r="264" spans="1:17" x14ac:dyDescent="0.4">
      <c r="A264" s="4">
        <v>44501</v>
      </c>
      <c r="B264" s="5" t="e">
        <v>#N/A</v>
      </c>
      <c r="C264">
        <v>0.10299999999999999</v>
      </c>
      <c r="D264">
        <v>1.7</v>
      </c>
      <c r="E264" t="e">
        <v>#N/A</v>
      </c>
      <c r="F264">
        <v>7.5</v>
      </c>
      <c r="G264" s="8">
        <v>1734</v>
      </c>
      <c r="H264" t="e">
        <v>#N/A</v>
      </c>
      <c r="I264">
        <v>0.63492065668106079</v>
      </c>
      <c r="L264">
        <v>99.2</v>
      </c>
      <c r="M264">
        <v>102.9</v>
      </c>
      <c r="N264" t="e">
        <v>#N/A</v>
      </c>
      <c r="O264" t="e">
        <v>#N/A</v>
      </c>
      <c r="P264">
        <v>130.29</v>
      </c>
      <c r="Q264" s="4" t="s">
        <v>35</v>
      </c>
    </row>
    <row r="265" spans="1:17" x14ac:dyDescent="0.4">
      <c r="A265" s="4">
        <v>44531</v>
      </c>
      <c r="B265" s="5" t="e">
        <v>#N/A</v>
      </c>
      <c r="C265">
        <v>4.9299999999999997E-2</v>
      </c>
      <c r="D265">
        <v>1.9</v>
      </c>
      <c r="E265" t="e">
        <v>#N/A</v>
      </c>
      <c r="F265">
        <v>7.4</v>
      </c>
      <c r="G265" s="8">
        <v>1716</v>
      </c>
      <c r="H265" t="e">
        <v>#N/A</v>
      </c>
      <c r="I265">
        <v>0.69118738174438477</v>
      </c>
      <c r="L265">
        <v>99.7</v>
      </c>
      <c r="M265">
        <v>103.4</v>
      </c>
      <c r="N265" t="e">
        <v>#N/A</v>
      </c>
      <c r="O265" t="e">
        <v>#N/A</v>
      </c>
      <c r="P265">
        <v>129.63999999999999</v>
      </c>
      <c r="Q265" s="4" t="e">
        <v>#N/A</v>
      </c>
    </row>
    <row r="266" spans="1:17" x14ac:dyDescent="0.4">
      <c r="A266" s="4">
        <v>44562</v>
      </c>
      <c r="B266" s="5">
        <v>379843.3</v>
      </c>
      <c r="C266">
        <v>0.31409999999999999</v>
      </c>
      <c r="D266">
        <v>1.6</v>
      </c>
      <c r="E266">
        <v>97.6</v>
      </c>
      <c r="F266">
        <v>7.3</v>
      </c>
      <c r="G266" s="8">
        <v>1700</v>
      </c>
      <c r="H266">
        <v>29.9</v>
      </c>
      <c r="I266">
        <v>1.1198371648788452</v>
      </c>
      <c r="L266">
        <v>101.9</v>
      </c>
      <c r="M266">
        <v>102.8</v>
      </c>
      <c r="N266">
        <v>106.9</v>
      </c>
      <c r="O266">
        <v>332833</v>
      </c>
      <c r="P266">
        <v>133.16999999999999</v>
      </c>
      <c r="Q266" s="4" t="e">
        <v>#N/A</v>
      </c>
    </row>
    <row r="267" spans="1:17" x14ac:dyDescent="0.4">
      <c r="A267" s="4">
        <v>44593</v>
      </c>
      <c r="B267" s="5" t="e">
        <v>#N/A</v>
      </c>
      <c r="C267">
        <v>0.67849999999999999</v>
      </c>
      <c r="D267">
        <v>2.4</v>
      </c>
      <c r="E267" t="e">
        <v>#N/A</v>
      </c>
      <c r="F267">
        <v>7.3</v>
      </c>
      <c r="G267" s="8">
        <v>1697</v>
      </c>
      <c r="H267" t="e">
        <v>#N/A</v>
      </c>
      <c r="I267">
        <v>1.7618041038513184</v>
      </c>
      <c r="L267">
        <v>100.5</v>
      </c>
      <c r="M267">
        <v>103.1</v>
      </c>
      <c r="N267" t="e">
        <v>#N/A</v>
      </c>
      <c r="O267" t="e">
        <v>#N/A</v>
      </c>
      <c r="P267">
        <v>138.08000000000001</v>
      </c>
      <c r="Q267" s="4" t="e">
        <v>#N/A</v>
      </c>
    </row>
    <row r="268" spans="1:17" x14ac:dyDescent="0.4">
      <c r="A268" s="4">
        <v>44621</v>
      </c>
      <c r="B268" s="5" t="e">
        <v>#N/A</v>
      </c>
      <c r="C268">
        <v>0.78320000000000001</v>
      </c>
      <c r="D268">
        <v>2.6</v>
      </c>
      <c r="E268" t="e">
        <v>#N/A</v>
      </c>
      <c r="F268">
        <v>7.4</v>
      </c>
      <c r="G268" s="8">
        <v>1700</v>
      </c>
      <c r="H268" t="e">
        <v>#N/A</v>
      </c>
      <c r="I268">
        <v>1.9836301803588867</v>
      </c>
      <c r="L268">
        <v>99.9</v>
      </c>
      <c r="M268">
        <v>103.9</v>
      </c>
      <c r="N268" t="e">
        <v>#N/A</v>
      </c>
      <c r="O268" t="e">
        <v>#N/A</v>
      </c>
      <c r="P268">
        <v>150.13</v>
      </c>
      <c r="Q268" s="4" t="e">
        <v>#N/A</v>
      </c>
    </row>
    <row r="269" spans="1:17" x14ac:dyDescent="0.4">
      <c r="A269" s="4">
        <v>44652</v>
      </c>
      <c r="B269" s="5">
        <v>381455.8</v>
      </c>
      <c r="C269">
        <v>1.2848999999999999</v>
      </c>
      <c r="D269">
        <v>3.2</v>
      </c>
      <c r="E269">
        <v>97</v>
      </c>
      <c r="F269">
        <v>7.5</v>
      </c>
      <c r="G269" s="8">
        <v>1703</v>
      </c>
      <c r="H269">
        <v>27.3</v>
      </c>
      <c r="I269">
        <v>0.92149770259857178</v>
      </c>
      <c r="L269">
        <v>99.1</v>
      </c>
      <c r="M269">
        <v>103.9</v>
      </c>
      <c r="N269">
        <v>108.3</v>
      </c>
      <c r="O269">
        <v>341257.7</v>
      </c>
      <c r="P269">
        <v>146.36000000000001</v>
      </c>
      <c r="Q269" s="4" t="e">
        <v>#N/A</v>
      </c>
    </row>
    <row r="270" spans="1:17" x14ac:dyDescent="0.4">
      <c r="A270" s="4">
        <v>44682</v>
      </c>
      <c r="B270" s="5" t="e">
        <v>#N/A</v>
      </c>
      <c r="C270">
        <v>1.5182</v>
      </c>
      <c r="D270">
        <v>3.5</v>
      </c>
      <c r="E270" t="e">
        <v>#N/A</v>
      </c>
      <c r="F270">
        <v>7.5</v>
      </c>
      <c r="G270" s="8">
        <v>1685</v>
      </c>
      <c r="H270" t="e">
        <v>#N/A</v>
      </c>
      <c r="I270">
        <v>0.71869164705276489</v>
      </c>
      <c r="L270">
        <v>100.3</v>
      </c>
      <c r="M270">
        <v>104.1</v>
      </c>
      <c r="N270" t="e">
        <v>#N/A</v>
      </c>
      <c r="O270" t="e">
        <v>#N/A</v>
      </c>
      <c r="P270">
        <v>149.16999999999999</v>
      </c>
      <c r="Q270" s="4" t="e">
        <v>#N/A</v>
      </c>
    </row>
    <row r="271" spans="1:17" x14ac:dyDescent="0.4">
      <c r="A271" s="4">
        <v>44713</v>
      </c>
      <c r="B271" s="5" t="e">
        <v>#N/A</v>
      </c>
      <c r="C271">
        <v>2.056</v>
      </c>
      <c r="D271">
        <v>3.7</v>
      </c>
      <c r="E271" t="e">
        <v>#N/A</v>
      </c>
      <c r="F271">
        <v>7.4</v>
      </c>
      <c r="G271" s="8">
        <v>1674</v>
      </c>
      <c r="H271" t="e">
        <v>#N/A</v>
      </c>
      <c r="I271">
        <v>0.92418175935745239</v>
      </c>
      <c r="L271">
        <v>101.1</v>
      </c>
      <c r="M271">
        <v>103.7</v>
      </c>
      <c r="N271" t="e">
        <v>#N/A</v>
      </c>
      <c r="O271" t="e">
        <v>#N/A</v>
      </c>
      <c r="P271">
        <v>156.66999999999999</v>
      </c>
      <c r="Q271" s="4" t="e">
        <v>#N/A</v>
      </c>
    </row>
    <row r="272" spans="1:17" x14ac:dyDescent="0.4">
      <c r="A272" s="4">
        <v>44743</v>
      </c>
      <c r="B272" s="5">
        <v>391649.5</v>
      </c>
      <c r="C272">
        <v>1.7067000000000001</v>
      </c>
      <c r="D272">
        <v>4.4000000000000004</v>
      </c>
      <c r="E272">
        <v>97.3</v>
      </c>
      <c r="F272">
        <v>7.3</v>
      </c>
      <c r="G272" s="8">
        <v>1650</v>
      </c>
      <c r="H272">
        <v>26.9</v>
      </c>
      <c r="I272">
        <v>0.54025793075561523</v>
      </c>
      <c r="L272">
        <v>99.5</v>
      </c>
      <c r="M272">
        <v>101.7</v>
      </c>
      <c r="N272">
        <v>108.6</v>
      </c>
      <c r="O272">
        <v>337593.5</v>
      </c>
      <c r="P272">
        <v>154.28</v>
      </c>
      <c r="Q272" s="4" t="e">
        <v>#N/A</v>
      </c>
    </row>
    <row r="273" spans="1:17" x14ac:dyDescent="0.4">
      <c r="A273" s="4">
        <v>44774</v>
      </c>
      <c r="B273" s="5" t="e">
        <v>#N/A</v>
      </c>
      <c r="C273">
        <v>1.6857</v>
      </c>
      <c r="D273">
        <v>4.8</v>
      </c>
      <c r="E273" t="e">
        <v>#N/A</v>
      </c>
      <c r="F273">
        <v>7.2</v>
      </c>
      <c r="G273" s="8">
        <v>1620</v>
      </c>
      <c r="H273" t="e">
        <v>#N/A</v>
      </c>
      <c r="I273">
        <v>0.57437235116958618</v>
      </c>
      <c r="L273">
        <v>102.1</v>
      </c>
      <c r="M273">
        <v>103.1</v>
      </c>
      <c r="N273" t="e">
        <v>#N/A</v>
      </c>
      <c r="O273" t="e">
        <v>#N/A</v>
      </c>
      <c r="P273">
        <v>148.57</v>
      </c>
      <c r="Q273" s="4" t="s">
        <v>35</v>
      </c>
    </row>
    <row r="274" spans="1:17" x14ac:dyDescent="0.4">
      <c r="A274" s="4">
        <v>44805</v>
      </c>
      <c r="B274" s="5" t="e">
        <v>#N/A</v>
      </c>
      <c r="C274">
        <v>2.4096000000000002</v>
      </c>
      <c r="D274">
        <v>4.9000000000000004</v>
      </c>
      <c r="E274" t="e">
        <v>#N/A</v>
      </c>
      <c r="F274">
        <v>7.1</v>
      </c>
      <c r="G274" s="8">
        <v>1613</v>
      </c>
      <c r="H274" t="e">
        <v>#N/A</v>
      </c>
      <c r="I274">
        <v>0.66568481922149658</v>
      </c>
      <c r="L274">
        <v>101.9</v>
      </c>
      <c r="M274">
        <v>104.4</v>
      </c>
      <c r="N274" t="e">
        <v>#N/A</v>
      </c>
      <c r="O274" t="e">
        <v>#N/A</v>
      </c>
      <c r="P274">
        <v>144.99</v>
      </c>
      <c r="Q274" s="4" t="e">
        <v>#N/A</v>
      </c>
    </row>
    <row r="275" spans="1:17" x14ac:dyDescent="0.4">
      <c r="A275" s="4">
        <v>44835</v>
      </c>
      <c r="B275" s="5">
        <v>397257.7</v>
      </c>
      <c r="C275">
        <v>2.7730000000000001</v>
      </c>
      <c r="D275">
        <v>5.6</v>
      </c>
      <c r="E275">
        <v>96.2</v>
      </c>
      <c r="F275">
        <v>7.2</v>
      </c>
      <c r="G275" s="8">
        <v>1627</v>
      </c>
      <c r="H275">
        <v>25.5</v>
      </c>
      <c r="I275">
        <v>0.77814382314682007</v>
      </c>
      <c r="L275">
        <v>99.6</v>
      </c>
      <c r="M275">
        <v>102.5</v>
      </c>
      <c r="N275">
        <v>109.4</v>
      </c>
      <c r="O275">
        <v>365365.5</v>
      </c>
      <c r="P275">
        <v>153.52000000000001</v>
      </c>
      <c r="Q275" s="4" t="e">
        <v>#N/A</v>
      </c>
    </row>
    <row r="276" spans="1:17" x14ac:dyDescent="0.4">
      <c r="A276" s="4">
        <v>44866</v>
      </c>
      <c r="B276" s="5" t="e">
        <v>#N/A</v>
      </c>
      <c r="C276">
        <v>2.5831</v>
      </c>
      <c r="D276">
        <v>5.7</v>
      </c>
      <c r="E276" t="e">
        <v>#N/A</v>
      </c>
      <c r="F276">
        <v>7.2</v>
      </c>
      <c r="G276" s="8">
        <v>1617</v>
      </c>
      <c r="H276" t="e">
        <v>#N/A</v>
      </c>
      <c r="I276">
        <v>0.57585948705673218</v>
      </c>
      <c r="L276">
        <v>100.9</v>
      </c>
      <c r="M276">
        <v>102.2</v>
      </c>
      <c r="N276" t="e">
        <v>#N/A</v>
      </c>
      <c r="O276" t="e">
        <v>#N/A</v>
      </c>
      <c r="P276">
        <v>155</v>
      </c>
      <c r="Q276" s="4" t="s">
        <v>35</v>
      </c>
    </row>
    <row r="277" spans="1:17" x14ac:dyDescent="0.4">
      <c r="A277" s="4">
        <v>44896</v>
      </c>
      <c r="B277" s="5" t="e">
        <v>#N/A</v>
      </c>
      <c r="C277">
        <v>2.6166999999999998</v>
      </c>
      <c r="D277">
        <v>5.8</v>
      </c>
      <c r="E277" t="e">
        <v>#N/A</v>
      </c>
      <c r="F277">
        <v>7.2</v>
      </c>
      <c r="G277" s="8">
        <v>1632</v>
      </c>
      <c r="H277" t="e">
        <v>#N/A</v>
      </c>
      <c r="I277">
        <v>0.48354101181030273</v>
      </c>
      <c r="L277">
        <v>101.8</v>
      </c>
      <c r="M277">
        <v>102.3</v>
      </c>
      <c r="N277" t="e">
        <v>#N/A</v>
      </c>
      <c r="O277" t="e">
        <v>#N/A</v>
      </c>
      <c r="P277">
        <v>149.49</v>
      </c>
      <c r="Q277" s="4" t="s">
        <v>36</v>
      </c>
    </row>
    <row r="278" spans="1:17" x14ac:dyDescent="0.4">
      <c r="A278" s="4">
        <v>44927</v>
      </c>
      <c r="B278" s="5">
        <v>397731.3</v>
      </c>
      <c r="C278">
        <v>2.69</v>
      </c>
      <c r="D278">
        <v>6</v>
      </c>
      <c r="E278">
        <v>96.3</v>
      </c>
      <c r="F278">
        <v>7.1</v>
      </c>
      <c r="G278" s="8">
        <v>1623</v>
      </c>
      <c r="H278">
        <v>25.7</v>
      </c>
      <c r="I278">
        <v>0.56229466199874878</v>
      </c>
      <c r="L278">
        <v>100.3</v>
      </c>
      <c r="M278">
        <v>101.8</v>
      </c>
      <c r="N278">
        <v>110.2</v>
      </c>
      <c r="O278">
        <v>354043.4</v>
      </c>
      <c r="P278">
        <v>154.97</v>
      </c>
      <c r="Q278" s="4" t="e">
        <v>#N/A</v>
      </c>
    </row>
    <row r="279" spans="1:17" x14ac:dyDescent="0.4">
      <c r="A279" s="4">
        <v>44958</v>
      </c>
      <c r="B279" s="5" t="e">
        <v>#N/A</v>
      </c>
      <c r="C279">
        <v>2.8727</v>
      </c>
      <c r="D279">
        <v>6.5</v>
      </c>
      <c r="E279" t="e">
        <v>#N/A</v>
      </c>
      <c r="F279">
        <v>7.1</v>
      </c>
      <c r="G279" s="8">
        <v>1628</v>
      </c>
      <c r="H279" t="e">
        <v>#N/A</v>
      </c>
      <c r="I279">
        <v>0.74049365520477295</v>
      </c>
      <c r="L279">
        <v>101.8</v>
      </c>
      <c r="M279">
        <v>102</v>
      </c>
      <c r="N279" t="e">
        <v>#N/A</v>
      </c>
      <c r="O279" t="e">
        <v>#N/A</v>
      </c>
      <c r="P279">
        <v>157.4</v>
      </c>
      <c r="Q279" s="4" t="e">
        <v>#N/A</v>
      </c>
    </row>
    <row r="280" spans="1:17" x14ac:dyDescent="0.4">
      <c r="A280" s="4">
        <v>44986</v>
      </c>
      <c r="B280" s="5" t="e">
        <v>#N/A</v>
      </c>
      <c r="C280">
        <v>2.9167000000000001</v>
      </c>
      <c r="D280">
        <v>6.9</v>
      </c>
      <c r="E280" t="e">
        <v>#N/A</v>
      </c>
      <c r="F280">
        <v>7.1</v>
      </c>
      <c r="G280" s="8">
        <v>1634</v>
      </c>
      <c r="H280" t="e">
        <v>#N/A</v>
      </c>
      <c r="I280">
        <v>0.41868144273757935</v>
      </c>
      <c r="L280">
        <v>100.3</v>
      </c>
      <c r="M280">
        <v>101.3</v>
      </c>
      <c r="N280" t="e">
        <v>#N/A</v>
      </c>
      <c r="O280" t="e">
        <v>#N/A</v>
      </c>
      <c r="P280">
        <v>157.94999999999999</v>
      </c>
      <c r="Q280" s="4" t="e">
        <v>#N/A</v>
      </c>
    </row>
    <row r="281" spans="1:17" x14ac:dyDescent="0.4">
      <c r="A281" s="4">
        <v>45017</v>
      </c>
      <c r="B281" s="5">
        <v>399249.5</v>
      </c>
      <c r="C281">
        <v>2.9037999999999999</v>
      </c>
      <c r="D281">
        <v>6.9</v>
      </c>
      <c r="E281">
        <v>96.4</v>
      </c>
      <c r="F281">
        <v>7.3</v>
      </c>
      <c r="G281" s="8">
        <v>1678</v>
      </c>
      <c r="H281">
        <v>25.1</v>
      </c>
      <c r="I281">
        <v>0.58365756273269653</v>
      </c>
      <c r="L281">
        <v>100.8</v>
      </c>
      <c r="M281">
        <v>100.5</v>
      </c>
      <c r="N281">
        <v>110.7</v>
      </c>
      <c r="O281">
        <v>361385.2</v>
      </c>
      <c r="P281">
        <v>156.76</v>
      </c>
      <c r="Q281" s="4" t="s">
        <v>39</v>
      </c>
    </row>
    <row r="282" spans="1:17" x14ac:dyDescent="0.4">
      <c r="A282" s="4">
        <v>45047</v>
      </c>
      <c r="B282" s="5" t="e">
        <v>#N/A</v>
      </c>
      <c r="C282">
        <v>2.9384999999999999</v>
      </c>
      <c r="D282">
        <v>6.5</v>
      </c>
      <c r="E282" t="e">
        <v>#N/A</v>
      </c>
      <c r="F282">
        <v>7.3</v>
      </c>
      <c r="G282" s="8">
        <v>1683</v>
      </c>
      <c r="H282" t="e">
        <v>#N/A</v>
      </c>
      <c r="I282">
        <v>0.53313946723937988</v>
      </c>
      <c r="L282">
        <v>103.2</v>
      </c>
      <c r="M282">
        <v>101.2</v>
      </c>
      <c r="N282" t="e">
        <v>#N/A</v>
      </c>
      <c r="O282" t="e">
        <v>#N/A</v>
      </c>
      <c r="P282">
        <v>152.28</v>
      </c>
      <c r="Q282" s="4" t="s">
        <v>35</v>
      </c>
    </row>
    <row r="283" spans="1:17" x14ac:dyDescent="0.4">
      <c r="A283" s="4">
        <v>45078</v>
      </c>
      <c r="B283" s="5" t="e">
        <v>#N/A</v>
      </c>
      <c r="C283">
        <v>2.9319000000000002</v>
      </c>
      <c r="D283">
        <v>6.4</v>
      </c>
      <c r="E283" t="e">
        <v>#N/A</v>
      </c>
      <c r="F283">
        <v>7.3</v>
      </c>
      <c r="G283" s="8">
        <v>1673</v>
      </c>
      <c r="H283" t="e">
        <v>#N/A</v>
      </c>
      <c r="I283">
        <v>0.45874366164207458</v>
      </c>
      <c r="L283">
        <v>101.8</v>
      </c>
      <c r="M283">
        <v>102</v>
      </c>
      <c r="N283" t="e">
        <v>#N/A</v>
      </c>
      <c r="O283" t="e">
        <v>#N/A</v>
      </c>
      <c r="P283">
        <v>152.33000000000001</v>
      </c>
      <c r="Q283" s="4" t="e">
        <v>#N/A</v>
      </c>
    </row>
    <row r="284" spans="1:17" x14ac:dyDescent="0.4">
      <c r="A284" s="4">
        <v>45108</v>
      </c>
      <c r="B284" s="5">
        <v>402460.1</v>
      </c>
      <c r="C284">
        <v>3.0379</v>
      </c>
      <c r="D284">
        <v>6.1</v>
      </c>
      <c r="E284">
        <v>96.7</v>
      </c>
      <c r="F284">
        <v>7.4</v>
      </c>
      <c r="G284" s="8">
        <v>1685</v>
      </c>
      <c r="H284">
        <v>23.4</v>
      </c>
      <c r="I284">
        <v>0.52781915664672852</v>
      </c>
      <c r="L284">
        <v>101.5</v>
      </c>
      <c r="M284">
        <v>102.7</v>
      </c>
      <c r="N284">
        <v>110.9</v>
      </c>
      <c r="O284">
        <v>352488.2</v>
      </c>
      <c r="P284">
        <v>149.26</v>
      </c>
      <c r="Q284" s="4" t="e">
        <v>#N/A</v>
      </c>
    </row>
    <row r="285" spans="1:17" x14ac:dyDescent="0.4">
      <c r="A285" s="4">
        <v>45139</v>
      </c>
      <c r="B285" s="5" t="e">
        <v>#N/A</v>
      </c>
      <c r="C285">
        <v>3.1101000000000001</v>
      </c>
      <c r="D285">
        <v>5.6</v>
      </c>
      <c r="E285" t="e">
        <v>#N/A</v>
      </c>
      <c r="F285">
        <v>7.4</v>
      </c>
      <c r="G285" s="8">
        <v>1686</v>
      </c>
      <c r="H285" t="e">
        <v>#N/A</v>
      </c>
      <c r="I285">
        <v>0.57031911611557007</v>
      </c>
      <c r="L285">
        <v>101.8</v>
      </c>
      <c r="M285">
        <v>100.7</v>
      </c>
      <c r="N285" t="e">
        <v>#N/A</v>
      </c>
      <c r="O285" t="e">
        <v>#N/A</v>
      </c>
      <c r="P285">
        <v>158.84</v>
      </c>
      <c r="Q285" s="4" t="e">
        <v>#N/A</v>
      </c>
    </row>
    <row r="286" spans="1:17" x14ac:dyDescent="0.4">
      <c r="A286" s="4">
        <v>45170</v>
      </c>
      <c r="B286" s="5" t="e">
        <v>#N/A</v>
      </c>
      <c r="C286">
        <v>3.242</v>
      </c>
      <c r="D286">
        <v>5</v>
      </c>
      <c r="E286" t="e">
        <v>#N/A</v>
      </c>
      <c r="F286">
        <v>7.4</v>
      </c>
      <c r="G286" s="8">
        <v>1701</v>
      </c>
      <c r="H286" t="e">
        <v>#N/A</v>
      </c>
      <c r="I286">
        <v>0.55659747123718262</v>
      </c>
      <c r="L286">
        <v>101.5</v>
      </c>
      <c r="M286">
        <v>101.4</v>
      </c>
      <c r="N286" t="e">
        <v>#N/A</v>
      </c>
      <c r="O286" t="e">
        <v>#N/A</v>
      </c>
      <c r="P286">
        <v>161.94</v>
      </c>
      <c r="Q286" s="4" t="e">
        <v>#N/A</v>
      </c>
    </row>
    <row r="287" spans="1:17" x14ac:dyDescent="0.4">
      <c r="A287" s="4">
        <v>45200</v>
      </c>
      <c r="B287" s="5">
        <v>408489.5</v>
      </c>
      <c r="C287">
        <v>3.4496000000000002</v>
      </c>
      <c r="D287">
        <v>4.5</v>
      </c>
      <c r="E287">
        <v>95.3</v>
      </c>
      <c r="F287">
        <v>7.5</v>
      </c>
      <c r="G287" s="8">
        <v>1728</v>
      </c>
      <c r="H287">
        <v>23.8</v>
      </c>
      <c r="I287">
        <v>0.85985547304153442</v>
      </c>
      <c r="L287">
        <v>101.6</v>
      </c>
      <c r="M287">
        <v>101.6</v>
      </c>
      <c r="N287">
        <v>111.3</v>
      </c>
      <c r="O287">
        <v>381015.8</v>
      </c>
      <c r="P287">
        <v>161.1</v>
      </c>
      <c r="Q287" s="4" t="s">
        <v>39</v>
      </c>
    </row>
    <row r="288" spans="1:17" x14ac:dyDescent="0.4">
      <c r="A288" s="4">
        <v>45231</v>
      </c>
      <c r="B288" s="5" t="e">
        <v>#N/A</v>
      </c>
      <c r="C288">
        <v>3.1913999999999998</v>
      </c>
      <c r="D288">
        <v>4</v>
      </c>
      <c r="E288" t="e">
        <v>#N/A</v>
      </c>
      <c r="F288">
        <v>7.6</v>
      </c>
      <c r="G288" s="8">
        <v>1746</v>
      </c>
      <c r="H288" t="e">
        <v>#N/A</v>
      </c>
      <c r="I288">
        <v>0.56323927640914917</v>
      </c>
      <c r="L288">
        <v>101.9</v>
      </c>
      <c r="M288">
        <v>102.7</v>
      </c>
      <c r="N288" t="e">
        <v>#N/A</v>
      </c>
      <c r="O288" t="e">
        <v>#N/A</v>
      </c>
      <c r="P288">
        <v>159.51</v>
      </c>
      <c r="Q288" s="4" t="e">
        <v>#N/A</v>
      </c>
    </row>
    <row r="289" spans="1:17" x14ac:dyDescent="0.4">
      <c r="A289" s="4">
        <v>45261</v>
      </c>
      <c r="B289" s="5" t="e">
        <v>#N/A</v>
      </c>
      <c r="C289">
        <v>2.6549</v>
      </c>
      <c r="D289">
        <v>3.9</v>
      </c>
      <c r="E289" t="e">
        <v>#N/A</v>
      </c>
      <c r="F289">
        <v>7.6</v>
      </c>
      <c r="G289" s="8">
        <v>1759</v>
      </c>
      <c r="H289" t="e">
        <v>#N/A</v>
      </c>
      <c r="I289">
        <v>0.69515961408615112</v>
      </c>
      <c r="L289">
        <v>102.3</v>
      </c>
      <c r="M289">
        <v>102.2</v>
      </c>
      <c r="N289" t="e">
        <v>#N/A</v>
      </c>
      <c r="O289" t="e">
        <v>#N/A</v>
      </c>
      <c r="P289">
        <v>157.76</v>
      </c>
      <c r="Q289" s="4" t="e">
        <v>#N/A</v>
      </c>
    </row>
    <row r="290" spans="1:17" x14ac:dyDescent="0.4">
      <c r="A290" s="4">
        <v>45292</v>
      </c>
      <c r="B290" s="5">
        <v>412699.9</v>
      </c>
      <c r="C290">
        <v>2.7364999999999999</v>
      </c>
      <c r="D290">
        <v>3.6</v>
      </c>
      <c r="E290">
        <v>95.7</v>
      </c>
      <c r="F290">
        <v>7.6</v>
      </c>
      <c r="G290" s="8">
        <v>1731</v>
      </c>
      <c r="H290">
        <v>23.1</v>
      </c>
      <c r="I290">
        <v>0.63259428739547729</v>
      </c>
      <c r="L290">
        <v>101.6</v>
      </c>
      <c r="M290">
        <v>102.6</v>
      </c>
      <c r="N290">
        <v>111.4</v>
      </c>
      <c r="O290">
        <v>368732.4</v>
      </c>
      <c r="P290">
        <v>157.99</v>
      </c>
      <c r="Q290" s="4" t="e">
        <v>#N/A</v>
      </c>
    </row>
    <row r="291" spans="1:17" x14ac:dyDescent="0.4">
      <c r="A291" s="4">
        <v>45323</v>
      </c>
      <c r="B291" s="5" t="e">
        <v>#N/A</v>
      </c>
      <c r="C291">
        <v>2.8546999999999998</v>
      </c>
      <c r="D291">
        <v>3.1</v>
      </c>
      <c r="E291" t="e">
        <v>#N/A</v>
      </c>
      <c r="F291">
        <v>7.4</v>
      </c>
      <c r="G291" s="8">
        <v>1711</v>
      </c>
      <c r="H291" t="e">
        <v>#N/A</v>
      </c>
      <c r="I291">
        <v>0.75247007608413696</v>
      </c>
      <c r="L291">
        <v>102</v>
      </c>
      <c r="M291">
        <v>103.6</v>
      </c>
      <c r="N291" t="e">
        <v>#N/A</v>
      </c>
      <c r="O291" t="e">
        <v>#N/A</v>
      </c>
      <c r="P291">
        <v>164.27</v>
      </c>
      <c r="Q291" s="4" t="e">
        <v>#N/A</v>
      </c>
    </row>
    <row r="292" spans="1:17" x14ac:dyDescent="0.4">
      <c r="A292" s="4">
        <v>45352</v>
      </c>
      <c r="B292" s="5" t="e">
        <v>#N/A</v>
      </c>
      <c r="C292">
        <v>2.8235999999999999</v>
      </c>
      <c r="D292">
        <v>2.2999999999999998</v>
      </c>
      <c r="E292" t="e">
        <v>#N/A</v>
      </c>
      <c r="F292">
        <v>7.4</v>
      </c>
      <c r="G292" s="8">
        <v>1699</v>
      </c>
      <c r="H292" t="e">
        <v>#N/A</v>
      </c>
      <c r="I292">
        <v>0.76837962865829468</v>
      </c>
      <c r="L292">
        <v>101.6</v>
      </c>
      <c r="M292">
        <v>102.8</v>
      </c>
      <c r="N292" t="e">
        <v>#N/A</v>
      </c>
      <c r="O292" t="e">
        <v>#N/A</v>
      </c>
      <c r="P292">
        <v>163.05000000000001</v>
      </c>
      <c r="Q292" s="4" t="e">
        <v>#N/A</v>
      </c>
    </row>
    <row r="293" spans="1:17" x14ac:dyDescent="0.4">
      <c r="A293" s="4">
        <v>45383</v>
      </c>
      <c r="B293" s="5">
        <v>416301.7</v>
      </c>
      <c r="C293">
        <v>2.9748999999999999</v>
      </c>
      <c r="D293">
        <v>2.2000000000000002</v>
      </c>
      <c r="E293">
        <v>97.4</v>
      </c>
      <c r="F293">
        <v>7.3</v>
      </c>
      <c r="G293" s="8">
        <v>1695</v>
      </c>
      <c r="H293">
        <v>23.1</v>
      </c>
      <c r="I293">
        <v>0.82273274660110474</v>
      </c>
      <c r="L293">
        <v>102.6</v>
      </c>
      <c r="M293">
        <v>103</v>
      </c>
      <c r="N293">
        <v>111.6</v>
      </c>
      <c r="O293">
        <v>376771.8</v>
      </c>
      <c r="P293">
        <v>162.56</v>
      </c>
      <c r="Q293" s="4" t="s">
        <v>39</v>
      </c>
    </row>
    <row r="294" spans="1:17" x14ac:dyDescent="0.4">
      <c r="A294" s="4">
        <v>45413</v>
      </c>
      <c r="B294" s="5" t="e">
        <v>#N/A</v>
      </c>
      <c r="C294">
        <v>3.0310000000000001</v>
      </c>
      <c r="D294">
        <v>2.2999999999999998</v>
      </c>
      <c r="E294" t="e">
        <v>#N/A</v>
      </c>
      <c r="F294">
        <v>7.4</v>
      </c>
      <c r="G294" s="8">
        <v>1706</v>
      </c>
      <c r="H294" t="e">
        <v>#N/A</v>
      </c>
      <c r="I294">
        <v>0.63616347312927246</v>
      </c>
      <c r="L294">
        <v>101</v>
      </c>
      <c r="M294">
        <v>103</v>
      </c>
      <c r="N294" t="e">
        <v>#N/A</v>
      </c>
      <c r="O294" t="e">
        <v>#N/A</v>
      </c>
      <c r="P294">
        <v>160.59</v>
      </c>
      <c r="Q294" s="4" t="e">
        <v>#N/A</v>
      </c>
    </row>
    <row r="295" spans="1:17" x14ac:dyDescent="0.4">
      <c r="A295" s="4">
        <v>45444</v>
      </c>
      <c r="B295" s="5" t="e">
        <v>#N/A</v>
      </c>
      <c r="C295">
        <v>3.1494</v>
      </c>
      <c r="D295">
        <v>2.2999999999999998</v>
      </c>
      <c r="E295" t="e">
        <v>#N/A</v>
      </c>
      <c r="F295">
        <v>7.4</v>
      </c>
      <c r="G295" s="8">
        <v>1703</v>
      </c>
      <c r="H295" t="e">
        <v>#N/A</v>
      </c>
      <c r="I295">
        <v>0.72279989719390869</v>
      </c>
      <c r="L295">
        <v>101.3</v>
      </c>
      <c r="M295">
        <v>102.3</v>
      </c>
      <c r="N295" t="e">
        <v>#N/A</v>
      </c>
      <c r="O295" t="e">
        <v>#N/A</v>
      </c>
      <c r="P295">
        <v>159.31</v>
      </c>
      <c r="Q295" s="4" t="e">
        <v>#N/A</v>
      </c>
    </row>
    <row r="296" spans="1:17" x14ac:dyDescent="0.4">
      <c r="A296" s="4">
        <v>45474</v>
      </c>
      <c r="B296" s="5">
        <v>420111.5</v>
      </c>
      <c r="C296">
        <v>3.1547000000000001</v>
      </c>
      <c r="D296">
        <v>2.1</v>
      </c>
      <c r="E296">
        <v>98.6</v>
      </c>
      <c r="F296">
        <v>7.4</v>
      </c>
      <c r="G296" s="8">
        <v>1663</v>
      </c>
      <c r="H296">
        <v>22.1</v>
      </c>
      <c r="I296">
        <v>0.4680379331111908</v>
      </c>
      <c r="L296">
        <v>101.1</v>
      </c>
      <c r="M296">
        <v>103</v>
      </c>
      <c r="N296">
        <v>111.7</v>
      </c>
      <c r="O296">
        <v>365708.9</v>
      </c>
      <c r="P296">
        <v>161.47</v>
      </c>
      <c r="Q296" s="4" t="e">
        <v>#N/A</v>
      </c>
    </row>
    <row r="297" spans="1:17" x14ac:dyDescent="0.4">
      <c r="A297" s="4">
        <v>45505</v>
      </c>
      <c r="B297" s="5" t="e">
        <v>#N/A</v>
      </c>
      <c r="C297">
        <v>2.9681000000000002</v>
      </c>
      <c r="D297">
        <v>2.4</v>
      </c>
      <c r="E297" t="e">
        <v>#N/A</v>
      </c>
      <c r="F297">
        <v>7.4</v>
      </c>
      <c r="G297" s="8">
        <v>1643</v>
      </c>
      <c r="H297" t="e">
        <v>#N/A</v>
      </c>
      <c r="I297">
        <v>0.65198123455047607</v>
      </c>
      <c r="L297">
        <v>101.8</v>
      </c>
      <c r="M297">
        <v>105.5</v>
      </c>
      <c r="N297" t="e">
        <v>#N/A</v>
      </c>
      <c r="O297" t="e">
        <v>#N/A</v>
      </c>
      <c r="P297">
        <v>159.51</v>
      </c>
      <c r="Q297" s="4" t="e">
        <v>#N/A</v>
      </c>
    </row>
    <row r="298" spans="1:17" x14ac:dyDescent="0.4">
      <c r="A298" s="4">
        <v>45536</v>
      </c>
      <c r="B298" s="5" t="e">
        <v>#N/A</v>
      </c>
      <c r="C298">
        <v>2.9125999999999999</v>
      </c>
      <c r="D298">
        <v>2</v>
      </c>
      <c r="E298" t="e">
        <v>#N/A</v>
      </c>
      <c r="F298">
        <v>7.4</v>
      </c>
      <c r="G298" s="8">
        <v>1651</v>
      </c>
      <c r="H298" t="e">
        <v>#N/A</v>
      </c>
      <c r="I298">
        <v>0.78719669580459595</v>
      </c>
      <c r="L298">
        <v>101.4</v>
      </c>
      <c r="M298">
        <v>104.9</v>
      </c>
      <c r="N298" t="e">
        <v>#N/A</v>
      </c>
      <c r="O298" t="e">
        <v>#N/A</v>
      </c>
      <c r="P298">
        <v>156.66</v>
      </c>
      <c r="Q298" s="4" t="e">
        <v>#N/A</v>
      </c>
    </row>
    <row r="299" spans="1:17" x14ac:dyDescent="0.4">
      <c r="A299" s="4">
        <v>45566</v>
      </c>
      <c r="B299" s="5">
        <v>422823</v>
      </c>
      <c r="C299">
        <v>2.9983</v>
      </c>
      <c r="D299">
        <v>2</v>
      </c>
      <c r="E299">
        <v>97.9</v>
      </c>
      <c r="F299">
        <v>7.3</v>
      </c>
      <c r="G299" s="8">
        <v>1650</v>
      </c>
      <c r="H299">
        <v>23.6</v>
      </c>
      <c r="I299">
        <v>0.64919006824493408</v>
      </c>
      <c r="L299">
        <v>101.3</v>
      </c>
      <c r="M299">
        <v>104.6</v>
      </c>
      <c r="N299">
        <v>111.6</v>
      </c>
      <c r="O299">
        <v>392329</v>
      </c>
      <c r="P299">
        <v>158</v>
      </c>
      <c r="Q299" s="4" t="s">
        <v>40</v>
      </c>
    </row>
    <row r="300" spans="1:17" x14ac:dyDescent="0.4">
      <c r="A300" s="4">
        <v>45597</v>
      </c>
      <c r="B300" s="5" t="e">
        <v>#N/A</v>
      </c>
      <c r="C300">
        <v>3.0859999999999999</v>
      </c>
      <c r="D300">
        <v>1.9</v>
      </c>
      <c r="E300" t="e">
        <v>#N/A</v>
      </c>
      <c r="F300">
        <v>7.3</v>
      </c>
      <c r="G300" s="8">
        <v>1665</v>
      </c>
      <c r="H300" t="e">
        <v>#N/A</v>
      </c>
      <c r="I300">
        <v>0.68635475635528564</v>
      </c>
      <c r="L300">
        <v>101.1</v>
      </c>
      <c r="M300">
        <v>104.8</v>
      </c>
      <c r="N300" t="e">
        <v>#N/A</v>
      </c>
      <c r="O300" t="e">
        <v>#N/A</v>
      </c>
      <c r="P300">
        <v>158.35</v>
      </c>
      <c r="Q300" s="4" t="e">
        <v>#N/A</v>
      </c>
    </row>
    <row r="301" spans="1:17" x14ac:dyDescent="0.4">
      <c r="A301" s="4">
        <v>45627</v>
      </c>
      <c r="B301" s="5" t="e">
        <v>#N/A</v>
      </c>
      <c r="C301">
        <v>3.0164</v>
      </c>
      <c r="D301">
        <v>1.8</v>
      </c>
      <c r="E301" t="e">
        <v>#N/A</v>
      </c>
      <c r="F301">
        <v>7.3</v>
      </c>
      <c r="G301" s="8">
        <v>1661</v>
      </c>
      <c r="H301" t="e">
        <v>#N/A</v>
      </c>
      <c r="I301">
        <v>0.5494123101234436</v>
      </c>
      <c r="L301">
        <v>100.9</v>
      </c>
      <c r="M301">
        <v>104.4</v>
      </c>
      <c r="N301" t="e">
        <v>#N/A</v>
      </c>
      <c r="O301" t="e">
        <v>#N/A</v>
      </c>
      <c r="P301">
        <v>159.58000000000001</v>
      </c>
      <c r="Q301" s="4" t="s">
        <v>41</v>
      </c>
    </row>
    <row r="302" spans="1:17" x14ac:dyDescent="0.4">
      <c r="A302" s="4">
        <v>45658</v>
      </c>
      <c r="B302" s="5">
        <v>424450.9</v>
      </c>
      <c r="C302">
        <v>3.3140999999999998</v>
      </c>
      <c r="D302">
        <v>1.8</v>
      </c>
      <c r="E302">
        <v>98.7</v>
      </c>
      <c r="F302">
        <v>7.3</v>
      </c>
      <c r="G302" s="8">
        <v>1664</v>
      </c>
      <c r="H302">
        <v>22.1</v>
      </c>
      <c r="I302">
        <v>0.62115699052810669</v>
      </c>
      <c r="L302">
        <v>100.4</v>
      </c>
      <c r="M302">
        <v>105.2</v>
      </c>
      <c r="N302">
        <v>111.3</v>
      </c>
      <c r="O302" t="e">
        <v>#N/A</v>
      </c>
      <c r="P302">
        <v>162.15</v>
      </c>
      <c r="Q302" s="4" t="e">
        <v>#N/A</v>
      </c>
    </row>
    <row r="303" spans="1:17" x14ac:dyDescent="0.4">
      <c r="A303" s="4">
        <v>45689</v>
      </c>
      <c r="B303" s="5" t="e">
        <v>#N/A</v>
      </c>
      <c r="C303">
        <v>3.1526000000000001</v>
      </c>
      <c r="D303">
        <v>1.7</v>
      </c>
      <c r="E303" t="e">
        <v>#N/A</v>
      </c>
      <c r="F303">
        <v>7.5</v>
      </c>
      <c r="G303" s="8">
        <v>1692</v>
      </c>
      <c r="H303" t="e">
        <v>#N/A</v>
      </c>
      <c r="I303">
        <v>1.031414270401001</v>
      </c>
      <c r="L303">
        <v>101.5</v>
      </c>
      <c r="M303">
        <v>104.9</v>
      </c>
      <c r="N303" t="e">
        <v>#N/A</v>
      </c>
      <c r="O303" t="e">
        <v>#N/A</v>
      </c>
      <c r="P303">
        <v>154.96</v>
      </c>
      <c r="Q303" s="4" t="s">
        <v>42</v>
      </c>
    </row>
    <row r="304" spans="1:17" x14ac:dyDescent="0.4">
      <c r="A304" s="4">
        <v>45717</v>
      </c>
      <c r="B304" s="5" t="e">
        <v>#N/A</v>
      </c>
      <c r="C304">
        <v>3.4784000000000002</v>
      </c>
      <c r="D304">
        <v>1.7</v>
      </c>
      <c r="E304" t="e">
        <v>#N/A</v>
      </c>
      <c r="F304">
        <v>7.6</v>
      </c>
      <c r="G304" s="8">
        <v>1747</v>
      </c>
      <c r="H304" t="e">
        <v>#N/A</v>
      </c>
      <c r="I304">
        <v>1.3467015027999878</v>
      </c>
      <c r="L304">
        <v>101.8</v>
      </c>
      <c r="M304">
        <v>105.3</v>
      </c>
      <c r="N304" t="e">
        <v>#N/A</v>
      </c>
      <c r="O304" t="e">
        <v>#N/A</v>
      </c>
      <c r="P304">
        <v>152.77000000000001</v>
      </c>
      <c r="Q304" s="4" t="s">
        <v>42</v>
      </c>
    </row>
    <row r="305" spans="1:17" x14ac:dyDescent="0.4">
      <c r="A305" s="4">
        <v>45748</v>
      </c>
      <c r="B305" s="5">
        <v>427290.3</v>
      </c>
      <c r="C305">
        <v>3.2953000000000001</v>
      </c>
      <c r="D305">
        <v>1.8</v>
      </c>
      <c r="E305">
        <v>100.2</v>
      </c>
      <c r="F305">
        <v>7.5</v>
      </c>
      <c r="G305" s="8">
        <v>1731</v>
      </c>
      <c r="H305">
        <v>22.5</v>
      </c>
      <c r="I305">
        <v>0.74703919887542725</v>
      </c>
      <c r="L305">
        <v>100.4</v>
      </c>
      <c r="M305">
        <v>105.9</v>
      </c>
      <c r="N305">
        <v>111.2</v>
      </c>
      <c r="O305" t="e">
        <v>#N/A</v>
      </c>
      <c r="P305">
        <v>150.46</v>
      </c>
      <c r="Q305" s="4" t="e">
        <v>#N/A</v>
      </c>
    </row>
    <row r="306" spans="1:17" x14ac:dyDescent="0.4">
      <c r="A306" s="4">
        <v>45778</v>
      </c>
      <c r="B306" s="5" t="e">
        <v>#N/A</v>
      </c>
      <c r="C306">
        <v>3.2606000000000002</v>
      </c>
      <c r="D306">
        <v>1.4</v>
      </c>
      <c r="E306" t="e">
        <v>#N/A</v>
      </c>
      <c r="F306">
        <v>7.6</v>
      </c>
      <c r="G306" s="8">
        <v>1753</v>
      </c>
      <c r="H306" t="e">
        <v>#N/A</v>
      </c>
      <c r="I306">
        <v>1.02046799659729</v>
      </c>
      <c r="L306">
        <v>99.8</v>
      </c>
      <c r="M306">
        <v>106.2</v>
      </c>
      <c r="N306" t="e">
        <v>#N/A</v>
      </c>
      <c r="O306" t="e">
        <v>#N/A</v>
      </c>
      <c r="P306">
        <v>148.31</v>
      </c>
      <c r="Q306" s="4" t="e">
        <v>#N/A</v>
      </c>
    </row>
    <row r="307" spans="1:17" x14ac:dyDescent="0.4">
      <c r="A307" s="4">
        <v>45809</v>
      </c>
      <c r="B307" s="5" t="e">
        <v>#N/A</v>
      </c>
      <c r="C307">
        <v>3.2362000000000002</v>
      </c>
      <c r="D307">
        <v>1.6</v>
      </c>
      <c r="E307" t="e">
        <v>#N/A</v>
      </c>
      <c r="F307">
        <v>7.6</v>
      </c>
      <c r="G307" s="8">
        <v>1778</v>
      </c>
      <c r="H307" t="e">
        <v>#N/A</v>
      </c>
      <c r="I307">
        <v>1.1034913063049316</v>
      </c>
      <c r="L307">
        <v>103</v>
      </c>
      <c r="M307">
        <v>106</v>
      </c>
      <c r="N307" t="e">
        <v>#N/A</v>
      </c>
      <c r="O307" t="e">
        <v>#N/A</v>
      </c>
      <c r="P307">
        <v>149.02000000000001</v>
      </c>
      <c r="Q307" s="4" t="e">
        <v>#N/A</v>
      </c>
    </row>
    <row r="308" spans="1:17" x14ac:dyDescent="0.4">
      <c r="A308" s="4">
        <v>45839</v>
      </c>
      <c r="B308" s="5">
        <v>429931.5</v>
      </c>
      <c r="C308">
        <v>3.3472</v>
      </c>
      <c r="D308">
        <v>1.8</v>
      </c>
      <c r="E308">
        <v>102</v>
      </c>
      <c r="F308">
        <v>7.7</v>
      </c>
      <c r="G308" s="8">
        <v>1806</v>
      </c>
      <c r="H308">
        <v>23.4</v>
      </c>
      <c r="I308">
        <v>0.71051305532455444</v>
      </c>
      <c r="L308">
        <v>102.9</v>
      </c>
      <c r="M308">
        <v>106.4</v>
      </c>
      <c r="N308">
        <v>111.4</v>
      </c>
      <c r="O308" t="e">
        <v>#N/A</v>
      </c>
      <c r="P308">
        <v>150.22999999999999</v>
      </c>
      <c r="Q308" s="4" t="e">
        <v>#N/A</v>
      </c>
    </row>
    <row r="309" spans="1:17" x14ac:dyDescent="0.4">
      <c r="A309" s="4">
        <v>45870</v>
      </c>
      <c r="B309" s="5" t="e">
        <v>#N/A</v>
      </c>
      <c r="C309">
        <v>3.4056000000000002</v>
      </c>
      <c r="D309">
        <v>1.5</v>
      </c>
      <c r="E309" t="e">
        <v>#N/A</v>
      </c>
      <c r="F309">
        <v>7.7</v>
      </c>
      <c r="G309" s="8">
        <v>1810</v>
      </c>
      <c r="H309" t="e">
        <v>#N/A</v>
      </c>
      <c r="I309">
        <v>0.98790180683135986</v>
      </c>
      <c r="L309">
        <v>101.9</v>
      </c>
      <c r="M309">
        <v>106.9</v>
      </c>
      <c r="N309" t="e">
        <v>#N/A</v>
      </c>
      <c r="O309" t="e">
        <v>#N/A</v>
      </c>
      <c r="P309">
        <v>149.91</v>
      </c>
      <c r="Q309" s="4" t="e">
        <v>#N/A</v>
      </c>
    </row>
    <row r="310" spans="1:17" x14ac:dyDescent="0.4">
      <c r="A310" s="4">
        <v>45901</v>
      </c>
      <c r="B310" s="5" t="e">
        <v>#N/A</v>
      </c>
      <c r="C310">
        <v>3.5171999999999999</v>
      </c>
      <c r="D310">
        <v>1.6</v>
      </c>
      <c r="E310" t="e">
        <v>#N/A</v>
      </c>
      <c r="F310">
        <v>7.7</v>
      </c>
      <c r="G310" s="8">
        <v>1808</v>
      </c>
      <c r="H310" t="e">
        <v>#N/A</v>
      </c>
      <c r="I310">
        <v>0.88974303007125854</v>
      </c>
      <c r="L310">
        <v>102.7</v>
      </c>
      <c r="M310">
        <v>106.8</v>
      </c>
      <c r="N310" t="e">
        <v>#N/A</v>
      </c>
      <c r="O310" t="e">
        <v>#N/A</v>
      </c>
      <c r="P310">
        <v>149.9</v>
      </c>
      <c r="Q310" s="4" t="s">
        <v>43</v>
      </c>
    </row>
    <row r="311" spans="1:17" x14ac:dyDescent="0.4">
      <c r="A311" s="4">
        <v>45931</v>
      </c>
      <c r="B311" s="5" t="e">
        <v>#N/A</v>
      </c>
      <c r="C311">
        <v>3.4377</v>
      </c>
      <c r="D311">
        <v>1.5</v>
      </c>
      <c r="E311" t="e">
        <v>#N/A</v>
      </c>
      <c r="F311">
        <v>7.7</v>
      </c>
      <c r="G311" s="8">
        <v>1822</v>
      </c>
      <c r="H311" t="e">
        <v>#N/A</v>
      </c>
      <c r="I311">
        <v>0.54373365640640259</v>
      </c>
      <c r="L311" s="6" t="e">
        <v>#N/A</v>
      </c>
      <c r="M311">
        <v>106.7</v>
      </c>
      <c r="N311" t="e">
        <v>#N/A</v>
      </c>
      <c r="O311" t="e">
        <v>#N/A</v>
      </c>
      <c r="P311">
        <v>149.30000000000001</v>
      </c>
      <c r="Q311" s="4" t="s">
        <v>43</v>
      </c>
    </row>
    <row r="312" spans="1:17" x14ac:dyDescent="0.4">
      <c r="A312" s="4">
        <v>45962</v>
      </c>
      <c r="B312" s="5" t="e">
        <v>#N/A</v>
      </c>
      <c r="C312">
        <v>3.4386000000000001</v>
      </c>
      <c r="D312">
        <v>1.3</v>
      </c>
      <c r="E312" t="e">
        <v>#N/A</v>
      </c>
      <c r="F312">
        <v>7.7</v>
      </c>
      <c r="G312" s="8">
        <v>1829</v>
      </c>
      <c r="H312" t="e">
        <v>#N/A</v>
      </c>
      <c r="I312">
        <v>0.54820418357849121</v>
      </c>
      <c r="L312" s="6" t="e">
        <v>#N/A</v>
      </c>
      <c r="M312" s="6" t="e">
        <v>#N/A</v>
      </c>
      <c r="N312" t="e">
        <v>#N/A</v>
      </c>
      <c r="O312" t="e">
        <v>#N/A</v>
      </c>
      <c r="P312">
        <v>151.35</v>
      </c>
      <c r="Q312" s="4" t="e">
        <v>#N/A</v>
      </c>
    </row>
    <row r="313" spans="1:17" x14ac:dyDescent="0.4">
      <c r="A313" s="4">
        <v>45992</v>
      </c>
      <c r="B313" s="5" t="e">
        <v>#N/A</v>
      </c>
      <c r="C313">
        <v>3.5541999999999998</v>
      </c>
      <c r="D313">
        <v>1.4</v>
      </c>
      <c r="E313" t="e">
        <v>#N/A</v>
      </c>
      <c r="F313">
        <v>7.7</v>
      </c>
      <c r="G313" s="8">
        <v>1833</v>
      </c>
      <c r="H313" t="e">
        <v>#N/A</v>
      </c>
      <c r="I313">
        <v>0.68244516849517822</v>
      </c>
      <c r="L313" s="6" t="e">
        <v>#N/A</v>
      </c>
      <c r="M313" s="6" t="e">
        <v>#N/A</v>
      </c>
      <c r="N313" t="e">
        <v>#N/A</v>
      </c>
      <c r="O313" t="e">
        <v>#N/A</v>
      </c>
      <c r="P313">
        <v>148.94999999999999</v>
      </c>
      <c r="Q313" s="4" t="e"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2026-02-23T21:13:00Z</dcterms:created>
  <dcterms:modified xsi:type="dcterms:W3CDTF">2026-03-16T15:16:12Z</dcterms:modified>
</cp:coreProperties>
</file>