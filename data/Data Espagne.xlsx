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otheedangleterre/Desktop/ENSAE/Semestre 1/ESSD/"/>
    </mc:Choice>
  </mc:AlternateContent>
  <xr:revisionPtr revIDLastSave="0" documentId="13_ncr:1_{EDADBD8D-CFB5-9649-8C91-E342319DCF08}" xr6:coauthVersionLast="47" xr6:coauthVersionMax="47" xr10:uidLastSave="{00000000-0000-0000-0000-000000000000}"/>
  <bookViews>
    <workbookView xWindow="1180" yWindow="1500" windowWidth="27240" windowHeight="15500" xr2:uid="{92925F57-A0AC-404C-B2CD-8ED23E7BB18B}"/>
  </bookViews>
  <sheets>
    <sheet name="Recettes" sheetId="1" r:id="rId1"/>
    <sheet name="Dépenses" sheetId="2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4" i="2" l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tc={78C80B45-7F86-1D48-845D-369F96715558}</author>
    <author>tc={33317A82-6E45-254A-9E21-10F522E260A4}</author>
    <author>tc={3D720DD2-4D59-104E-8F5B-E2C4C5569672}</author>
    <author>tc={DFAC96D5-C8CE-5041-BDBC-495540D4CFCE}</author>
    <author>tc={15F023BA-0D44-1744-999A-2C0977B24711}</author>
    <author>tc={7C05136F-F1F6-1B48-A0FD-D9948482DAB4}</author>
    <author>tc={21B6A951-F9DD-EA4D-BBDB-1E84C1701EAC}</author>
    <author>tc={F2FC6E49-4445-9F42-A24F-41F47EAE24C1}</author>
    <author>tc={0D899E68-CBC0-3C4E-A882-E37DCF27B76E}</author>
  </authors>
  <commentList>
    <comment ref="B1" authorId="0" shapeId="0" xr:uid="{78C80B45-7F86-1D48-845D-369F9671555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F1" authorId="1" shapeId="0" xr:uid="{33317A82-6E45-254A-9E21-10F522E260A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Nouvelle source (BDF) : 
https://webstat.banque-france.fr/en/catalog/sts/STS.M.DE.Y.PROD.NS0020.4.000</t>
      </text>
    </comment>
    <comment ref="G1" authorId="2" shapeId="0" xr:uid="{3D720DD2-4D59-104E-8F5B-E2C4C556967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https://ec.europa.eu/eurostat/databrowser/view/sts_intv_m__custom_20212487/default/table</t>
      </text>
    </comment>
    <comment ref="I1" authorId="3" shapeId="0" xr:uid="{DFAC96D5-C8CE-5041-BDBC-495540D4CFCE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Source BDF (utilisée) : https://webstat.banque-france.fr/en/catalog/sts/STS.M.DE.Y.TOVV.NS4701.4.000
</t>
      </text>
    </comment>
    <comment ref="K1" authorId="4" shapeId="0" xr:uid="{15F023BA-0D44-1744-999A-2C0977B2471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</t>
      </text>
    </comment>
    <comment ref="L1" authorId="5" shapeId="0" xr:uid="{7C05136F-F1F6-1B48-A0FD-D9948482DAB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Dbnomics Energy prices</t>
      </text>
    </comment>
    <comment ref="M1" authorId="6" shapeId="0" xr:uid="{21B6A951-F9DD-EA4D-BBDB-1E84C1701EA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Employment in Germany ; Destatis: https://www-genesis.destatis.de/datenbank/online/statistic/13321/table/13321-0001</t>
      </text>
    </comment>
    <comment ref="O1" authorId="7" shapeId="0" xr:uid="{F2FC6E49-4445-9F42-A24F-41F47EAE24C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Yahoo finance log returns</t>
      </text>
    </comment>
    <comment ref="P1" authorId="8" shapeId="0" xr:uid="{0D899E68-CBC0-3C4E-A882-E37DCF27B76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DBnomics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tc={EB5B5B2F-C8BD-1247-A572-B3DDED643735}</author>
    <author>tc={3416C541-FF9C-954E-9A4A-9ED5A71DED43}</author>
    <author>tc={16383AE1-8F00-8340-8B75-3EB2F5121FF0}</author>
    <author>tc={A94EC35C-950F-F848-9803-D3666D0F94B2}</author>
    <author>tc={4C5E2669-CFD2-C74B-9546-DAD4175C18EB}</author>
    <author>tc={4FA67C4F-B3EF-7542-84CC-2535DD05224A}</author>
    <author>tc={1114F1B1-F4C2-CF4A-9D9A-B584909814D0}</author>
    <author>tc={FB8CE908-FEF4-BD45-BF2E-3D0B86819434}</author>
    <author>tc={FAB358DA-4F9F-BA4F-8494-71977BF289BE}</author>
    <author>tc={6CBD32B4-79B0-1B44-8577-ED9E5F919878}</author>
    <author>tc={28B6CC3E-2AC3-C642-8091-907992F56E0C}</author>
  </authors>
  <commentList>
    <comment ref="B1" authorId="0" shapeId="0" xr:uid="{EB5B5B2F-C8BD-1247-A572-B3DDED64373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C1" authorId="1" shapeId="0" xr:uid="{3416C541-FF9C-954E-9A4A-9ED5A71DED4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IRLTLT01DEM156N</t>
      </text>
    </comment>
    <comment ref="D1" authorId="2" shapeId="0" xr:uid="{16383AE1-8F00-8340-8B75-3EB2F5121FF0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
</t>
      </text>
    </comment>
    <comment ref="E1" authorId="3" shapeId="0" xr:uid="{A94EC35C-950F-F848-9803-D3666D0F94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https://ec.europa.eu/eurostat/databrowser/view/gov_10q_ggdebt__custom_20213100/default/table</t>
      </text>
    </comment>
    <comment ref="F1" authorId="4" shapeId="0" xr:uid="{4C5E2669-CFD2-C74B-9546-DAD4175C18EB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OECD/DSD_LFS@DF_IALFS_UNE_M/DEU.UNE_LF_M.PT_LF_SUB._Z.Y._T.Y_GE15._Z.M
</t>
      </text>
    </comment>
    <comment ref="G1" authorId="5" shapeId="0" xr:uid="{4FA67C4F-B3EF-7542-84CC-2535DD05224A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Données d'Eurostat, une_rt_m, désaisonnalisée, à diff pour inflow
</t>
      </text>
    </comment>
    <comment ref="H1" authorId="6" shapeId="0" xr:uid="{1114F1B1-F4C2-CF4A-9D9A-B584909814D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 Eurostat/DBnomics:
https://ec.europa.eu/eurostat/databrowser/view/une_ltu_q__custom_20213008/default/table</t>
      </text>
    </comment>
    <comment ref="K1" authorId="7" shapeId="0" xr:uid="{FB8CE908-FEF4-BD45-BF2E-3D0B8681943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[mat,tab]=call_dbnomics('Eurostat/PRC_REM_NR/S.TOTAL.NR.DE+ES+IT+FR+EL')
Pb avec cette commande</t>
      </text>
    </comment>
    <comment ref="L1" authorId="8" shapeId="0" xr:uid="{FAB358DA-4F9F-BA4F-8494-71977BF289B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Nouvelle source (BDF) : 
https://webstat.banque-france.fr/en/catalog/sts/STS.M.DE.Y.PROD.NS0020.4.000</t>
      </text>
    </comment>
    <comment ref="M1" authorId="9" shapeId="0" xr:uid="{6CBD32B4-79B0-1B44-8577-ED9E5F91987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Source BDF (utilisée) : 
https://webstat.banque-france.fr/en/catalog/sts/STS.M.DE.Y.TOVV.NS4701.4.000</t>
      </text>
    </comment>
    <comment ref="P1" authorId="10" shapeId="0" xr:uid="{28B6CC3E-2AC3-C642-8091-907992F56E0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DEUCPIENGMINMEI</t>
      </text>
    </comment>
  </commentList>
</comments>
</file>

<file path=xl/sharedStrings.xml><?xml version="1.0" encoding="utf-8"?>
<sst xmlns="http://schemas.openxmlformats.org/spreadsheetml/2006/main" count="162" uniqueCount="64">
  <si>
    <t>Dates</t>
  </si>
  <si>
    <t>Total revenue</t>
  </si>
  <si>
    <t>Payroll Mass</t>
  </si>
  <si>
    <t>Hours worked</t>
  </si>
  <si>
    <t>Hourly earnings</t>
  </si>
  <si>
    <t>IP</t>
  </si>
  <si>
    <t>Business turnover index</t>
  </si>
  <si>
    <t>ESI</t>
  </si>
  <si>
    <t>Retail sales</t>
  </si>
  <si>
    <t>Private consumption</t>
  </si>
  <si>
    <t>HICPX</t>
  </si>
  <si>
    <t>Energy prices</t>
  </si>
  <si>
    <t>Employment</t>
  </si>
  <si>
    <t>Profit share</t>
  </si>
  <si>
    <t xml:space="preserve">Stock market </t>
  </si>
  <si>
    <t>Consumer confidence</t>
  </si>
  <si>
    <t>Total expenditure</t>
  </si>
  <si>
    <t>10y yield</t>
  </si>
  <si>
    <t>Debt-to-GDP ratio</t>
  </si>
  <si>
    <t>Unemployment rate</t>
  </si>
  <si>
    <t>Unemployment inflows</t>
  </si>
  <si>
    <t>Share of LT unemp</t>
  </si>
  <si>
    <t>Geopolitical risk index</t>
  </si>
  <si>
    <t>Election dummy</t>
  </si>
  <si>
    <t>Public employment headcount</t>
  </si>
  <si>
    <t>Payroll mass</t>
  </si>
  <si>
    <t>Sovereign credit rating revisions</t>
  </si>
  <si>
    <t>:</t>
  </si>
  <si>
    <t>AA+Stable</t>
  </si>
  <si>
    <t>Aa2Positive watch</t>
  </si>
  <si>
    <t>AaaStable</t>
  </si>
  <si>
    <t>AA+Positive</t>
  </si>
  <si>
    <t>AAAStable</t>
  </si>
  <si>
    <t>AAANegative watch</t>
  </si>
  <si>
    <t>AA+Negative</t>
  </si>
  <si>
    <t>AANegative</t>
  </si>
  <si>
    <t>AaaNegative watch</t>
  </si>
  <si>
    <t>Aa1Stable</t>
  </si>
  <si>
    <t>Aa1Negative watch</t>
  </si>
  <si>
    <t>Aa2Negative</t>
  </si>
  <si>
    <t>Aa2Negative watch</t>
  </si>
  <si>
    <t>AA-Negative</t>
  </si>
  <si>
    <t>AA-Negative watch</t>
  </si>
  <si>
    <t>ANegative</t>
  </si>
  <si>
    <t>A3Negative</t>
  </si>
  <si>
    <t>BBB+Negative</t>
  </si>
  <si>
    <t>Baa3Negative watch</t>
  </si>
  <si>
    <t>BBB-Negative</t>
  </si>
  <si>
    <t>BBBNegative</t>
  </si>
  <si>
    <t>BBB-Stable</t>
  </si>
  <si>
    <t>Baa3Stable</t>
  </si>
  <si>
    <t>BBBStable</t>
  </si>
  <si>
    <t>Baa2Positive</t>
  </si>
  <si>
    <t>BBB+Stable</t>
  </si>
  <si>
    <t>Baa2Stable</t>
  </si>
  <si>
    <t>BBB+Positive</t>
  </si>
  <si>
    <t>A-Under Review</t>
  </si>
  <si>
    <t>A-Stable</t>
  </si>
  <si>
    <t>A-Positive</t>
  </si>
  <si>
    <t>Baa1Stable</t>
  </si>
  <si>
    <t>AStable</t>
  </si>
  <si>
    <t>A-Negative</t>
  </si>
  <si>
    <t>Baa1Positive</t>
  </si>
  <si>
    <t>A+Stable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</si>
</sst>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#,##0.0"/>
    <numFmt numFmtId="166" formatCode="#,##0.##########"/>
  </numFmts>
  <fonts count="3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6F6F6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4" fontId="0" fillId="0" borderId="0" xfId="0" applyNumberFormat="1"/>
    <xf numFmtId="165" fontId="2" fillId="3" borderId="0" xfId="0" applyNumberFormat="1" applyFont="1" applyFill="1" applyAlignment="1">
      <alignment horizontal="right" vertical="center" shrinkToFit="1"/>
    </xf>
    <xf numFmtId="3" fontId="2" fillId="0" borderId="0" xfId="0" applyNumberFormat="1" applyFont="1" applyAlignment="1">
      <alignment horizontal="right" vertical="center" shrinkToFit="1"/>
    </xf>
    <xf numFmtId="166" fontId="2" fillId="0" borderId="0" xfId="0" applyNumberFormat="1" applyFont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imotheedangleterre/Desktop/ENSAE/Semestre%201/ESSD/Donne&#769;es/LT%20Unemployment%20Eurostat.xlsx" TargetMode="External"/><Relationship Id="rId1" Type="http://schemas.openxmlformats.org/officeDocument/2006/relationships/externalLinkPath" Target="Donne&#769;es/LT%20Unemployment%20Eurost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Structure"/>
      <sheetName val="Sheet 1"/>
      <sheetName val="Flags 1"/>
      <sheetName val="Sheet 2"/>
      <sheetName val="Flags 2"/>
      <sheetName val="Sheet 3"/>
      <sheetName val="Flags 3"/>
      <sheetName val="Sheet 4"/>
      <sheetName val="Flags 4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2">
          <cell r="B12" t="str">
            <v>2003-Q1</v>
          </cell>
          <cell r="C12" t="str">
            <v>2003-Q2</v>
          </cell>
          <cell r="D12" t="str">
            <v>2003-Q3</v>
          </cell>
          <cell r="E12" t="str">
            <v>2003-Q4</v>
          </cell>
          <cell r="F12" t="str">
            <v>2004-Q1</v>
          </cell>
          <cell r="G12" t="str">
            <v>2004-Q2</v>
          </cell>
          <cell r="H12" t="str">
            <v>2004-Q3</v>
          </cell>
          <cell r="I12" t="str">
            <v>2004-Q4</v>
          </cell>
          <cell r="J12" t="str">
            <v>2005-Q1</v>
          </cell>
          <cell r="K12" t="str">
            <v>2005-Q2</v>
          </cell>
          <cell r="L12" t="str">
            <v>2005-Q3</v>
          </cell>
          <cell r="M12" t="str">
            <v>2005-Q4</v>
          </cell>
          <cell r="N12" t="str">
            <v>2006-Q1</v>
          </cell>
          <cell r="O12" t="str">
            <v>2006-Q2</v>
          </cell>
          <cell r="P12" t="str">
            <v>2006-Q3</v>
          </cell>
          <cell r="Q12" t="str">
            <v>2006-Q4</v>
          </cell>
          <cell r="R12" t="str">
            <v>2007-Q1</v>
          </cell>
          <cell r="S12" t="str">
            <v>2007-Q2</v>
          </cell>
          <cell r="T12" t="str">
            <v>2007-Q3</v>
          </cell>
          <cell r="U12" t="str">
            <v>2007-Q4</v>
          </cell>
          <cell r="V12" t="str">
            <v>2008-Q1</v>
          </cell>
          <cell r="W12" t="str">
            <v>2008-Q2</v>
          </cell>
          <cell r="X12" t="str">
            <v>2008-Q3</v>
          </cell>
          <cell r="Y12" t="str">
            <v>2008-Q4</v>
          </cell>
          <cell r="Z12" t="str">
            <v>2009-Q1</v>
          </cell>
          <cell r="AA12" t="str">
            <v>2009-Q2</v>
          </cell>
          <cell r="AB12" t="str">
            <v>2009-Q3</v>
          </cell>
          <cell r="AC12" t="str">
            <v>2009-Q4</v>
          </cell>
          <cell r="AD12" t="str">
            <v>2010-Q1</v>
          </cell>
          <cell r="AE12" t="str">
            <v>2010-Q2</v>
          </cell>
          <cell r="AF12" t="str">
            <v>2010-Q3</v>
          </cell>
          <cell r="AG12" t="str">
            <v>2010-Q4</v>
          </cell>
          <cell r="AH12" t="str">
            <v>2011-Q1</v>
          </cell>
          <cell r="AI12" t="str">
            <v>2011-Q2</v>
          </cell>
          <cell r="AJ12" t="str">
            <v>2011-Q3</v>
          </cell>
          <cell r="AK12" t="str">
            <v>2011-Q4</v>
          </cell>
          <cell r="AL12" t="str">
            <v>2012-Q1</v>
          </cell>
          <cell r="AM12" t="str">
            <v>2012-Q2</v>
          </cell>
          <cell r="AN12" t="str">
            <v>2012-Q3</v>
          </cell>
          <cell r="AO12" t="str">
            <v>2012-Q4</v>
          </cell>
          <cell r="AP12" t="str">
            <v>2013-Q1</v>
          </cell>
          <cell r="AQ12" t="str">
            <v>2013-Q2</v>
          </cell>
          <cell r="AR12" t="str">
            <v>2013-Q3</v>
          </cell>
          <cell r="AS12" t="str">
            <v>2013-Q4</v>
          </cell>
          <cell r="AT12" t="str">
            <v>2014-Q1</v>
          </cell>
          <cell r="AU12" t="str">
            <v>2014-Q2</v>
          </cell>
          <cell r="AV12" t="str">
            <v>2014-Q3</v>
          </cell>
          <cell r="AW12" t="str">
            <v>2014-Q4</v>
          </cell>
          <cell r="AX12" t="str">
            <v>2015-Q1</v>
          </cell>
          <cell r="AY12" t="str">
            <v>2015-Q2</v>
          </cell>
          <cell r="AZ12" t="str">
            <v>2015-Q3</v>
          </cell>
          <cell r="BA12" t="str">
            <v>2015-Q4</v>
          </cell>
          <cell r="BB12" t="str">
            <v>2016-Q1</v>
          </cell>
          <cell r="BC12" t="str">
            <v>2016-Q2</v>
          </cell>
          <cell r="BD12" t="str">
            <v>2016-Q3</v>
          </cell>
          <cell r="BE12" t="str">
            <v>2016-Q4</v>
          </cell>
          <cell r="BF12" t="str">
            <v>2017-Q1</v>
          </cell>
          <cell r="BG12" t="str">
            <v>2017-Q2</v>
          </cell>
          <cell r="BH12" t="str">
            <v>2017-Q3</v>
          </cell>
          <cell r="BI12" t="str">
            <v>2017-Q4</v>
          </cell>
          <cell r="BJ12" t="str">
            <v>2018-Q1</v>
          </cell>
          <cell r="BK12" t="str">
            <v>2018-Q2</v>
          </cell>
          <cell r="BL12" t="str">
            <v>2018-Q3</v>
          </cell>
          <cell r="BM12" t="str">
            <v>2018-Q4</v>
          </cell>
          <cell r="BN12" t="str">
            <v>2019-Q1</v>
          </cell>
          <cell r="BO12" t="str">
            <v>2019-Q2</v>
          </cell>
          <cell r="BP12" t="str">
            <v>2019-Q3</v>
          </cell>
          <cell r="BQ12" t="str">
            <v>2019-Q4</v>
          </cell>
          <cell r="BR12" t="str">
            <v>2020-Q1</v>
          </cell>
          <cell r="BS12" t="str">
            <v>2020-Q2</v>
          </cell>
          <cell r="BT12" t="str">
            <v>2020-Q3</v>
          </cell>
          <cell r="BU12" t="str">
            <v>2020-Q4</v>
          </cell>
          <cell r="BV12" t="str">
            <v>2021-Q1</v>
          </cell>
          <cell r="BW12" t="str">
            <v>2021-Q2</v>
          </cell>
          <cell r="BX12" t="str">
            <v>2021-Q3</v>
          </cell>
          <cell r="BY12" t="str">
            <v>2021-Q4</v>
          </cell>
          <cell r="BZ12" t="str">
            <v>2022-Q1</v>
          </cell>
          <cell r="CA12" t="str">
            <v>2022-Q2</v>
          </cell>
          <cell r="CB12" t="str">
            <v>2022-Q3</v>
          </cell>
          <cell r="CC12" t="str">
            <v>2022-Q4</v>
          </cell>
          <cell r="CD12" t="str">
            <v>2023-Q1</v>
          </cell>
          <cell r="CE12" t="str">
            <v>2023-Q2</v>
          </cell>
          <cell r="CF12" t="str">
            <v>2023-Q3</v>
          </cell>
          <cell r="CG12" t="str">
            <v>2023-Q4</v>
          </cell>
          <cell r="CH12" t="str">
            <v>2024-Q1</v>
          </cell>
          <cell r="CI12" t="str">
            <v>2024-Q2</v>
          </cell>
          <cell r="CJ12" t="str">
            <v>2024-Q3</v>
          </cell>
          <cell r="CK12" t="str">
            <v>2024-Q4</v>
          </cell>
          <cell r="CL12" t="str">
            <v>2025-Q1</v>
          </cell>
          <cell r="CM12" t="str">
            <v>2025-Q2</v>
          </cell>
          <cell r="CN12" t="str">
            <v>2025-Q3</v>
          </cell>
        </row>
        <row r="13"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</row>
        <row r="14">
          <cell r="B14" t="str">
            <v>:</v>
          </cell>
          <cell r="C14" t="str">
            <v>:</v>
          </cell>
          <cell r="D14" t="str">
            <v>:</v>
          </cell>
          <cell r="E14" t="str">
            <v>:</v>
          </cell>
          <cell r="F14" t="str">
            <v>:</v>
          </cell>
          <cell r="G14" t="str">
            <v>:</v>
          </cell>
          <cell r="H14" t="str">
            <v>:</v>
          </cell>
          <cell r="I14" t="str">
            <v>:</v>
          </cell>
          <cell r="J14" t="str">
            <v>:</v>
          </cell>
          <cell r="K14" t="str">
            <v>:</v>
          </cell>
          <cell r="L14" t="str">
            <v>:</v>
          </cell>
          <cell r="M14" t="str">
            <v>:</v>
          </cell>
          <cell r="N14" t="str">
            <v>:</v>
          </cell>
          <cell r="O14" t="str">
            <v>:</v>
          </cell>
          <cell r="P14" t="str">
            <v>:</v>
          </cell>
          <cell r="Q14" t="str">
            <v>:</v>
          </cell>
          <cell r="R14" t="str">
            <v>:</v>
          </cell>
          <cell r="S14" t="str">
            <v>:</v>
          </cell>
          <cell r="T14" t="str">
            <v>:</v>
          </cell>
          <cell r="U14" t="str">
            <v>:</v>
          </cell>
          <cell r="V14" t="str">
            <v>:</v>
          </cell>
          <cell r="W14" t="str">
            <v>:</v>
          </cell>
          <cell r="X14" t="str">
            <v>:</v>
          </cell>
          <cell r="Y14" t="str">
            <v>:</v>
          </cell>
          <cell r="Z14">
            <v>31.7</v>
          </cell>
          <cell r="AA14">
            <v>32</v>
          </cell>
          <cell r="AB14">
            <v>33.5</v>
          </cell>
          <cell r="AC14">
            <v>34.5</v>
          </cell>
          <cell r="AD14">
            <v>37.1</v>
          </cell>
          <cell r="AE14">
            <v>38.799999999999997</v>
          </cell>
          <cell r="AF14">
            <v>40.1</v>
          </cell>
          <cell r="AG14">
            <v>41.2</v>
          </cell>
          <cell r="AH14">
            <v>42.3</v>
          </cell>
          <cell r="AI14">
            <v>42.2</v>
          </cell>
          <cell r="AJ14">
            <v>42.7</v>
          </cell>
          <cell r="AK14">
            <v>43</v>
          </cell>
          <cell r="AL14">
            <v>43.2</v>
          </cell>
          <cell r="AM14">
            <v>43.6</v>
          </cell>
          <cell r="AN14">
            <v>44</v>
          </cell>
          <cell r="AO14">
            <v>44.9</v>
          </cell>
          <cell r="AP14">
            <v>45.8</v>
          </cell>
          <cell r="AQ14">
            <v>46</v>
          </cell>
          <cell r="AR14">
            <v>47.2</v>
          </cell>
          <cell r="AS14">
            <v>48.5</v>
          </cell>
          <cell r="AT14">
            <v>49</v>
          </cell>
          <cell r="AU14">
            <v>48.9</v>
          </cell>
          <cell r="AV14">
            <v>48.7</v>
          </cell>
          <cell r="AW14">
            <v>48.8</v>
          </cell>
          <cell r="AX14">
            <v>48.7</v>
          </cell>
          <cell r="AY14">
            <v>48.2</v>
          </cell>
          <cell r="AZ14">
            <v>47.2</v>
          </cell>
          <cell r="BA14">
            <v>47.2</v>
          </cell>
          <cell r="BB14">
            <v>46.7</v>
          </cell>
          <cell r="BC14">
            <v>46.5</v>
          </cell>
          <cell r="BD14">
            <v>45.7</v>
          </cell>
          <cell r="BE14">
            <v>45.6</v>
          </cell>
          <cell r="BF14">
            <v>45.3</v>
          </cell>
          <cell r="BG14">
            <v>44.8</v>
          </cell>
          <cell r="BH14">
            <v>44</v>
          </cell>
          <cell r="BI14">
            <v>43.3</v>
          </cell>
          <cell r="BJ14">
            <v>43.4</v>
          </cell>
          <cell r="BK14">
            <v>43.1</v>
          </cell>
          <cell r="BL14">
            <v>42</v>
          </cell>
          <cell r="BM14">
            <v>40.799999999999997</v>
          </cell>
          <cell r="BN14">
            <v>40.1</v>
          </cell>
          <cell r="BO14">
            <v>39.6</v>
          </cell>
          <cell r="BP14">
            <v>39.6</v>
          </cell>
          <cell r="BQ14">
            <v>38.4</v>
          </cell>
          <cell r="BR14">
            <v>36.5</v>
          </cell>
          <cell r="BS14">
            <v>29.8</v>
          </cell>
          <cell r="BT14">
            <v>33.1</v>
          </cell>
          <cell r="BU14">
            <v>35.6</v>
          </cell>
          <cell r="BV14">
            <v>36.5</v>
          </cell>
          <cell r="BW14">
            <v>39.1</v>
          </cell>
          <cell r="BX14">
            <v>40.5</v>
          </cell>
          <cell r="BY14">
            <v>40.6</v>
          </cell>
          <cell r="BZ14">
            <v>40.799999999999997</v>
          </cell>
          <cell r="CA14">
            <v>39.4</v>
          </cell>
          <cell r="CB14">
            <v>37.6</v>
          </cell>
          <cell r="CC14">
            <v>36.299999999999997</v>
          </cell>
          <cell r="CD14">
            <v>36.200000000000003</v>
          </cell>
          <cell r="CE14">
            <v>35.299999999999997</v>
          </cell>
          <cell r="CF14">
            <v>34.799999999999997</v>
          </cell>
          <cell r="CG14">
            <v>33.9</v>
          </cell>
          <cell r="CH14">
            <v>33.700000000000003</v>
          </cell>
          <cell r="CI14">
            <v>32.6</v>
          </cell>
          <cell r="CJ14">
            <v>31.3</v>
          </cell>
          <cell r="CK14">
            <v>31.3</v>
          </cell>
          <cell r="CL14">
            <v>31.2</v>
          </cell>
          <cell r="CM14">
            <v>31.7</v>
          </cell>
          <cell r="CN14">
            <v>31.3</v>
          </cell>
        </row>
        <row r="15">
          <cell r="B15" t="str">
            <v>:</v>
          </cell>
          <cell r="C15" t="str">
            <v>:</v>
          </cell>
          <cell r="D15" t="str">
            <v>:</v>
          </cell>
          <cell r="E15" t="str">
            <v>:</v>
          </cell>
          <cell r="F15" t="str">
            <v>:</v>
          </cell>
          <cell r="G15" t="str">
            <v>:</v>
          </cell>
          <cell r="H15" t="str">
            <v>:</v>
          </cell>
          <cell r="I15" t="str">
            <v>:</v>
          </cell>
          <cell r="J15" t="str">
            <v>:</v>
          </cell>
          <cell r="K15" t="str">
            <v>:</v>
          </cell>
          <cell r="L15" t="str">
            <v>:</v>
          </cell>
          <cell r="M15" t="str">
            <v>:</v>
          </cell>
          <cell r="N15" t="str">
            <v>:</v>
          </cell>
          <cell r="O15" t="str">
            <v>:</v>
          </cell>
          <cell r="P15" t="str">
            <v>:</v>
          </cell>
          <cell r="Q15" t="str">
            <v>:</v>
          </cell>
          <cell r="R15" t="str">
            <v>:</v>
          </cell>
          <cell r="S15" t="str">
            <v>:</v>
          </cell>
          <cell r="T15" t="str">
            <v>:</v>
          </cell>
          <cell r="U15" t="str">
            <v>:</v>
          </cell>
          <cell r="V15" t="str">
            <v>:</v>
          </cell>
          <cell r="W15" t="str">
            <v>:</v>
          </cell>
          <cell r="X15" t="str">
            <v>:</v>
          </cell>
          <cell r="Y15" t="str">
            <v>:</v>
          </cell>
          <cell r="Z15">
            <v>49.8</v>
          </cell>
          <cell r="AA15">
            <v>48.7</v>
          </cell>
          <cell r="AB15">
            <v>48.5</v>
          </cell>
          <cell r="AC15">
            <v>48.4</v>
          </cell>
          <cell r="AD15">
            <v>50.4</v>
          </cell>
          <cell r="AE15">
            <v>51.5</v>
          </cell>
          <cell r="AF15">
            <v>50.6</v>
          </cell>
          <cell r="AG15">
            <v>51</v>
          </cell>
          <cell r="AH15">
            <v>53.3</v>
          </cell>
          <cell r="AI15">
            <v>51.9</v>
          </cell>
          <cell r="AJ15">
            <v>51.7</v>
          </cell>
          <cell r="AK15">
            <v>49.7</v>
          </cell>
          <cell r="AL15">
            <v>50.7</v>
          </cell>
          <cell r="AM15">
            <v>49.8</v>
          </cell>
          <cell r="AN15">
            <v>49.3</v>
          </cell>
          <cell r="AO15">
            <v>46</v>
          </cell>
          <cell r="AP15">
            <v>48.1</v>
          </cell>
          <cell r="AQ15">
            <v>48.2</v>
          </cell>
          <cell r="AR15">
            <v>47.5</v>
          </cell>
          <cell r="AS15">
            <v>49</v>
          </cell>
          <cell r="AT15">
            <v>49.8</v>
          </cell>
          <cell r="AU15">
            <v>48.7</v>
          </cell>
          <cell r="AV15">
            <v>45.6</v>
          </cell>
          <cell r="AW15">
            <v>46.6</v>
          </cell>
          <cell r="AX15">
            <v>48.3</v>
          </cell>
          <cell r="AY15">
            <v>48.4</v>
          </cell>
          <cell r="AZ15">
            <v>45.8</v>
          </cell>
          <cell r="BA15">
            <v>46.2</v>
          </cell>
          <cell r="BB15">
            <v>43.7</v>
          </cell>
          <cell r="BC15">
            <v>44.9</v>
          </cell>
          <cell r="BD15">
            <v>44</v>
          </cell>
          <cell r="BE15">
            <v>43.8</v>
          </cell>
          <cell r="BF15">
            <v>46.3</v>
          </cell>
          <cell r="BG15">
            <v>45.6</v>
          </cell>
          <cell r="BH15">
            <v>44</v>
          </cell>
          <cell r="BI15">
            <v>44.2</v>
          </cell>
          <cell r="BJ15">
            <v>45.9</v>
          </cell>
          <cell r="BK15">
            <v>44</v>
          </cell>
          <cell r="BL15">
            <v>43.5</v>
          </cell>
          <cell r="BM15">
            <v>43.3</v>
          </cell>
          <cell r="BN15">
            <v>42.9</v>
          </cell>
          <cell r="BO15">
            <v>42.3</v>
          </cell>
          <cell r="BP15">
            <v>40.6</v>
          </cell>
          <cell r="BQ15">
            <v>37.700000000000003</v>
          </cell>
          <cell r="BR15" t="str">
            <v>:</v>
          </cell>
          <cell r="BS15" t="str">
            <v>:</v>
          </cell>
          <cell r="BT15" t="str">
            <v>:</v>
          </cell>
          <cell r="BU15" t="str">
            <v>:</v>
          </cell>
          <cell r="BV15">
            <v>30</v>
          </cell>
          <cell r="BW15">
            <v>33.1</v>
          </cell>
          <cell r="BX15">
            <v>35</v>
          </cell>
          <cell r="BY15">
            <v>33.200000000000003</v>
          </cell>
          <cell r="BZ15">
            <v>36.299999999999997</v>
          </cell>
          <cell r="CA15">
            <v>34.9</v>
          </cell>
          <cell r="CB15">
            <v>32.200000000000003</v>
          </cell>
          <cell r="CC15">
            <v>31</v>
          </cell>
          <cell r="CD15">
            <v>32.5</v>
          </cell>
          <cell r="CE15">
            <v>32.1</v>
          </cell>
          <cell r="CF15">
            <v>29.5</v>
          </cell>
          <cell r="CG15">
            <v>30.2</v>
          </cell>
          <cell r="CH15">
            <v>29.7</v>
          </cell>
          <cell r="CI15">
            <v>27.6</v>
          </cell>
          <cell r="CJ15">
            <v>26.7</v>
          </cell>
          <cell r="CK15">
            <v>27.2</v>
          </cell>
          <cell r="CL15">
            <v>24.4</v>
          </cell>
          <cell r="CM15">
            <v>28</v>
          </cell>
          <cell r="CN15">
            <v>27.1</v>
          </cell>
        </row>
        <row r="16">
          <cell r="B16" t="str">
            <v>:</v>
          </cell>
          <cell r="C16" t="str">
            <v>:</v>
          </cell>
          <cell r="D16" t="str">
            <v>:</v>
          </cell>
          <cell r="E16" t="str">
            <v>:</v>
          </cell>
          <cell r="F16" t="str">
            <v>:</v>
          </cell>
          <cell r="G16" t="str">
            <v>:</v>
          </cell>
          <cell r="H16" t="str">
            <v>:</v>
          </cell>
          <cell r="I16" t="str">
            <v>:</v>
          </cell>
          <cell r="J16" t="str">
            <v>:</v>
          </cell>
          <cell r="K16" t="str">
            <v>:</v>
          </cell>
          <cell r="L16" t="str">
            <v>:</v>
          </cell>
          <cell r="M16" t="str">
            <v>:</v>
          </cell>
          <cell r="N16" t="str">
            <v>:</v>
          </cell>
          <cell r="O16" t="str">
            <v>:</v>
          </cell>
          <cell r="P16" t="str">
            <v>:</v>
          </cell>
          <cell r="Q16" t="str">
            <v>:</v>
          </cell>
          <cell r="R16" t="str">
            <v>:</v>
          </cell>
          <cell r="S16" t="str">
            <v>:</v>
          </cell>
          <cell r="T16" t="str">
            <v>:</v>
          </cell>
          <cell r="U16" t="str">
            <v>:</v>
          </cell>
          <cell r="V16" t="str">
            <v>:</v>
          </cell>
          <cell r="W16" t="str">
            <v>:</v>
          </cell>
          <cell r="X16" t="str">
            <v>:</v>
          </cell>
          <cell r="Y16" t="str">
            <v>:</v>
          </cell>
          <cell r="Z16">
            <v>36.6</v>
          </cell>
          <cell r="AA16">
            <v>36.1</v>
          </cell>
          <cell r="AB16">
            <v>36.200000000000003</v>
          </cell>
          <cell r="AC16">
            <v>37.5</v>
          </cell>
          <cell r="AD16">
            <v>39.200000000000003</v>
          </cell>
          <cell r="AE16">
            <v>39.5</v>
          </cell>
          <cell r="AF16">
            <v>40.200000000000003</v>
          </cell>
          <cell r="AG16">
            <v>41.2</v>
          </cell>
          <cell r="AH16">
            <v>41.3</v>
          </cell>
          <cell r="AI16">
            <v>43.7</v>
          </cell>
          <cell r="AJ16">
            <v>45.1</v>
          </cell>
          <cell r="AK16">
            <v>46.8</v>
          </cell>
          <cell r="AL16">
            <v>50</v>
          </cell>
          <cell r="AM16">
            <v>51.3</v>
          </cell>
          <cell r="AN16">
            <v>53.5</v>
          </cell>
          <cell r="AO16">
            <v>56.6</v>
          </cell>
          <cell r="AP16">
            <v>58</v>
          </cell>
          <cell r="AQ16">
            <v>58.4</v>
          </cell>
          <cell r="AR16">
            <v>61.2</v>
          </cell>
          <cell r="AS16">
            <v>63.3</v>
          </cell>
          <cell r="AT16">
            <v>65.2</v>
          </cell>
          <cell r="AU16">
            <v>66.099999999999994</v>
          </cell>
          <cell r="AV16">
            <v>66.3</v>
          </cell>
          <cell r="AW16">
            <v>65.900000000000006</v>
          </cell>
          <cell r="AX16">
            <v>65.7</v>
          </cell>
          <cell r="AY16">
            <v>65.2</v>
          </cell>
          <cell r="AZ16">
            <v>64.7</v>
          </cell>
          <cell r="BA16">
            <v>66.8</v>
          </cell>
          <cell r="BB16">
            <v>64.7</v>
          </cell>
          <cell r="BC16">
            <v>64.599999999999994</v>
          </cell>
          <cell r="BD16">
            <v>64.900000000000006</v>
          </cell>
          <cell r="BE16">
            <v>64.7</v>
          </cell>
          <cell r="BF16">
            <v>64.5</v>
          </cell>
          <cell r="BG16">
            <v>65.7</v>
          </cell>
          <cell r="BH16">
            <v>66.2</v>
          </cell>
          <cell r="BI16">
            <v>64.900000000000006</v>
          </cell>
          <cell r="BJ16">
            <v>63.5</v>
          </cell>
          <cell r="BK16">
            <v>64.3</v>
          </cell>
          <cell r="BL16">
            <v>62.9</v>
          </cell>
          <cell r="BM16">
            <v>62.6</v>
          </cell>
          <cell r="BN16">
            <v>60.2</v>
          </cell>
          <cell r="BO16">
            <v>63.9</v>
          </cell>
          <cell r="BP16">
            <v>64.099999999999994</v>
          </cell>
          <cell r="BQ16">
            <v>64.5</v>
          </cell>
          <cell r="BR16">
            <v>65.3</v>
          </cell>
          <cell r="BS16">
            <v>59.7</v>
          </cell>
          <cell r="BT16">
            <v>54.3</v>
          </cell>
          <cell r="BU16">
            <v>59.9</v>
          </cell>
          <cell r="BV16">
            <v>61.2</v>
          </cell>
          <cell r="BW16">
            <v>61.1</v>
          </cell>
          <cell r="BX16">
            <v>62.9</v>
          </cell>
          <cell r="BY16">
            <v>64.400000000000006</v>
          </cell>
          <cell r="BZ16">
            <v>61.4</v>
          </cell>
          <cell r="CA16">
            <v>63.1</v>
          </cell>
          <cell r="CB16">
            <v>61.1</v>
          </cell>
          <cell r="CC16">
            <v>62.2</v>
          </cell>
          <cell r="CD16">
            <v>54</v>
          </cell>
          <cell r="CE16">
            <v>61.5</v>
          </cell>
          <cell r="CF16">
            <v>59.5</v>
          </cell>
          <cell r="CG16">
            <v>48.7</v>
          </cell>
          <cell r="CH16">
            <v>53.4</v>
          </cell>
          <cell r="CI16">
            <v>53.7</v>
          </cell>
          <cell r="CJ16">
            <v>54.9</v>
          </cell>
          <cell r="CK16">
            <v>53.5</v>
          </cell>
          <cell r="CL16">
            <v>53.5</v>
          </cell>
          <cell r="CM16">
            <v>55</v>
          </cell>
          <cell r="CN16">
            <v>55.6</v>
          </cell>
        </row>
        <row r="17">
          <cell r="B17" t="str">
            <v>:</v>
          </cell>
          <cell r="C17" t="str">
            <v>:</v>
          </cell>
          <cell r="D17" t="str">
            <v>:</v>
          </cell>
          <cell r="E17" t="str">
            <v>:</v>
          </cell>
          <cell r="F17" t="str">
            <v>:</v>
          </cell>
          <cell r="G17" t="str">
            <v>:</v>
          </cell>
          <cell r="H17" t="str">
            <v>:</v>
          </cell>
          <cell r="I17" t="str">
            <v>:</v>
          </cell>
          <cell r="J17" t="str">
            <v>:</v>
          </cell>
          <cell r="K17" t="str">
            <v>:</v>
          </cell>
          <cell r="L17" t="str">
            <v>:</v>
          </cell>
          <cell r="M17" t="str">
            <v>:</v>
          </cell>
          <cell r="N17" t="str">
            <v>:</v>
          </cell>
          <cell r="O17" t="str">
            <v>:</v>
          </cell>
          <cell r="P17" t="str">
            <v>:</v>
          </cell>
          <cell r="Q17" t="str">
            <v>:</v>
          </cell>
          <cell r="R17" t="str">
            <v>:</v>
          </cell>
          <cell r="S17" t="str">
            <v>:</v>
          </cell>
          <cell r="T17" t="str">
            <v>:</v>
          </cell>
          <cell r="U17" t="str">
            <v>:</v>
          </cell>
          <cell r="V17" t="str">
            <v>:</v>
          </cell>
          <cell r="W17" t="str">
            <v>:</v>
          </cell>
          <cell r="X17" t="str">
            <v>:</v>
          </cell>
          <cell r="Y17" t="str">
            <v>:</v>
          </cell>
          <cell r="Z17">
            <v>18.8</v>
          </cell>
          <cell r="AA17">
            <v>21.7</v>
          </cell>
          <cell r="AB17">
            <v>25.2</v>
          </cell>
          <cell r="AC17">
            <v>28.8</v>
          </cell>
          <cell r="AD17">
            <v>32.9</v>
          </cell>
          <cell r="AE17">
            <v>36.1</v>
          </cell>
          <cell r="AF17">
            <v>37.700000000000003</v>
          </cell>
          <cell r="AG17">
            <v>39.799999999999997</v>
          </cell>
          <cell r="AH17">
            <v>40.799999999999997</v>
          </cell>
          <cell r="AI17">
            <v>40.700000000000003</v>
          </cell>
          <cell r="AJ17">
            <v>41.7</v>
          </cell>
          <cell r="AK17">
            <v>42.8</v>
          </cell>
          <cell r="AL17">
            <v>42.5</v>
          </cell>
          <cell r="AM17">
            <v>43.9</v>
          </cell>
          <cell r="AN17">
            <v>44.6</v>
          </cell>
          <cell r="AO17">
            <v>46.5</v>
          </cell>
          <cell r="AP17">
            <v>47.7</v>
          </cell>
          <cell r="AQ17">
            <v>49.1</v>
          </cell>
          <cell r="AR17">
            <v>50.3</v>
          </cell>
          <cell r="AS17">
            <v>51.8</v>
          </cell>
          <cell r="AT17">
            <v>53</v>
          </cell>
          <cell r="AU17">
            <v>52.4</v>
          </cell>
          <cell r="AV17">
            <v>53.1</v>
          </cell>
          <cell r="AW17">
            <v>52.9</v>
          </cell>
          <cell r="AX17">
            <v>53</v>
          </cell>
          <cell r="AY17">
            <v>52.3</v>
          </cell>
          <cell r="AZ17">
            <v>50.8</v>
          </cell>
          <cell r="BA17">
            <v>50.1</v>
          </cell>
          <cell r="BB17">
            <v>49</v>
          </cell>
          <cell r="BC17">
            <v>48.7</v>
          </cell>
          <cell r="BD17">
            <v>48.2</v>
          </cell>
          <cell r="BE17">
            <v>47.6</v>
          </cell>
          <cell r="BF17">
            <v>46.3</v>
          </cell>
          <cell r="BG17">
            <v>45.1</v>
          </cell>
          <cell r="BH17">
            <v>43.5</v>
          </cell>
          <cell r="BI17">
            <v>42.7</v>
          </cell>
          <cell r="BJ17">
            <v>42.5</v>
          </cell>
          <cell r="BK17">
            <v>42.9</v>
          </cell>
          <cell r="BL17">
            <v>42.1</v>
          </cell>
          <cell r="BM17">
            <v>39.299999999999997</v>
          </cell>
          <cell r="BN17">
            <v>38.5</v>
          </cell>
          <cell r="BO17">
            <v>38.4</v>
          </cell>
          <cell r="BP17">
            <v>38</v>
          </cell>
          <cell r="BQ17">
            <v>36.5</v>
          </cell>
          <cell r="BR17">
            <v>34.799999999999997</v>
          </cell>
          <cell r="BS17">
            <v>26.6</v>
          </cell>
          <cell r="BT17">
            <v>31.7</v>
          </cell>
          <cell r="BU17">
            <v>35.299999999999997</v>
          </cell>
          <cell r="BV17">
            <v>39.1</v>
          </cell>
          <cell r="BW17">
            <v>42.5</v>
          </cell>
          <cell r="BX17">
            <v>42.5</v>
          </cell>
          <cell r="BY17">
            <v>42.7</v>
          </cell>
          <cell r="BZ17">
            <v>41.6</v>
          </cell>
          <cell r="CA17">
            <v>40</v>
          </cell>
          <cell r="CB17">
            <v>37.700000000000003</v>
          </cell>
          <cell r="CC17">
            <v>36.799999999999997</v>
          </cell>
          <cell r="CD17">
            <v>35.9</v>
          </cell>
          <cell r="CE17">
            <v>33.799999999999997</v>
          </cell>
          <cell r="CF17">
            <v>35.299999999999997</v>
          </cell>
          <cell r="CG17">
            <v>34.9</v>
          </cell>
          <cell r="CH17">
            <v>33.700000000000003</v>
          </cell>
          <cell r="CI17">
            <v>33.4</v>
          </cell>
          <cell r="CJ17">
            <v>33.9</v>
          </cell>
          <cell r="CK17">
            <v>32.799999999999997</v>
          </cell>
          <cell r="CL17">
            <v>33.200000000000003</v>
          </cell>
          <cell r="CM17">
            <v>32.700000000000003</v>
          </cell>
          <cell r="CN17">
            <v>31.4</v>
          </cell>
        </row>
        <row r="18">
          <cell r="B18">
            <v>25.5</v>
          </cell>
          <cell r="C18">
            <v>26.1</v>
          </cell>
          <cell r="D18">
            <v>25.8</v>
          </cell>
          <cell r="E18">
            <v>26.9</v>
          </cell>
          <cell r="F18">
            <v>25.6</v>
          </cell>
          <cell r="G18">
            <v>25.5</v>
          </cell>
          <cell r="H18">
            <v>25.7</v>
          </cell>
          <cell r="I18">
            <v>27.7</v>
          </cell>
          <cell r="J18">
            <v>27.5</v>
          </cell>
          <cell r="K18">
            <v>27.7</v>
          </cell>
          <cell r="L18">
            <v>27.1</v>
          </cell>
          <cell r="M18">
            <v>25.1</v>
          </cell>
          <cell r="N18">
            <v>26.2</v>
          </cell>
          <cell r="O18">
            <v>27.7</v>
          </cell>
          <cell r="P18">
            <v>27.5</v>
          </cell>
          <cell r="Q18">
            <v>28.3</v>
          </cell>
          <cell r="R18">
            <v>27.4</v>
          </cell>
          <cell r="S18">
            <v>25.3</v>
          </cell>
          <cell r="T18">
            <v>25.4</v>
          </cell>
          <cell r="U18">
            <v>24.8</v>
          </cell>
          <cell r="V18">
            <v>26.3</v>
          </cell>
          <cell r="W18">
            <v>25.8</v>
          </cell>
          <cell r="X18">
            <v>23.2</v>
          </cell>
          <cell r="Y18">
            <v>21</v>
          </cell>
          <cell r="Z18">
            <v>19.899999999999999</v>
          </cell>
          <cell r="AA18">
            <v>21.4</v>
          </cell>
          <cell r="AB18">
            <v>22.5</v>
          </cell>
          <cell r="AC18">
            <v>24.2</v>
          </cell>
          <cell r="AD18">
            <v>25.9</v>
          </cell>
          <cell r="AE18">
            <v>25.7</v>
          </cell>
          <cell r="AF18">
            <v>25.6</v>
          </cell>
          <cell r="AG18">
            <v>26.1</v>
          </cell>
          <cell r="AH18">
            <v>26.2</v>
          </cell>
          <cell r="AI18">
            <v>26.6</v>
          </cell>
          <cell r="AJ18">
            <v>27.6</v>
          </cell>
          <cell r="AK18">
            <v>27.4</v>
          </cell>
          <cell r="AL18">
            <v>26.8</v>
          </cell>
          <cell r="AM18">
            <v>26</v>
          </cell>
          <cell r="AN18">
            <v>26.4</v>
          </cell>
          <cell r="AO18">
            <v>26.6</v>
          </cell>
          <cell r="AP18">
            <v>26.3</v>
          </cell>
          <cell r="AQ18">
            <v>26.6</v>
          </cell>
          <cell r="AR18">
            <v>27.2</v>
          </cell>
          <cell r="AS18">
            <v>29.3</v>
          </cell>
          <cell r="AT18">
            <v>28.8</v>
          </cell>
          <cell r="AU18">
            <v>29.5</v>
          </cell>
          <cell r="AV18">
            <v>29.8</v>
          </cell>
          <cell r="AW18">
            <v>29.7</v>
          </cell>
          <cell r="AX18">
            <v>29.4</v>
          </cell>
          <cell r="AY18">
            <v>29.4</v>
          </cell>
          <cell r="AZ18">
            <v>29.6</v>
          </cell>
          <cell r="BA18">
            <v>30.1</v>
          </cell>
          <cell r="BB18">
            <v>30.3</v>
          </cell>
          <cell r="BC18">
            <v>31.1</v>
          </cell>
          <cell r="BD18">
            <v>31.3</v>
          </cell>
          <cell r="BE18">
            <v>30.8</v>
          </cell>
          <cell r="BF18">
            <v>30.9</v>
          </cell>
          <cell r="BG18">
            <v>30.8</v>
          </cell>
          <cell r="BH18">
            <v>31.8</v>
          </cell>
          <cell r="BI18">
            <v>29.5</v>
          </cell>
          <cell r="BJ18">
            <v>28.1</v>
          </cell>
          <cell r="BK18">
            <v>28.1</v>
          </cell>
          <cell r="BL18">
            <v>27.6</v>
          </cell>
          <cell r="BM18">
            <v>27.5</v>
          </cell>
          <cell r="BN18">
            <v>27</v>
          </cell>
          <cell r="BO18">
            <v>26.5</v>
          </cell>
          <cell r="BP18">
            <v>26.9</v>
          </cell>
          <cell r="BQ18">
            <v>26.1</v>
          </cell>
          <cell r="BR18">
            <v>25.2</v>
          </cell>
          <cell r="BS18">
            <v>19.8</v>
          </cell>
          <cell r="BT18">
            <v>24.5</v>
          </cell>
          <cell r="BU18">
            <v>25.7</v>
          </cell>
          <cell r="BV18">
            <v>30.2</v>
          </cell>
          <cell r="BW18">
            <v>29.5</v>
          </cell>
          <cell r="BX18">
            <v>29.8</v>
          </cell>
          <cell r="BY18">
            <v>28.5</v>
          </cell>
          <cell r="BZ18">
            <v>29.9</v>
          </cell>
          <cell r="CA18">
            <v>27.3</v>
          </cell>
          <cell r="CB18">
            <v>26.9</v>
          </cell>
          <cell r="CC18">
            <v>25.5</v>
          </cell>
          <cell r="CD18">
            <v>25.7</v>
          </cell>
          <cell r="CE18">
            <v>25.1</v>
          </cell>
          <cell r="CF18">
            <v>23.4</v>
          </cell>
          <cell r="CG18">
            <v>23.8</v>
          </cell>
          <cell r="CH18">
            <v>23.1</v>
          </cell>
          <cell r="CI18">
            <v>23.1</v>
          </cell>
          <cell r="CJ18">
            <v>22.1</v>
          </cell>
          <cell r="CK18">
            <v>23.6</v>
          </cell>
          <cell r="CL18">
            <v>22.1</v>
          </cell>
          <cell r="CM18">
            <v>22.5</v>
          </cell>
          <cell r="CN18">
            <v>23.4</v>
          </cell>
        </row>
        <row r="19">
          <cell r="B19" t="str">
            <v>:</v>
          </cell>
          <cell r="C19" t="str">
            <v>:</v>
          </cell>
          <cell r="D19" t="str">
            <v>:</v>
          </cell>
          <cell r="E19" t="str">
            <v>:</v>
          </cell>
          <cell r="F19" t="str">
            <v>:</v>
          </cell>
          <cell r="G19" t="str">
            <v>:</v>
          </cell>
          <cell r="H19" t="str">
            <v>:</v>
          </cell>
          <cell r="I19" t="str">
            <v>:</v>
          </cell>
          <cell r="J19" t="str">
            <v>:</v>
          </cell>
          <cell r="K19" t="str">
            <v>:</v>
          </cell>
          <cell r="L19" t="str">
            <v>:</v>
          </cell>
          <cell r="M19" t="str">
            <v>:</v>
          </cell>
          <cell r="N19" t="str">
            <v>:</v>
          </cell>
          <cell r="O19" t="str">
            <v>:</v>
          </cell>
          <cell r="P19" t="str">
            <v>:</v>
          </cell>
          <cell r="Q19" t="str">
            <v>:</v>
          </cell>
          <cell r="R19" t="str">
            <v>:</v>
          </cell>
          <cell r="S19" t="str">
            <v>:</v>
          </cell>
          <cell r="T19" t="str">
            <v>:</v>
          </cell>
          <cell r="U19" t="str">
            <v>:</v>
          </cell>
          <cell r="V19" t="str">
            <v>:</v>
          </cell>
          <cell r="W19" t="str">
            <v>:</v>
          </cell>
          <cell r="X19" t="str">
            <v>:</v>
          </cell>
          <cell r="Y19" t="str">
            <v>:</v>
          </cell>
          <cell r="Z19">
            <v>43</v>
          </cell>
          <cell r="AA19">
            <v>45.8</v>
          </cell>
          <cell r="AB19">
            <v>47.9</v>
          </cell>
          <cell r="AC19">
            <v>48.5</v>
          </cell>
          <cell r="AD19">
            <v>49</v>
          </cell>
          <cell r="AE19">
            <v>49.5</v>
          </cell>
          <cell r="AF19">
            <v>52.4</v>
          </cell>
          <cell r="AG19">
            <v>51.2</v>
          </cell>
          <cell r="AH19">
            <v>53.6</v>
          </cell>
          <cell r="AI19">
            <v>53.8</v>
          </cell>
          <cell r="AJ19">
            <v>55.6</v>
          </cell>
          <cell r="AK19">
            <v>53.6</v>
          </cell>
          <cell r="AL19">
            <v>52.5</v>
          </cell>
          <cell r="AM19">
            <v>54.5</v>
          </cell>
          <cell r="AN19">
            <v>56</v>
          </cell>
          <cell r="AO19">
            <v>58.1</v>
          </cell>
          <cell r="AP19">
            <v>59.8</v>
          </cell>
          <cell r="AQ19">
            <v>57.8</v>
          </cell>
          <cell r="AR19">
            <v>59.2</v>
          </cell>
          <cell r="AS19">
            <v>61.4</v>
          </cell>
          <cell r="AT19">
            <v>63.9</v>
          </cell>
          <cell r="AU19">
            <v>64.099999999999994</v>
          </cell>
          <cell r="AV19">
            <v>64.3</v>
          </cell>
          <cell r="AW19">
            <v>63.9</v>
          </cell>
          <cell r="AX19">
            <v>62.4</v>
          </cell>
          <cell r="AY19">
            <v>61.6</v>
          </cell>
          <cell r="AZ19">
            <v>60.1</v>
          </cell>
          <cell r="BA19">
            <v>61.4</v>
          </cell>
          <cell r="BB19">
            <v>62.1</v>
          </cell>
          <cell r="BC19">
            <v>60.9</v>
          </cell>
          <cell r="BD19">
            <v>59</v>
          </cell>
          <cell r="BE19">
            <v>60</v>
          </cell>
          <cell r="BF19">
            <v>60.8</v>
          </cell>
          <cell r="BG19">
            <v>62</v>
          </cell>
          <cell r="BH19">
            <v>60.4</v>
          </cell>
          <cell r="BI19">
            <v>61</v>
          </cell>
          <cell r="BJ19">
            <v>62.7</v>
          </cell>
          <cell r="BK19">
            <v>61.6</v>
          </cell>
          <cell r="BL19">
            <v>62.1</v>
          </cell>
          <cell r="BM19">
            <v>58.4</v>
          </cell>
          <cell r="BN19">
            <v>58.6</v>
          </cell>
          <cell r="BO19">
            <v>58.3</v>
          </cell>
          <cell r="BP19">
            <v>60.3</v>
          </cell>
          <cell r="BQ19">
            <v>58.8</v>
          </cell>
          <cell r="BR19">
            <v>57.6</v>
          </cell>
          <cell r="BS19">
            <v>48.2</v>
          </cell>
          <cell r="BT19">
            <v>53.6</v>
          </cell>
          <cell r="BU19">
            <v>56.6</v>
          </cell>
          <cell r="BV19">
            <v>52.9</v>
          </cell>
          <cell r="BW19">
            <v>56.9</v>
          </cell>
          <cell r="BX19">
            <v>58.1</v>
          </cell>
          <cell r="BY19">
            <v>59.6</v>
          </cell>
          <cell r="BZ19">
            <v>60.4</v>
          </cell>
          <cell r="CA19">
            <v>58.3</v>
          </cell>
          <cell r="CB19">
            <v>56.4</v>
          </cell>
          <cell r="CC19">
            <v>54</v>
          </cell>
          <cell r="CD19">
            <v>55.4</v>
          </cell>
          <cell r="CE19">
            <v>54.5</v>
          </cell>
          <cell r="CF19">
            <v>55.3</v>
          </cell>
          <cell r="CG19">
            <v>54.2</v>
          </cell>
          <cell r="CH19">
            <v>55.1</v>
          </cell>
          <cell r="CI19">
            <v>51.8</v>
          </cell>
          <cell r="CJ19">
            <v>45.6</v>
          </cell>
          <cell r="CK19">
            <v>47.9</v>
          </cell>
          <cell r="CL19">
            <v>48.3</v>
          </cell>
          <cell r="CM19">
            <v>49.6</v>
          </cell>
          <cell r="CN19">
            <v>51.8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Timothee Dangleterre" id="{E0F60C48-9375-0B4A-8578-0334C1C9071A}" userId="S::timothee.dangleterre@dauphine.eu::0adf911e-ba46-4cea-8cef-a3dbe237bb4d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2-22T21:01:04.78" personId="{E0F60C48-9375-0B4A-8578-0334C1C9071A}" id="{78C80B45-7F86-1D48-845D-369F96715558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F1" dT="2026-02-09T16:58:18.17" personId="{E0F60C48-9375-0B4A-8578-0334C1C9071A}" id="{33317A82-6E45-254A-9E21-10F522E260A4}">
    <text xml:space="preserve">Eurostat/STS_INPR_M/M.PRD.B_C_X_FD_MIG_NRG.SCA.I10.DE+ES+IT+FR+EL
</text>
  </threadedComment>
  <threadedComment ref="F1" dT="2026-02-22T17:18:09.87" personId="{E0F60C48-9375-0B4A-8578-0334C1C9071A}" id="{E7918C8D-D605-F440-A7CE-AB761FFA3800}" parentId="{33317A82-6E45-254A-9E21-10F522E260A4}">
    <text>Nouvelle source (BDF) : 
https://webstat.banque-france.fr/en/catalog/sts/STS.M.DE.Y.PROD.NS0020.4.000</text>
    <extLst>
      <x:ext xmlns:xltc2="http://schemas.microsoft.com/office/spreadsheetml/2020/threadedcomments2" uri="{F7C98A9C-CBB3-438F-8F68-D28B6AF4A901}">
        <xltc2:checksum>2587719474</xltc2:checksum>
        <xltc2:hyperlink startIndex="25" length="76" url="https://webstat.banque-france.fr/en/catalog/sts/STS.M.DE.Y.PROD.NS0020.4.000"/>
      </x:ext>
    </extLst>
  </threadedComment>
  <threadedComment ref="G1" dT="2026-02-22T16:14:00.08" personId="{E0F60C48-9375-0B4A-8578-0334C1C9071A}" id="{3D720DD2-4D59-104E-8F5B-E2C4C5569672}">
    <text>Eurostat: https://ec.europa.eu/eurostat/databrowser/view/sts_intv_m__custom_20212487/default/table</text>
    <extLst>
      <x:ext xmlns:xltc2="http://schemas.microsoft.com/office/spreadsheetml/2020/threadedcomments2" uri="{F7C98A9C-CBB3-438F-8F68-D28B6AF4A901}">
        <xltc2:checksum>289947849</xltc2:checksum>
        <xltc2:hyperlink startIndex="10" length="88" url="https://ec.europa.eu/eurostat/databrowser/view/sts_intv_m__custom_20212487/default/table"/>
      </x:ext>
    </extLst>
  </threadedComment>
  <threadedComment ref="I1" dT="2026-02-09T17:09:30.06" personId="{E0F60C48-9375-0B4A-8578-0334C1C9071A}" id="{DFAC96D5-C8CE-5041-BDBC-495540D4CFCE}">
    <text xml:space="preserve">'OECD/KEI/SLRTTO01.DEU.ST.M', ...
    'OECD/KEI/SLRTTO01.ESP.ST.M', ...
    'OECD/KEI/SLRTTO01.ITA.ST.M', ...
    'OECD/KEI/SLRTTO01.FRA.ST.M', ...
    'OECD/KEI/SLRTTO01.GRC.ST.M'
</text>
  </threadedComment>
  <threadedComment ref="I1" dT="2026-02-22T17:21:11.86" personId="{E0F60C48-9375-0B4A-8578-0334C1C9071A}" id="{BBEBB443-31AC-5B48-ADF5-15DFA1F00211}" parentId="{DFAC96D5-C8CE-5041-BDBC-495540D4CFCE}">
    <text xml:space="preserve">Source BDF (utilisée) : https://webstat.banque-france.fr/en/catalog/sts/STS.M.DE.Y.TOVV.NS4701.4.000
</text>
    <extLst>
      <x:ext xmlns:xltc2="http://schemas.microsoft.com/office/spreadsheetml/2020/threadedcomments2" uri="{F7C98A9C-CBB3-438F-8F68-D28B6AF4A901}">
        <xltc2:checksum>1477247759</xltc2:checksum>
        <xltc2:hyperlink startIndex="24" length="76" url="https://webstat.banque-france.fr/en/catalog/sts/STS.M.DE.Y.TOVV.NS4701.4.000"/>
      </x:ext>
    </extLst>
  </threadedComment>
  <threadedComment ref="K1" dT="2026-02-09T16:45:14.15" personId="{E0F60C48-9375-0B4A-8578-0334C1C9071A}" id="{15F023BA-0D44-1744-999A-2C0977B24711}">
    <text>Eurostat/prc_hicp_manr/M.RCH_A.TOT_X_NRG.DE+ES+IT+FR+EL</text>
  </threadedComment>
  <threadedComment ref="L1" dT="2026-02-09T16:19:09.52" personId="{E0F60C48-9375-0B4A-8578-0334C1C9071A}" id="{7C05136F-F1F6-1B48-A0FD-D9948482DAB4}">
    <text>Dbnomics Energy prices</text>
  </threadedComment>
  <threadedComment ref="M1" dT="2026-02-22T22:12:48.00" personId="{E0F60C48-9375-0B4A-8578-0334C1C9071A}" id="{21B6A951-F9DD-EA4D-BBDB-1E84C1701EAC}">
    <text>Employment in Germany ; Destatis: https://www-genesis.destatis.de/datenbank/online/statistic/13321/table/13321-0001</text>
    <extLst>
      <x:ext xmlns:xltc2="http://schemas.microsoft.com/office/spreadsheetml/2020/threadedcomments2" uri="{F7C98A9C-CBB3-438F-8F68-D28B6AF4A901}">
        <xltc2:checksum>3212066654</xltc2:checksum>
        <xltc2:hyperlink startIndex="34" length="81" url="https://www-genesis.destatis.de/datenbank/online/statistic/13321/table/13321-0001"/>
      </x:ext>
    </extLst>
  </threadedComment>
  <threadedComment ref="O1" dT="2026-02-09T16:46:20.14" personId="{E0F60C48-9375-0B4A-8578-0334C1C9071A}" id="{F2FC6E49-4445-9F42-A24F-41F47EAE24C1}">
    <text>Yahoo finance log returns</text>
  </threadedComment>
  <threadedComment ref="P1" dT="2026-02-09T16:16:35.84" personId="{E0F60C48-9375-0B4A-8578-0334C1C9071A}" id="{0D899E68-CBC0-3C4E-A882-E37DCF27B76E}">
    <text>DBnomics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6-02-22T21:01:18.84" personId="{E0F60C48-9375-0B4A-8578-0334C1C9071A}" id="{EB5B5B2F-C8BD-1247-A572-B3DDED643735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C1" dT="2026-02-09T16:20:04.23" personId="{E0F60C48-9375-0B4A-8578-0334C1C9071A}" id="{3416C541-FF9C-954E-9A4A-9ED5A71DED43}">
    <text>IRLTLT01DEM156N</text>
  </threadedComment>
  <threadedComment ref="D1" dT="2026-02-09T16:44:34.99" personId="{E0F60C48-9375-0B4A-8578-0334C1C9071A}" id="{16383AE1-8F00-8340-8B75-3EB2F5121FF0}">
    <text xml:space="preserve">Eurostat/prc_hicp_manr/M.RCH_A.TOT_X_NRG.DE+ES+IT+FR+EL
</text>
  </threadedComment>
  <threadedComment ref="E1" dT="2026-02-22T17:49:17.38" personId="{E0F60C48-9375-0B4A-8578-0334C1C9071A}" id="{A94EC35C-950F-F848-9803-D3666D0F94B2}">
    <text>Eurostat: https://ec.europa.eu/eurostat/databrowser/view/gov_10q_ggdebt__custom_20213100/default/table</text>
    <extLst>
      <x:ext xmlns:xltc2="http://schemas.microsoft.com/office/spreadsheetml/2020/threadedcomments2" uri="{F7C98A9C-CBB3-438F-8F68-D28B6AF4A901}">
        <xltc2:checksum>1221273016</xltc2:checksum>
        <xltc2:hyperlink startIndex="10" length="92" url="https://ec.europa.eu/eurostat/databrowser/view/gov_10q_ggdebt__custom_20213100/default/table"/>
      </x:ext>
    </extLst>
  </threadedComment>
  <threadedComment ref="F1" dT="2026-02-09T17:24:24.53" personId="{E0F60C48-9375-0B4A-8578-0334C1C9071A}" id="{4C5E2669-CFD2-C74B-9546-DAD4175C18EB}">
    <text xml:space="preserve">OECD/DSD_LFS@DF_IALFS_UNE_M/DEU.UNE_LF_M.PT_LF_SUB._Z.Y._T.Y_GE15._Z.M
</text>
  </threadedComment>
  <threadedComment ref="G1" dT="2026-02-22T13:38:04.22" personId="{E0F60C48-9375-0B4A-8578-0334C1C9071A}" id="{4FA67C4F-B3EF-7542-84CC-2535DD05224A}">
    <text xml:space="preserve">Données d'Eurostat, une_rt_m, désaisonnalisée, à diff pour inflow
</text>
  </threadedComment>
  <threadedComment ref="H1" dT="2026-02-22T17:40:00.22" personId="{E0F60C48-9375-0B4A-8578-0334C1C9071A}" id="{1114F1B1-F4C2-CF4A-9D9A-B584909814D0}">
    <text>Source Eurostat/DBnomics:
https://ec.europa.eu/eurostat/databrowser/view/une_ltu_q__custom_20213008/default/table</text>
    <extLst>
      <x:ext xmlns:xltc2="http://schemas.microsoft.com/office/spreadsheetml/2020/threadedcomments2" uri="{F7C98A9C-CBB3-438F-8F68-D28B6AF4A901}">
        <xltc2:checksum>4060372295</xltc2:checksum>
        <xltc2:hyperlink startIndex="26" length="87" url="https://ec.europa.eu/eurostat/databrowser/view/une_ltu_q__custom_20213008/default/table"/>
      </x:ext>
    </extLst>
  </threadedComment>
  <threadedComment ref="K1" dT="2026-02-09T17:43:17.34" personId="{E0F60C48-9375-0B4A-8578-0334C1C9071A}" id="{FB8CE908-FEF4-BD45-BF2E-3D0B86819434}">
    <text>[mat,tab]=call_dbnomics('Eurostat/PRC_REM_NR/S.TOTAL.NR.DE+ES+IT+FR+EL')
Pb avec cette commande</text>
  </threadedComment>
  <threadedComment ref="L1" dT="2026-02-09T16:58:28.09" personId="{E0F60C48-9375-0B4A-8578-0334C1C9071A}" id="{FAB358DA-4F9F-BA4F-8494-71977BF289BE}">
    <text xml:space="preserve">Eurostat/STS_INPR_M/M.PRD.B_C_X_FD_MIG_NRG.SCA.I10.DE+ES+IT+FR+EL
</text>
  </threadedComment>
  <threadedComment ref="L1" dT="2026-02-22T17:18:16.59" personId="{E0F60C48-9375-0B4A-8578-0334C1C9071A}" id="{DBBEAFF2-7D67-6049-8490-A137AFF70981}" parentId="{FAB358DA-4F9F-BA4F-8494-71977BF289BE}">
    <text>Nouvelle source (BDF) : 
https://webstat.banque-france.fr/en/catalog/sts/STS.M.DE.Y.PROD.NS0020.4.000</text>
    <extLst>
      <x:ext xmlns:xltc2="http://schemas.microsoft.com/office/spreadsheetml/2020/threadedcomments2" uri="{F7C98A9C-CBB3-438F-8F68-D28B6AF4A901}">
        <xltc2:checksum>2587719474</xltc2:checksum>
        <xltc2:hyperlink startIndex="25" length="76" url="https://webstat.banque-france.fr/en/catalog/sts/STS.M.DE.Y.PROD.NS0020.4.000"/>
      </x:ext>
    </extLst>
  </threadedComment>
  <threadedComment ref="M1" dT="2026-02-09T17:09:45.74" personId="{E0F60C48-9375-0B4A-8578-0334C1C9071A}" id="{6CBD32B4-79B0-1B44-8577-ED9E5F919878}">
    <text xml:space="preserve">'OECD/KEI/SLRTTO01.DEU.ST.M', ...
    'OECD/KEI/SLRTTO01.ESP.ST.M', ...
    'OECD/KEI/SLRTTO01.ITA.ST.M', ...
    'OECD/KEI/SLRTTO01.FRA.ST.M', ...
    'OECD/KEI/SLRTTO01.GRC.ST.M'
</text>
  </threadedComment>
  <threadedComment ref="M1" dT="2026-02-22T17:21:23.18" personId="{E0F60C48-9375-0B4A-8578-0334C1C9071A}" id="{0D08EACB-2821-8D4B-8067-9D7369A1AC06}" parentId="{6CBD32B4-79B0-1B44-8577-ED9E5F919878}">
    <text>Source BDF (utilisée) : 
https://webstat.banque-france.fr/en/catalog/sts/STS.M.DE.Y.TOVV.NS4701.4.000</text>
    <extLst>
      <x:ext xmlns:xltc2="http://schemas.microsoft.com/office/spreadsheetml/2020/threadedcomments2" uri="{F7C98A9C-CBB3-438F-8F68-D28B6AF4A901}">
        <xltc2:checksum>3562568072</xltc2:checksum>
        <xltc2:hyperlink startIndex="25" length="76" url="https://webstat.banque-france.fr/en/catalog/sts/STS.M.DE.Y.TOVV.NS4701.4.000"/>
      </x:ext>
    </extLst>
  </threadedComment>
  <threadedComment ref="P1" dT="2026-02-09T16:14:06.77" personId="{E0F60C48-9375-0B4A-8578-0334C1C9071A}" id="{28B6CC3E-2AC3-C642-8091-907992F56E0C}">
    <text>DEUCPIENGMINMEI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3A82-CE31-B84F-BDF7-6A55FA66BF4B}">
  <dimension ref="A1:Q313"/>
  <sheetViews>
    <sheetView tabSelected="1" workbookViewId="0">
      <selection activeCell="A2" sqref="A2:P313"/>
    </sheetView>
  </sheetViews>
  <sheetFormatPr baseColWidth="10" defaultRowHeight="16" x14ac:dyDescent="0.2"/>
  <sheetData>
    <row r="1" spans="1:17" ht="17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7" x14ac:dyDescent="0.2">
      <c r="A2" s="4">
        <v>36526</v>
      </c>
      <c r="B2" s="5">
        <v>60289</v>
      </c>
      <c r="C2">
        <v>73950</v>
      </c>
      <c r="D2">
        <v>92.2</v>
      </c>
      <c r="G2" s="6" t="s">
        <v>27</v>
      </c>
      <c r="H2">
        <v>110.8</v>
      </c>
      <c r="J2">
        <v>92940</v>
      </c>
      <c r="L2">
        <v>56.19</v>
      </c>
      <c r="O2">
        <v>0.149778350544578</v>
      </c>
      <c r="P2">
        <v>13.1</v>
      </c>
      <c r="Q2" t="str">
        <f>IF(MONTH($A2) = 1, YEAR($A2)&amp;"-Q"&amp;MONTH($A2), IF(MONTH($A2) = 4, YEAR($A2)&amp;"-Q2", IF(MONTH($A2) = 7, YEAR($A2)&amp;"-Q3", IF(MONTH($A2) = 10, YEAR($A2)&amp;"-Q4",""))))</f>
        <v>2000-Q1</v>
      </c>
    </row>
    <row r="3" spans="1:17" x14ac:dyDescent="0.2">
      <c r="A3" s="4">
        <v>36557</v>
      </c>
      <c r="B3" s="5" t="e">
        <v>#N/A</v>
      </c>
      <c r="C3" t="e">
        <v>#N/A</v>
      </c>
      <c r="D3" t="e">
        <v>#N/A</v>
      </c>
      <c r="G3" s="6" t="s">
        <v>27</v>
      </c>
      <c r="H3">
        <v>114.1</v>
      </c>
      <c r="J3" t="e">
        <v>#N/A</v>
      </c>
      <c r="L3">
        <v>57.25</v>
      </c>
      <c r="O3">
        <v>-5.3093918997033598E-2</v>
      </c>
      <c r="P3">
        <v>14.3</v>
      </c>
      <c r="Q3" t="str">
        <f t="shared" ref="Q3:Q66" si="0">IF(MONTH($A3) = 1, YEAR($A3)&amp;"-Q"&amp;MONTH($A3), IF(MONTH($A3) = 4, YEAR($A3)&amp;"-Q2", IF(MONTH($A3) = 7, YEAR($A3)&amp;"-Q3", IF(MONTH($A3) = 10, YEAR($A3)&amp;"-Q4",""))))</f>
        <v/>
      </c>
    </row>
    <row r="4" spans="1:17" x14ac:dyDescent="0.2">
      <c r="A4" s="4">
        <v>36586</v>
      </c>
      <c r="B4" s="5" t="e">
        <v>#N/A</v>
      </c>
      <c r="C4" t="e">
        <v>#N/A</v>
      </c>
      <c r="D4" t="e">
        <v>#N/A</v>
      </c>
      <c r="G4" s="6" t="s">
        <v>27</v>
      </c>
      <c r="H4">
        <v>115.7</v>
      </c>
      <c r="J4" t="e">
        <v>#N/A</v>
      </c>
      <c r="L4">
        <v>58.72</v>
      </c>
      <c r="O4">
        <v>-3.9923397661509E-2</v>
      </c>
      <c r="P4">
        <v>14.9</v>
      </c>
      <c r="Q4" t="str">
        <f t="shared" si="0"/>
        <v/>
      </c>
    </row>
    <row r="5" spans="1:17" x14ac:dyDescent="0.2">
      <c r="A5" s="4">
        <v>36617</v>
      </c>
      <c r="B5" s="5">
        <v>61421</v>
      </c>
      <c r="C5">
        <v>79425</v>
      </c>
      <c r="D5">
        <v>92.8</v>
      </c>
      <c r="G5" s="6" t="s">
        <v>27</v>
      </c>
      <c r="H5">
        <v>115.4</v>
      </c>
      <c r="J5">
        <v>94003</v>
      </c>
      <c r="L5">
        <v>59.06</v>
      </c>
      <c r="O5">
        <v>-7.03834649920871E-2</v>
      </c>
      <c r="P5">
        <v>13.8</v>
      </c>
      <c r="Q5" t="str">
        <f t="shared" si="0"/>
        <v>2000-Q2</v>
      </c>
    </row>
    <row r="6" spans="1:17" x14ac:dyDescent="0.2">
      <c r="A6" s="4">
        <v>36647</v>
      </c>
      <c r="B6" s="5" t="e">
        <v>#N/A</v>
      </c>
      <c r="C6" t="e">
        <v>#N/A</v>
      </c>
      <c r="D6" t="e">
        <v>#N/A</v>
      </c>
      <c r="G6" s="6" t="s">
        <v>27</v>
      </c>
      <c r="H6">
        <v>114.3</v>
      </c>
      <c r="J6" t="e">
        <v>#N/A</v>
      </c>
      <c r="L6">
        <v>59.95</v>
      </c>
      <c r="O6">
        <v>-1.00801233676915E-2</v>
      </c>
      <c r="P6">
        <v>12.1</v>
      </c>
      <c r="Q6" t="str">
        <f t="shared" si="0"/>
        <v/>
      </c>
    </row>
    <row r="7" spans="1:17" x14ac:dyDescent="0.2">
      <c r="A7" s="4">
        <v>36678</v>
      </c>
      <c r="B7" s="5" t="e">
        <v>#N/A</v>
      </c>
      <c r="C7" t="e">
        <v>#N/A</v>
      </c>
      <c r="D7" t="e">
        <v>#N/A</v>
      </c>
      <c r="G7" s="6" t="s">
        <v>27</v>
      </c>
      <c r="H7">
        <v>114.7</v>
      </c>
      <c r="J7" t="e">
        <v>#N/A</v>
      </c>
      <c r="L7">
        <v>61.05</v>
      </c>
      <c r="O7">
        <v>-4.7080494385127701E-3</v>
      </c>
      <c r="P7">
        <v>12.1</v>
      </c>
      <c r="Q7" t="str">
        <f t="shared" si="0"/>
        <v/>
      </c>
    </row>
    <row r="8" spans="1:17" x14ac:dyDescent="0.2">
      <c r="A8" s="4">
        <v>36708</v>
      </c>
      <c r="B8" s="5">
        <v>62316</v>
      </c>
      <c r="C8">
        <v>78583</v>
      </c>
      <c r="D8">
        <v>93.3</v>
      </c>
      <c r="G8" s="6" t="s">
        <v>27</v>
      </c>
      <c r="H8">
        <v>115.3</v>
      </c>
      <c r="J8">
        <v>95751</v>
      </c>
      <c r="L8">
        <v>61.05</v>
      </c>
      <c r="O8">
        <v>3.2977927055901197E-2</v>
      </c>
      <c r="P8">
        <v>12.4</v>
      </c>
      <c r="Q8" t="str">
        <f t="shared" si="0"/>
        <v>2000-Q3</v>
      </c>
    </row>
    <row r="9" spans="1:17" x14ac:dyDescent="0.2">
      <c r="A9" s="4">
        <v>36739</v>
      </c>
      <c r="B9" s="5" t="e">
        <v>#N/A</v>
      </c>
      <c r="C9" t="e">
        <v>#N/A</v>
      </c>
      <c r="D9" t="e">
        <v>#N/A</v>
      </c>
      <c r="G9" s="6" t="s">
        <v>27</v>
      </c>
      <c r="H9">
        <v>116</v>
      </c>
      <c r="J9" t="e">
        <v>#N/A</v>
      </c>
      <c r="L9">
        <v>61.12</v>
      </c>
      <c r="O9">
        <v>5.9813048756147697E-3</v>
      </c>
      <c r="P9">
        <v>12.4</v>
      </c>
      <c r="Q9" t="str">
        <f t="shared" si="0"/>
        <v/>
      </c>
    </row>
    <row r="10" spans="1:17" x14ac:dyDescent="0.2">
      <c r="A10" s="4">
        <v>36770</v>
      </c>
      <c r="B10" s="5" t="e">
        <v>#N/A</v>
      </c>
      <c r="C10" t="e">
        <v>#N/A</v>
      </c>
      <c r="D10" t="e">
        <v>#N/A</v>
      </c>
      <c r="G10" s="6" t="s">
        <v>27</v>
      </c>
      <c r="H10">
        <v>114.9</v>
      </c>
      <c r="J10" t="e">
        <v>#N/A</v>
      </c>
      <c r="L10">
        <v>61.95</v>
      </c>
      <c r="O10">
        <v>-5.5088074085491101E-2</v>
      </c>
      <c r="P10">
        <v>9.4</v>
      </c>
      <c r="Q10" t="str">
        <f t="shared" si="0"/>
        <v/>
      </c>
    </row>
    <row r="11" spans="1:17" x14ac:dyDescent="0.2">
      <c r="A11" s="4">
        <v>36800</v>
      </c>
      <c r="B11" s="5">
        <v>61721</v>
      </c>
      <c r="C11">
        <v>84205</v>
      </c>
      <c r="D11">
        <v>94.6</v>
      </c>
      <c r="G11" s="6" t="s">
        <v>27</v>
      </c>
      <c r="H11">
        <v>111.2</v>
      </c>
      <c r="J11">
        <v>97675</v>
      </c>
      <c r="L11">
        <v>62.91</v>
      </c>
      <c r="O11">
        <v>-0.117473051887064</v>
      </c>
      <c r="P11">
        <v>9.1999999999999993</v>
      </c>
      <c r="Q11" t="str">
        <f t="shared" si="0"/>
        <v>2000-Q4</v>
      </c>
    </row>
    <row r="12" spans="1:17" x14ac:dyDescent="0.2">
      <c r="A12" s="4">
        <v>36831</v>
      </c>
      <c r="B12" s="5" t="e">
        <v>#N/A</v>
      </c>
      <c r="C12" t="e">
        <v>#N/A</v>
      </c>
      <c r="D12" t="e">
        <v>#N/A</v>
      </c>
      <c r="G12" s="6" t="s">
        <v>27</v>
      </c>
      <c r="H12">
        <v>112.8</v>
      </c>
      <c r="J12" t="e">
        <v>#N/A</v>
      </c>
      <c r="L12">
        <v>63.8</v>
      </c>
      <c r="O12">
        <v>-1.1427594595717801E-2</v>
      </c>
      <c r="P12">
        <v>10.5</v>
      </c>
      <c r="Q12" t="str">
        <f t="shared" si="0"/>
        <v/>
      </c>
    </row>
    <row r="13" spans="1:17" x14ac:dyDescent="0.2">
      <c r="A13" s="4">
        <v>36861</v>
      </c>
      <c r="B13" s="5" t="e">
        <v>#N/A</v>
      </c>
      <c r="C13" t="e">
        <v>#N/A</v>
      </c>
      <c r="D13" t="e">
        <v>#N/A</v>
      </c>
      <c r="G13" s="6" t="s">
        <v>27</v>
      </c>
      <c r="H13">
        <v>113.3</v>
      </c>
      <c r="J13" t="e">
        <v>#N/A</v>
      </c>
      <c r="L13">
        <v>62.49</v>
      </c>
      <c r="O13">
        <v>0.10476759311348301</v>
      </c>
      <c r="P13">
        <v>10.199999999999999</v>
      </c>
      <c r="Q13" t="str">
        <f t="shared" si="0"/>
        <v/>
      </c>
    </row>
    <row r="14" spans="1:17" x14ac:dyDescent="0.2">
      <c r="A14" s="4">
        <v>36892</v>
      </c>
      <c r="B14" s="5">
        <v>65278</v>
      </c>
      <c r="C14">
        <v>79274</v>
      </c>
      <c r="D14">
        <v>96</v>
      </c>
      <c r="G14" s="6" t="s">
        <v>27</v>
      </c>
      <c r="H14">
        <v>114.8</v>
      </c>
      <c r="J14">
        <v>99635</v>
      </c>
      <c r="L14">
        <v>59.91</v>
      </c>
      <c r="O14">
        <v>-5.7430547303566101E-2</v>
      </c>
      <c r="P14">
        <v>10.9</v>
      </c>
      <c r="Q14" t="str">
        <f t="shared" si="0"/>
        <v>2001-Q1</v>
      </c>
    </row>
    <row r="15" spans="1:17" x14ac:dyDescent="0.2">
      <c r="A15" s="4">
        <v>36923</v>
      </c>
      <c r="B15" s="5" t="e">
        <v>#N/A</v>
      </c>
      <c r="C15" t="e">
        <v>#N/A</v>
      </c>
      <c r="D15" t="e">
        <v>#N/A</v>
      </c>
      <c r="G15" s="6" t="s">
        <v>27</v>
      </c>
      <c r="H15">
        <v>110.7</v>
      </c>
      <c r="J15" t="e">
        <v>#N/A</v>
      </c>
      <c r="L15">
        <v>60.21</v>
      </c>
      <c r="O15">
        <v>-2.57813272266194E-2</v>
      </c>
      <c r="P15">
        <v>10.5</v>
      </c>
      <c r="Q15" t="str">
        <f t="shared" si="0"/>
        <v/>
      </c>
    </row>
    <row r="16" spans="1:17" x14ac:dyDescent="0.2">
      <c r="A16" s="4">
        <v>36951</v>
      </c>
      <c r="B16" s="5" t="e">
        <v>#N/A</v>
      </c>
      <c r="C16" t="e">
        <v>#N/A</v>
      </c>
      <c r="D16" t="e">
        <v>#N/A</v>
      </c>
      <c r="G16" s="6" t="s">
        <v>27</v>
      </c>
      <c r="H16">
        <v>112.9</v>
      </c>
      <c r="J16" t="e">
        <v>#N/A</v>
      </c>
      <c r="L16">
        <v>60.15</v>
      </c>
      <c r="O16">
        <v>4.7488399915295097E-2</v>
      </c>
      <c r="P16">
        <v>11.2</v>
      </c>
      <c r="Q16" t="str">
        <f t="shared" si="0"/>
        <v/>
      </c>
    </row>
    <row r="17" spans="1:17" x14ac:dyDescent="0.2">
      <c r="A17" s="4">
        <v>36982</v>
      </c>
      <c r="B17" s="5">
        <v>66359</v>
      </c>
      <c r="C17">
        <v>84380</v>
      </c>
      <c r="D17">
        <v>96.3</v>
      </c>
      <c r="G17" s="6" t="s">
        <v>27</v>
      </c>
      <c r="H17">
        <v>107.5</v>
      </c>
      <c r="J17">
        <v>101607</v>
      </c>
      <c r="L17">
        <v>61.12</v>
      </c>
      <c r="O17">
        <v>-2.7029353532659801E-2</v>
      </c>
      <c r="P17">
        <v>8</v>
      </c>
      <c r="Q17" t="str">
        <f t="shared" si="0"/>
        <v>2001-Q2</v>
      </c>
    </row>
    <row r="18" spans="1:17" x14ac:dyDescent="0.2">
      <c r="A18" s="4">
        <v>37012</v>
      </c>
      <c r="B18" s="5" t="e">
        <v>#N/A</v>
      </c>
      <c r="C18" t="e">
        <v>#N/A</v>
      </c>
      <c r="D18" t="e">
        <v>#N/A</v>
      </c>
      <c r="G18" s="6" t="s">
        <v>27</v>
      </c>
      <c r="H18">
        <v>106.5</v>
      </c>
      <c r="J18" t="e">
        <v>#N/A</v>
      </c>
      <c r="L18">
        <v>62.21</v>
      </c>
      <c r="O18">
        <v>-6.7744096073440105E-2</v>
      </c>
      <c r="P18">
        <v>8.6</v>
      </c>
      <c r="Q18" t="str">
        <f t="shared" si="0"/>
        <v/>
      </c>
    </row>
    <row r="19" spans="1:17" x14ac:dyDescent="0.2">
      <c r="A19" s="4">
        <v>37043</v>
      </c>
      <c r="B19" s="5" t="e">
        <v>#N/A</v>
      </c>
      <c r="C19" t="e">
        <v>#N/A</v>
      </c>
      <c r="D19" t="e">
        <v>#N/A</v>
      </c>
      <c r="G19" s="6" t="s">
        <v>27</v>
      </c>
      <c r="H19">
        <v>107.9</v>
      </c>
      <c r="J19" t="e">
        <v>#N/A</v>
      </c>
      <c r="L19">
        <v>62.63</v>
      </c>
      <c r="O19">
        <v>-4.5910954782916798E-2</v>
      </c>
      <c r="P19">
        <v>8</v>
      </c>
      <c r="Q19" t="str">
        <f t="shared" si="0"/>
        <v/>
      </c>
    </row>
    <row r="20" spans="1:17" x14ac:dyDescent="0.2">
      <c r="A20" s="4">
        <v>37073</v>
      </c>
      <c r="B20" s="5">
        <v>66740</v>
      </c>
      <c r="C20">
        <v>83457</v>
      </c>
      <c r="D20">
        <v>97.4</v>
      </c>
      <c r="G20" s="6" t="s">
        <v>27</v>
      </c>
      <c r="H20">
        <v>107.5</v>
      </c>
      <c r="J20">
        <v>103568</v>
      </c>
      <c r="L20">
        <v>60.99</v>
      </c>
      <c r="O20">
        <v>-1.8916039115323399E-2</v>
      </c>
      <c r="P20">
        <v>7</v>
      </c>
      <c r="Q20" t="str">
        <f t="shared" si="0"/>
        <v>2001-Q3</v>
      </c>
    </row>
    <row r="21" spans="1:17" x14ac:dyDescent="0.2">
      <c r="A21" s="4">
        <v>37104</v>
      </c>
      <c r="B21" s="5" t="e">
        <v>#N/A</v>
      </c>
      <c r="C21" t="e">
        <v>#N/A</v>
      </c>
      <c r="D21" t="e">
        <v>#N/A</v>
      </c>
      <c r="G21" s="6" t="s">
        <v>27</v>
      </c>
      <c r="H21">
        <v>106.7</v>
      </c>
      <c r="J21" t="e">
        <v>#N/A</v>
      </c>
      <c r="L21">
        <v>60.1</v>
      </c>
      <c r="O21">
        <v>-0.129004090961299</v>
      </c>
      <c r="P21">
        <v>8.6</v>
      </c>
      <c r="Q21" t="str">
        <f t="shared" si="0"/>
        <v/>
      </c>
    </row>
    <row r="22" spans="1:17" x14ac:dyDescent="0.2">
      <c r="A22" s="4">
        <v>37135</v>
      </c>
      <c r="B22" s="5" t="e">
        <v>#N/A</v>
      </c>
      <c r="C22" t="e">
        <v>#N/A</v>
      </c>
      <c r="D22" t="e">
        <v>#N/A</v>
      </c>
      <c r="G22" s="6" t="s">
        <v>27</v>
      </c>
      <c r="H22">
        <v>106.8</v>
      </c>
      <c r="J22" t="e">
        <v>#N/A</v>
      </c>
      <c r="L22">
        <v>60.21</v>
      </c>
      <c r="O22">
        <v>6.1033077007788698E-2</v>
      </c>
      <c r="P22">
        <v>7.3</v>
      </c>
      <c r="Q22" t="str">
        <f t="shared" si="0"/>
        <v/>
      </c>
    </row>
    <row r="23" spans="1:17" x14ac:dyDescent="0.2">
      <c r="A23" s="4">
        <v>37165</v>
      </c>
      <c r="B23" s="5">
        <v>67629</v>
      </c>
      <c r="C23">
        <v>89785</v>
      </c>
      <c r="D23">
        <v>97.8</v>
      </c>
      <c r="G23" s="6" t="s">
        <v>27</v>
      </c>
      <c r="H23">
        <v>104.8</v>
      </c>
      <c r="J23">
        <v>104371</v>
      </c>
      <c r="L23">
        <v>58.88</v>
      </c>
      <c r="O23">
        <v>7.3197096692430505E-2</v>
      </c>
      <c r="P23">
        <v>9.1</v>
      </c>
      <c r="Q23" t="str">
        <f t="shared" si="0"/>
        <v>2001-Q4</v>
      </c>
    </row>
    <row r="24" spans="1:17" x14ac:dyDescent="0.2">
      <c r="A24" s="4">
        <v>37196</v>
      </c>
      <c r="B24" s="5" t="e">
        <v>#N/A</v>
      </c>
      <c r="C24" t="e">
        <v>#N/A</v>
      </c>
      <c r="D24" t="e">
        <v>#N/A</v>
      </c>
      <c r="G24" s="6" t="s">
        <v>27</v>
      </c>
      <c r="H24">
        <v>103.4</v>
      </c>
      <c r="J24" t="e">
        <v>#N/A</v>
      </c>
      <c r="L24">
        <v>57.45</v>
      </c>
      <c r="O24">
        <v>3.9254107957749102E-3</v>
      </c>
      <c r="P24">
        <v>7.6</v>
      </c>
      <c r="Q24" t="str">
        <f t="shared" si="0"/>
        <v/>
      </c>
    </row>
    <row r="25" spans="1:17" x14ac:dyDescent="0.2">
      <c r="A25" s="4">
        <v>37226</v>
      </c>
      <c r="B25" s="5" t="e">
        <v>#N/A</v>
      </c>
      <c r="C25" t="e">
        <v>#N/A</v>
      </c>
      <c r="D25" t="e">
        <v>#N/A</v>
      </c>
      <c r="G25" s="6" t="s">
        <v>27</v>
      </c>
      <c r="H25">
        <v>106.2</v>
      </c>
      <c r="J25" t="e">
        <v>#N/A</v>
      </c>
      <c r="K25">
        <v>3.7</v>
      </c>
      <c r="L25">
        <v>56.75</v>
      </c>
      <c r="O25">
        <v>-4.2224136716805902E-2</v>
      </c>
      <c r="P25">
        <v>7.3</v>
      </c>
      <c r="Q25" t="str">
        <f t="shared" si="0"/>
        <v/>
      </c>
    </row>
    <row r="26" spans="1:17" x14ac:dyDescent="0.2">
      <c r="A26" s="4">
        <v>37257</v>
      </c>
      <c r="B26" s="5">
        <v>68562</v>
      </c>
      <c r="C26">
        <v>83991</v>
      </c>
      <c r="D26">
        <v>98.7</v>
      </c>
      <c r="G26" s="7">
        <v>78.8</v>
      </c>
      <c r="H26">
        <v>105.3</v>
      </c>
      <c r="J26">
        <v>106171</v>
      </c>
      <c r="K26">
        <v>3.7</v>
      </c>
      <c r="L26">
        <v>58.17</v>
      </c>
      <c r="O26">
        <v>1.05154340908591E-2</v>
      </c>
      <c r="P26">
        <v>5.9</v>
      </c>
      <c r="Q26" t="str">
        <f t="shared" si="0"/>
        <v>2002-Q1</v>
      </c>
    </row>
    <row r="27" spans="1:17" x14ac:dyDescent="0.2">
      <c r="A27" s="4">
        <v>37288</v>
      </c>
      <c r="B27" s="5" t="e">
        <v>#N/A</v>
      </c>
      <c r="C27" t="e">
        <v>#N/A</v>
      </c>
      <c r="D27" t="e">
        <v>#N/A</v>
      </c>
      <c r="G27" s="7">
        <v>79.7</v>
      </c>
      <c r="H27">
        <v>105.6</v>
      </c>
      <c r="J27" t="e">
        <v>#N/A</v>
      </c>
      <c r="K27">
        <v>3.8</v>
      </c>
      <c r="L27">
        <v>58.32</v>
      </c>
      <c r="O27">
        <v>1.39396581269189E-2</v>
      </c>
      <c r="P27">
        <v>6.8</v>
      </c>
      <c r="Q27" t="str">
        <f t="shared" si="0"/>
        <v/>
      </c>
    </row>
    <row r="28" spans="1:17" x14ac:dyDescent="0.2">
      <c r="A28" s="4">
        <v>37316</v>
      </c>
      <c r="B28" s="5" t="e">
        <v>#N/A</v>
      </c>
      <c r="C28" t="e">
        <v>#N/A</v>
      </c>
      <c r="D28" t="e">
        <v>#N/A</v>
      </c>
      <c r="G28" s="7">
        <v>79.2</v>
      </c>
      <c r="H28">
        <v>103.1</v>
      </c>
      <c r="J28" t="e">
        <v>#N/A</v>
      </c>
      <c r="K28">
        <v>3.7</v>
      </c>
      <c r="L28">
        <v>59.43</v>
      </c>
      <c r="O28">
        <v>-1.1619212827985901E-2</v>
      </c>
      <c r="P28">
        <v>5.4</v>
      </c>
      <c r="Q28" t="str">
        <f t="shared" si="0"/>
        <v/>
      </c>
    </row>
    <row r="29" spans="1:17" x14ac:dyDescent="0.2">
      <c r="A29" s="4">
        <v>37347</v>
      </c>
      <c r="B29" s="5">
        <v>69879</v>
      </c>
      <c r="C29">
        <v>90063</v>
      </c>
      <c r="D29">
        <v>98.8</v>
      </c>
      <c r="G29" s="7">
        <v>80.400000000000006</v>
      </c>
      <c r="H29">
        <v>104.8</v>
      </c>
      <c r="J29">
        <v>107409</v>
      </c>
      <c r="K29">
        <v>4.0999999999999996</v>
      </c>
      <c r="L29">
        <v>60.9</v>
      </c>
      <c r="O29">
        <v>-2.5398309209352401E-2</v>
      </c>
      <c r="P29">
        <v>5.0999999999999996</v>
      </c>
      <c r="Q29" t="str">
        <f t="shared" si="0"/>
        <v>2002-Q2</v>
      </c>
    </row>
    <row r="30" spans="1:17" x14ac:dyDescent="0.2">
      <c r="A30" s="4">
        <v>37377</v>
      </c>
      <c r="B30" s="5" t="e">
        <v>#N/A</v>
      </c>
      <c r="C30" t="e">
        <v>#N/A</v>
      </c>
      <c r="D30" t="e">
        <v>#N/A</v>
      </c>
      <c r="G30" s="7">
        <v>80.3</v>
      </c>
      <c r="H30">
        <v>107.3</v>
      </c>
      <c r="J30" t="e">
        <v>#N/A</v>
      </c>
      <c r="K30">
        <v>4.3</v>
      </c>
      <c r="L30">
        <v>61.06</v>
      </c>
      <c r="O30">
        <v>-0.13975564072369001</v>
      </c>
      <c r="P30">
        <v>5.7</v>
      </c>
      <c r="Q30" t="str">
        <f t="shared" si="0"/>
        <v/>
      </c>
    </row>
    <row r="31" spans="1:17" x14ac:dyDescent="0.2">
      <c r="A31" s="4">
        <v>37408</v>
      </c>
      <c r="B31" s="5" t="e">
        <v>#N/A</v>
      </c>
      <c r="C31" t="e">
        <v>#N/A</v>
      </c>
      <c r="D31" t="e">
        <v>#N/A</v>
      </c>
      <c r="G31" s="7">
        <v>79.400000000000006</v>
      </c>
      <c r="H31">
        <v>105.3</v>
      </c>
      <c r="J31" t="e">
        <v>#N/A</v>
      </c>
      <c r="K31">
        <v>4.2</v>
      </c>
      <c r="L31">
        <v>59.87</v>
      </c>
      <c r="O31">
        <v>-0.10093427074078699</v>
      </c>
      <c r="P31">
        <v>3.9</v>
      </c>
      <c r="Q31" t="str">
        <f t="shared" si="0"/>
        <v/>
      </c>
    </row>
    <row r="32" spans="1:17" x14ac:dyDescent="0.2">
      <c r="A32" s="4">
        <v>37438</v>
      </c>
      <c r="B32" s="5">
        <v>76019</v>
      </c>
      <c r="C32">
        <v>88845</v>
      </c>
      <c r="D32">
        <v>99.2</v>
      </c>
      <c r="G32" s="7">
        <v>80.599999999999994</v>
      </c>
      <c r="H32">
        <v>106.1</v>
      </c>
      <c r="J32">
        <v>108738</v>
      </c>
      <c r="K32">
        <v>4</v>
      </c>
      <c r="L32">
        <v>60.07</v>
      </c>
      <c r="O32">
        <v>2.9391219366694098E-2</v>
      </c>
      <c r="P32">
        <v>2.8</v>
      </c>
      <c r="Q32" t="str">
        <f t="shared" si="0"/>
        <v>2002-Q3</v>
      </c>
    </row>
    <row r="33" spans="1:17" x14ac:dyDescent="0.2">
      <c r="A33" s="4">
        <v>37469</v>
      </c>
      <c r="B33" s="5" t="e">
        <v>#N/A</v>
      </c>
      <c r="C33" t="e">
        <v>#N/A</v>
      </c>
      <c r="D33" t="e">
        <v>#N/A</v>
      </c>
      <c r="G33" s="7">
        <v>80.5</v>
      </c>
      <c r="H33">
        <v>104.2</v>
      </c>
      <c r="J33" t="e">
        <v>#N/A</v>
      </c>
      <c r="K33">
        <v>4.0999999999999996</v>
      </c>
      <c r="L33">
        <v>60.26</v>
      </c>
      <c r="O33">
        <v>-0.16960844917675999</v>
      </c>
      <c r="P33">
        <v>1.8</v>
      </c>
      <c r="Q33" t="str">
        <f t="shared" si="0"/>
        <v/>
      </c>
    </row>
    <row r="34" spans="1:17" x14ac:dyDescent="0.2">
      <c r="A34" s="4">
        <v>37500</v>
      </c>
      <c r="B34" s="5" t="e">
        <v>#N/A</v>
      </c>
      <c r="C34" t="e">
        <v>#N/A</v>
      </c>
      <c r="D34" t="e">
        <v>#N/A</v>
      </c>
      <c r="G34" s="7">
        <v>81.7</v>
      </c>
      <c r="H34">
        <v>104.5</v>
      </c>
      <c r="J34" t="e">
        <v>#N/A</v>
      </c>
      <c r="K34">
        <v>3.9</v>
      </c>
      <c r="L34">
        <v>60.77</v>
      </c>
      <c r="O34">
        <v>0.12247480519569</v>
      </c>
      <c r="P34">
        <v>5</v>
      </c>
      <c r="Q34" t="str">
        <f t="shared" si="0"/>
        <v/>
      </c>
    </row>
    <row r="35" spans="1:17" x14ac:dyDescent="0.2">
      <c r="A35" s="4">
        <v>37530</v>
      </c>
      <c r="B35" s="5">
        <v>72711</v>
      </c>
      <c r="C35">
        <v>95752</v>
      </c>
      <c r="D35">
        <v>100.6</v>
      </c>
      <c r="G35" s="7">
        <v>81.599999999999994</v>
      </c>
      <c r="H35">
        <v>104.5</v>
      </c>
      <c r="J35">
        <v>110854</v>
      </c>
      <c r="K35">
        <v>4.0999999999999996</v>
      </c>
      <c r="L35">
        <v>61.08</v>
      </c>
      <c r="O35">
        <v>8.5228972704078004E-2</v>
      </c>
      <c r="P35">
        <v>3.7</v>
      </c>
      <c r="Q35" t="str">
        <f t="shared" si="0"/>
        <v>2002-Q4</v>
      </c>
    </row>
    <row r="36" spans="1:17" x14ac:dyDescent="0.2">
      <c r="A36" s="4">
        <v>37561</v>
      </c>
      <c r="B36" s="5" t="e">
        <v>#N/A</v>
      </c>
      <c r="C36" t="e">
        <v>#N/A</v>
      </c>
      <c r="D36" t="e">
        <v>#N/A</v>
      </c>
      <c r="G36" s="7">
        <v>81.400000000000006</v>
      </c>
      <c r="H36">
        <v>103.4</v>
      </c>
      <c r="J36" t="e">
        <v>#N/A</v>
      </c>
      <c r="K36">
        <v>4.0999999999999996</v>
      </c>
      <c r="L36">
        <v>59.49</v>
      </c>
      <c r="O36">
        <v>-0.102065355330303</v>
      </c>
      <c r="P36">
        <v>4.4000000000000004</v>
      </c>
      <c r="Q36" t="str">
        <f t="shared" si="0"/>
        <v/>
      </c>
    </row>
    <row r="37" spans="1:17" x14ac:dyDescent="0.2">
      <c r="A37" s="4">
        <v>37591</v>
      </c>
      <c r="B37" s="5" t="e">
        <v>#N/A</v>
      </c>
      <c r="C37" t="e">
        <v>#N/A</v>
      </c>
      <c r="D37" t="e">
        <v>#N/A</v>
      </c>
      <c r="G37" s="7">
        <v>81.599999999999994</v>
      </c>
      <c r="H37">
        <v>100.8</v>
      </c>
      <c r="J37" t="e">
        <v>#N/A</v>
      </c>
      <c r="K37">
        <v>3.9</v>
      </c>
      <c r="L37">
        <v>60.04</v>
      </c>
      <c r="O37">
        <v>-1.4885995939222201E-2</v>
      </c>
      <c r="P37">
        <v>-1.4</v>
      </c>
      <c r="Q37" t="str">
        <f t="shared" si="0"/>
        <v/>
      </c>
    </row>
    <row r="38" spans="1:17" x14ac:dyDescent="0.2">
      <c r="A38" s="4">
        <v>37622</v>
      </c>
      <c r="B38" s="5">
        <v>73962</v>
      </c>
      <c r="C38">
        <v>89532</v>
      </c>
      <c r="D38">
        <v>100.9</v>
      </c>
      <c r="G38" s="7">
        <v>83.7</v>
      </c>
      <c r="H38">
        <v>103.2</v>
      </c>
      <c r="J38">
        <v>111370</v>
      </c>
      <c r="K38">
        <v>3.6</v>
      </c>
      <c r="L38">
        <v>61.35</v>
      </c>
      <c r="O38">
        <v>8.6548249075359997E-3</v>
      </c>
      <c r="P38">
        <v>-0.8</v>
      </c>
      <c r="Q38" t="str">
        <f t="shared" si="0"/>
        <v>2003-Q1</v>
      </c>
    </row>
    <row r="39" spans="1:17" x14ac:dyDescent="0.2">
      <c r="A39" s="4">
        <v>37653</v>
      </c>
      <c r="B39" s="5" t="e">
        <v>#N/A</v>
      </c>
      <c r="C39" t="e">
        <v>#N/A</v>
      </c>
      <c r="D39" t="e">
        <v>#N/A</v>
      </c>
      <c r="G39" s="7">
        <v>82.4</v>
      </c>
      <c r="H39">
        <v>106.8</v>
      </c>
      <c r="J39" t="e">
        <v>#N/A</v>
      </c>
      <c r="K39">
        <v>3.6</v>
      </c>
      <c r="L39">
        <v>62.2</v>
      </c>
      <c r="O39">
        <v>-2.1719638861924299E-2</v>
      </c>
      <c r="P39">
        <v>-0.1</v>
      </c>
      <c r="Q39" t="str">
        <f t="shared" si="0"/>
        <v/>
      </c>
    </row>
    <row r="40" spans="1:17" x14ac:dyDescent="0.2">
      <c r="A40" s="4">
        <v>37681</v>
      </c>
      <c r="B40" s="5" t="e">
        <v>#N/A</v>
      </c>
      <c r="C40" t="e">
        <v>#N/A</v>
      </c>
      <c r="D40" t="e">
        <v>#N/A</v>
      </c>
      <c r="G40" s="7">
        <v>83.1</v>
      </c>
      <c r="H40">
        <v>103.4</v>
      </c>
      <c r="J40" t="e">
        <v>#N/A</v>
      </c>
      <c r="K40">
        <v>3.5</v>
      </c>
      <c r="L40">
        <v>63.05</v>
      </c>
      <c r="O40">
        <v>0.100245677057549</v>
      </c>
      <c r="P40">
        <v>-0.6</v>
      </c>
      <c r="Q40" t="str">
        <f t="shared" si="0"/>
        <v/>
      </c>
    </row>
    <row r="41" spans="1:17" x14ac:dyDescent="0.2">
      <c r="A41" s="4">
        <v>37712</v>
      </c>
      <c r="B41" s="5">
        <v>75655</v>
      </c>
      <c r="C41">
        <v>95262</v>
      </c>
      <c r="D41">
        <v>101.2</v>
      </c>
      <c r="G41" s="7">
        <v>82.1</v>
      </c>
      <c r="H41">
        <v>105.1</v>
      </c>
      <c r="J41">
        <v>113640</v>
      </c>
      <c r="K41">
        <v>3.4</v>
      </c>
      <c r="L41">
        <v>61.39</v>
      </c>
      <c r="O41">
        <v>2.9235287786999499E-3</v>
      </c>
      <c r="P41">
        <v>1.3</v>
      </c>
      <c r="Q41" t="str">
        <f t="shared" si="0"/>
        <v>2003-Q2</v>
      </c>
    </row>
    <row r="42" spans="1:17" x14ac:dyDescent="0.2">
      <c r="A42" s="4">
        <v>37742</v>
      </c>
      <c r="B42" s="5" t="e">
        <v>#N/A</v>
      </c>
      <c r="C42" t="e">
        <v>#N/A</v>
      </c>
      <c r="D42" t="e">
        <v>#N/A</v>
      </c>
      <c r="G42" s="7">
        <v>81.599999999999994</v>
      </c>
      <c r="H42">
        <v>104.1</v>
      </c>
      <c r="J42" t="e">
        <v>#N/A</v>
      </c>
      <c r="K42">
        <v>3.2</v>
      </c>
      <c r="L42">
        <v>59.86</v>
      </c>
      <c r="O42">
        <v>5.2889929511881199E-2</v>
      </c>
      <c r="P42">
        <v>2.7</v>
      </c>
      <c r="Q42" t="str">
        <f t="shared" si="0"/>
        <v/>
      </c>
    </row>
    <row r="43" spans="1:17" x14ac:dyDescent="0.2">
      <c r="A43" s="4">
        <v>37773</v>
      </c>
      <c r="B43" s="5" t="e">
        <v>#N/A</v>
      </c>
      <c r="C43" t="e">
        <v>#N/A</v>
      </c>
      <c r="D43" t="e">
        <v>#N/A</v>
      </c>
      <c r="G43" s="7">
        <v>81.900000000000006</v>
      </c>
      <c r="H43">
        <v>102.9</v>
      </c>
      <c r="J43" t="e">
        <v>#N/A</v>
      </c>
      <c r="K43">
        <v>3.1</v>
      </c>
      <c r="L43">
        <v>59.52</v>
      </c>
      <c r="O43">
        <v>2.8686898941995099E-2</v>
      </c>
      <c r="P43">
        <v>3.9</v>
      </c>
      <c r="Q43" t="str">
        <f t="shared" si="0"/>
        <v/>
      </c>
    </row>
    <row r="44" spans="1:17" x14ac:dyDescent="0.2">
      <c r="A44" s="4">
        <v>37803</v>
      </c>
      <c r="B44" s="5">
        <v>76892</v>
      </c>
      <c r="C44">
        <v>93612</v>
      </c>
      <c r="D44">
        <v>102</v>
      </c>
      <c r="G44" s="7">
        <v>82.5</v>
      </c>
      <c r="H44">
        <v>104.5</v>
      </c>
      <c r="J44">
        <v>115406</v>
      </c>
      <c r="K44">
        <v>3.1</v>
      </c>
      <c r="L44">
        <v>60.06</v>
      </c>
      <c r="O44">
        <v>6.9991973273300099E-3</v>
      </c>
      <c r="P44">
        <v>2.8</v>
      </c>
      <c r="Q44" t="str">
        <f t="shared" si="0"/>
        <v>2003-Q3</v>
      </c>
    </row>
    <row r="45" spans="1:17" x14ac:dyDescent="0.2">
      <c r="A45" s="4">
        <v>37834</v>
      </c>
      <c r="B45" s="5" t="e">
        <v>#N/A</v>
      </c>
      <c r="C45" t="e">
        <v>#N/A</v>
      </c>
      <c r="D45" t="e">
        <v>#N/A</v>
      </c>
      <c r="G45" s="7">
        <v>81.400000000000006</v>
      </c>
      <c r="H45">
        <v>107.5</v>
      </c>
      <c r="J45" t="e">
        <v>#N/A</v>
      </c>
      <c r="K45">
        <v>3.2</v>
      </c>
      <c r="L45">
        <v>60.88</v>
      </c>
      <c r="O45">
        <v>-5.9040330609271101E-2</v>
      </c>
      <c r="P45">
        <v>3.8</v>
      </c>
      <c r="Q45" t="str">
        <f t="shared" si="0"/>
        <v/>
      </c>
    </row>
    <row r="46" spans="1:17" x14ac:dyDescent="0.2">
      <c r="A46" s="4">
        <v>37865</v>
      </c>
      <c r="B46" s="5" t="e">
        <v>#N/A</v>
      </c>
      <c r="C46" t="e">
        <v>#N/A</v>
      </c>
      <c r="D46" t="e">
        <v>#N/A</v>
      </c>
      <c r="G46" s="7">
        <v>82.6</v>
      </c>
      <c r="H46">
        <v>104.5</v>
      </c>
      <c r="J46" t="e">
        <v>#N/A</v>
      </c>
      <c r="K46">
        <v>3.3</v>
      </c>
      <c r="L46">
        <v>60.63</v>
      </c>
      <c r="O46">
        <v>6.1596395643723802E-2</v>
      </c>
      <c r="P46">
        <v>4.5999999999999996</v>
      </c>
      <c r="Q46" t="str">
        <f t="shared" si="0"/>
        <v/>
      </c>
    </row>
    <row r="47" spans="1:17" x14ac:dyDescent="0.2">
      <c r="A47" s="4">
        <v>37895</v>
      </c>
      <c r="B47" s="5">
        <v>78278</v>
      </c>
      <c r="C47">
        <v>101605</v>
      </c>
      <c r="D47">
        <v>103.8</v>
      </c>
      <c r="G47" s="7">
        <v>82.9</v>
      </c>
      <c r="H47">
        <v>106.8</v>
      </c>
      <c r="J47">
        <v>117638</v>
      </c>
      <c r="K47">
        <v>3.1</v>
      </c>
      <c r="L47">
        <v>59.96</v>
      </c>
      <c r="O47">
        <v>1.71051312733859E-2</v>
      </c>
      <c r="P47">
        <v>2.2000000000000002</v>
      </c>
      <c r="Q47" t="str">
        <f t="shared" si="0"/>
        <v>2003-Q4</v>
      </c>
    </row>
    <row r="48" spans="1:17" x14ac:dyDescent="0.2">
      <c r="A48" s="4">
        <v>37926</v>
      </c>
      <c r="B48" s="5" t="e">
        <v>#N/A</v>
      </c>
      <c r="C48" t="e">
        <v>#N/A</v>
      </c>
      <c r="D48" t="e">
        <v>#N/A</v>
      </c>
      <c r="G48" s="7">
        <v>82.9</v>
      </c>
      <c r="H48">
        <v>106.8</v>
      </c>
      <c r="J48" t="e">
        <v>#N/A</v>
      </c>
      <c r="K48">
        <v>3</v>
      </c>
      <c r="L48">
        <v>60.14</v>
      </c>
      <c r="O48">
        <v>6.4693653275687907E-2</v>
      </c>
      <c r="P48">
        <v>3.8</v>
      </c>
      <c r="Q48" t="str">
        <f t="shared" si="0"/>
        <v/>
      </c>
    </row>
    <row r="49" spans="1:17" x14ac:dyDescent="0.2">
      <c r="A49" s="4">
        <v>37956</v>
      </c>
      <c r="B49" s="5" t="e">
        <v>#N/A</v>
      </c>
      <c r="C49" t="e">
        <v>#N/A</v>
      </c>
      <c r="D49" t="e">
        <v>#N/A</v>
      </c>
      <c r="G49" s="7">
        <v>83.5</v>
      </c>
      <c r="H49">
        <v>105.7</v>
      </c>
      <c r="J49" t="e">
        <v>#N/A</v>
      </c>
      <c r="K49">
        <v>2.9</v>
      </c>
      <c r="L49">
        <v>59.96</v>
      </c>
      <c r="O49">
        <v>2.4600522622714401E-2</v>
      </c>
      <c r="P49">
        <v>3.7</v>
      </c>
      <c r="Q49" t="str">
        <f t="shared" si="0"/>
        <v/>
      </c>
    </row>
    <row r="50" spans="1:17" x14ac:dyDescent="0.2">
      <c r="A50" s="4">
        <v>37987</v>
      </c>
      <c r="B50" s="5">
        <v>80546</v>
      </c>
      <c r="C50">
        <v>95651</v>
      </c>
      <c r="D50">
        <v>103.7</v>
      </c>
      <c r="G50" s="7">
        <v>83.5</v>
      </c>
      <c r="H50">
        <v>105.5</v>
      </c>
      <c r="J50">
        <v>120182</v>
      </c>
      <c r="K50">
        <v>2.8</v>
      </c>
      <c r="L50">
        <v>60.34</v>
      </c>
      <c r="O50">
        <v>3.9500104869208699E-2</v>
      </c>
      <c r="P50">
        <v>2.8</v>
      </c>
      <c r="Q50" t="str">
        <f t="shared" si="0"/>
        <v>2004-Q1</v>
      </c>
    </row>
    <row r="51" spans="1:17" x14ac:dyDescent="0.2">
      <c r="A51" s="4">
        <v>38018</v>
      </c>
      <c r="B51" s="5" t="e">
        <v>#N/A</v>
      </c>
      <c r="C51" t="e">
        <v>#N/A</v>
      </c>
      <c r="D51" t="e">
        <v>#N/A</v>
      </c>
      <c r="G51" s="7">
        <v>86.2</v>
      </c>
      <c r="H51">
        <v>107.1</v>
      </c>
      <c r="J51" t="e">
        <v>#N/A</v>
      </c>
      <c r="K51">
        <v>2.7</v>
      </c>
      <c r="L51">
        <v>60.6</v>
      </c>
      <c r="O51">
        <v>-2.8439019520877899E-2</v>
      </c>
      <c r="P51">
        <v>3.5</v>
      </c>
      <c r="Q51" t="str">
        <f t="shared" si="0"/>
        <v/>
      </c>
    </row>
    <row r="52" spans="1:17" x14ac:dyDescent="0.2">
      <c r="A52" s="4">
        <v>38047</v>
      </c>
      <c r="B52" s="5" t="e">
        <v>#N/A</v>
      </c>
      <c r="C52" t="e">
        <v>#N/A</v>
      </c>
      <c r="D52" t="e">
        <v>#N/A</v>
      </c>
      <c r="G52" s="7">
        <v>84.8</v>
      </c>
      <c r="H52">
        <v>106.4</v>
      </c>
      <c r="J52" t="e">
        <v>#N/A</v>
      </c>
      <c r="K52">
        <v>2.7</v>
      </c>
      <c r="L52">
        <v>61.49</v>
      </c>
      <c r="O52">
        <v>1.1334715685451999E-2</v>
      </c>
      <c r="P52">
        <v>3.5</v>
      </c>
      <c r="Q52" t="str">
        <f t="shared" si="0"/>
        <v/>
      </c>
    </row>
    <row r="53" spans="1:17" x14ac:dyDescent="0.2">
      <c r="A53" s="4">
        <v>38078</v>
      </c>
      <c r="B53" s="5">
        <v>81717</v>
      </c>
      <c r="C53">
        <v>101625</v>
      </c>
      <c r="D53">
        <v>104.7</v>
      </c>
      <c r="G53" s="7">
        <v>86.1</v>
      </c>
      <c r="H53">
        <v>107.5</v>
      </c>
      <c r="J53">
        <v>122260</v>
      </c>
      <c r="K53">
        <v>2.9</v>
      </c>
      <c r="L53">
        <v>62.29</v>
      </c>
      <c r="O53">
        <v>-1.8695182193635401E-2</v>
      </c>
      <c r="P53">
        <v>4.7</v>
      </c>
      <c r="Q53" t="str">
        <f t="shared" si="0"/>
        <v>2004-Q2</v>
      </c>
    </row>
    <row r="54" spans="1:17" x14ac:dyDescent="0.2">
      <c r="A54" s="4">
        <v>38108</v>
      </c>
      <c r="B54" s="5" t="e">
        <v>#N/A</v>
      </c>
      <c r="C54" t="e">
        <v>#N/A</v>
      </c>
      <c r="D54" t="e">
        <v>#N/A</v>
      </c>
      <c r="G54" s="7">
        <v>87.4</v>
      </c>
      <c r="H54">
        <v>107.8</v>
      </c>
      <c r="J54" t="e">
        <v>#N/A</v>
      </c>
      <c r="K54">
        <v>3.1</v>
      </c>
      <c r="L54">
        <v>63.8</v>
      </c>
      <c r="O54">
        <v>1.48403984276495E-2</v>
      </c>
      <c r="P54">
        <v>4.5</v>
      </c>
      <c r="Q54" t="str">
        <f t="shared" si="0"/>
        <v/>
      </c>
    </row>
    <row r="55" spans="1:17" x14ac:dyDescent="0.2">
      <c r="A55" s="4">
        <v>38139</v>
      </c>
      <c r="B55" s="5" t="e">
        <v>#N/A</v>
      </c>
      <c r="C55" t="e">
        <v>#N/A</v>
      </c>
      <c r="D55" t="e">
        <v>#N/A</v>
      </c>
      <c r="G55" s="7">
        <v>87.7</v>
      </c>
      <c r="H55">
        <v>106.6</v>
      </c>
      <c r="J55" t="e">
        <v>#N/A</v>
      </c>
      <c r="K55">
        <v>3.2</v>
      </c>
      <c r="L55">
        <v>63.79</v>
      </c>
      <c r="O55">
        <v>-1.9878636760601899E-2</v>
      </c>
      <c r="P55">
        <v>2.2000000000000002</v>
      </c>
      <c r="Q55" t="str">
        <f t="shared" si="0"/>
        <v/>
      </c>
    </row>
    <row r="56" spans="1:17" x14ac:dyDescent="0.2">
      <c r="A56" s="4">
        <v>38169</v>
      </c>
      <c r="B56" s="5">
        <v>84261</v>
      </c>
      <c r="C56">
        <v>99798</v>
      </c>
      <c r="D56">
        <v>104.8</v>
      </c>
      <c r="G56" s="7">
        <v>88.4</v>
      </c>
      <c r="H56">
        <v>105.2</v>
      </c>
      <c r="J56">
        <v>124494</v>
      </c>
      <c r="K56">
        <v>3.1</v>
      </c>
      <c r="L56">
        <v>64</v>
      </c>
      <c r="O56">
        <v>-6.3082654095012501E-3</v>
      </c>
      <c r="P56">
        <v>3.3</v>
      </c>
      <c r="Q56" t="str">
        <f t="shared" si="0"/>
        <v>2004-Q3</v>
      </c>
    </row>
    <row r="57" spans="1:17" x14ac:dyDescent="0.2">
      <c r="A57" s="4">
        <v>38200</v>
      </c>
      <c r="B57" s="5" t="e">
        <v>#N/A</v>
      </c>
      <c r="C57" t="e">
        <v>#N/A</v>
      </c>
      <c r="D57" t="e">
        <v>#N/A</v>
      </c>
      <c r="G57" s="8">
        <v>86</v>
      </c>
      <c r="H57">
        <v>104.2</v>
      </c>
      <c r="J57" t="e">
        <v>#N/A</v>
      </c>
      <c r="K57">
        <v>3</v>
      </c>
      <c r="L57">
        <v>65.14</v>
      </c>
      <c r="O57">
        <v>2.0090392910391899E-2</v>
      </c>
      <c r="P57">
        <v>1.9</v>
      </c>
      <c r="Q57" t="str">
        <f t="shared" si="0"/>
        <v/>
      </c>
    </row>
    <row r="58" spans="1:17" x14ac:dyDescent="0.2">
      <c r="A58" s="4">
        <v>38231</v>
      </c>
      <c r="B58" s="5" t="e">
        <v>#N/A</v>
      </c>
      <c r="C58" t="e">
        <v>#N/A</v>
      </c>
      <c r="D58" t="e">
        <v>#N/A</v>
      </c>
      <c r="G58" s="7">
        <v>88.7</v>
      </c>
      <c r="H58">
        <v>104.6</v>
      </c>
      <c r="J58" t="e">
        <v>#N/A</v>
      </c>
      <c r="K58">
        <v>2.8</v>
      </c>
      <c r="L58">
        <v>65.180000000000007</v>
      </c>
      <c r="O58">
        <v>4.7322963511255998E-2</v>
      </c>
      <c r="P58">
        <v>1.9</v>
      </c>
      <c r="Q58" t="str">
        <f t="shared" si="0"/>
        <v/>
      </c>
    </row>
    <row r="59" spans="1:17" x14ac:dyDescent="0.2">
      <c r="A59" s="4">
        <v>38261</v>
      </c>
      <c r="B59" s="5">
        <v>86201</v>
      </c>
      <c r="C59">
        <v>108602</v>
      </c>
      <c r="D59">
        <v>106</v>
      </c>
      <c r="G59" s="7">
        <v>89.5</v>
      </c>
      <c r="H59">
        <v>105.1</v>
      </c>
      <c r="J59">
        <v>126851</v>
      </c>
      <c r="K59">
        <v>2.8</v>
      </c>
      <c r="L59">
        <v>66.92</v>
      </c>
      <c r="O59">
        <v>3.2110219665760602E-2</v>
      </c>
      <c r="P59">
        <v>3.8</v>
      </c>
      <c r="Q59" t="str">
        <f t="shared" si="0"/>
        <v>2004-Q4</v>
      </c>
    </row>
    <row r="60" spans="1:17" x14ac:dyDescent="0.2">
      <c r="A60" s="4">
        <v>38292</v>
      </c>
      <c r="B60" s="5" t="e">
        <v>#N/A</v>
      </c>
      <c r="C60" t="e">
        <v>#N/A</v>
      </c>
      <c r="D60" t="e">
        <v>#N/A</v>
      </c>
      <c r="G60" s="7">
        <v>89.7</v>
      </c>
      <c r="H60">
        <v>103.8</v>
      </c>
      <c r="J60" t="e">
        <v>#N/A</v>
      </c>
      <c r="K60">
        <v>2.9</v>
      </c>
      <c r="L60">
        <v>66.12</v>
      </c>
      <c r="O60">
        <v>4.3644168853774097E-2</v>
      </c>
      <c r="P60">
        <v>3.3</v>
      </c>
      <c r="Q60" t="str">
        <f t="shared" si="0"/>
        <v/>
      </c>
    </row>
    <row r="61" spans="1:17" x14ac:dyDescent="0.2">
      <c r="A61" s="4">
        <v>38322</v>
      </c>
      <c r="B61" s="5" t="e">
        <v>#N/A</v>
      </c>
      <c r="C61" t="e">
        <v>#N/A</v>
      </c>
      <c r="D61" t="e">
        <v>#N/A</v>
      </c>
      <c r="G61" s="7">
        <v>86.9</v>
      </c>
      <c r="H61">
        <v>104</v>
      </c>
      <c r="J61" t="e">
        <v>#N/A</v>
      </c>
      <c r="K61">
        <v>2.8</v>
      </c>
      <c r="L61">
        <v>64.5</v>
      </c>
      <c r="O61">
        <v>1.5635711022904199E-2</v>
      </c>
      <c r="P61">
        <v>4</v>
      </c>
      <c r="Q61" t="str">
        <f t="shared" si="0"/>
        <v/>
      </c>
    </row>
    <row r="62" spans="1:17" x14ac:dyDescent="0.2">
      <c r="A62" s="4">
        <v>38353</v>
      </c>
      <c r="B62" s="5">
        <v>88250</v>
      </c>
      <c r="C62">
        <v>101453</v>
      </c>
      <c r="D62">
        <v>106.1</v>
      </c>
      <c r="G62" s="7">
        <v>88.6</v>
      </c>
      <c r="H62">
        <v>105.5</v>
      </c>
      <c r="J62">
        <v>128711</v>
      </c>
      <c r="K62">
        <v>2.8</v>
      </c>
      <c r="L62">
        <v>63.99</v>
      </c>
      <c r="O62">
        <v>1.7953799848871899E-2</v>
      </c>
      <c r="P62">
        <v>3</v>
      </c>
      <c r="Q62" t="str">
        <f t="shared" si="0"/>
        <v>2005-Q1</v>
      </c>
    </row>
    <row r="63" spans="1:17" x14ac:dyDescent="0.2">
      <c r="A63" s="4">
        <v>38384</v>
      </c>
      <c r="B63" s="5" t="e">
        <v>#N/A</v>
      </c>
      <c r="C63" t="e">
        <v>#N/A</v>
      </c>
      <c r="D63" t="e">
        <v>#N/A</v>
      </c>
      <c r="G63" s="7">
        <v>88.7</v>
      </c>
      <c r="H63">
        <v>103.5</v>
      </c>
      <c r="J63" t="e">
        <v>#N/A</v>
      </c>
      <c r="K63">
        <v>2.9</v>
      </c>
      <c r="L63">
        <v>65.23</v>
      </c>
      <c r="O63">
        <v>-1.4177354289476101E-2</v>
      </c>
      <c r="P63">
        <v>2.9</v>
      </c>
      <c r="Q63" t="str">
        <f t="shared" si="0"/>
        <v/>
      </c>
    </row>
    <row r="64" spans="1:17" x14ac:dyDescent="0.2">
      <c r="A64" s="4">
        <v>38412</v>
      </c>
      <c r="B64" s="5" t="e">
        <v>#N/A</v>
      </c>
      <c r="C64" t="e">
        <v>#N/A</v>
      </c>
      <c r="D64" t="e">
        <v>#N/A</v>
      </c>
      <c r="G64" s="7">
        <v>89.9</v>
      </c>
      <c r="H64">
        <v>104.3</v>
      </c>
      <c r="J64" t="e">
        <v>#N/A</v>
      </c>
      <c r="K64">
        <v>3</v>
      </c>
      <c r="L64">
        <v>66.53</v>
      </c>
      <c r="O64">
        <v>-2.8172133614663902E-2</v>
      </c>
      <c r="P64">
        <v>1.8</v>
      </c>
      <c r="Q64" t="str">
        <f t="shared" si="0"/>
        <v/>
      </c>
    </row>
    <row r="65" spans="1:17" x14ac:dyDescent="0.2">
      <c r="A65" s="4">
        <v>38443</v>
      </c>
      <c r="B65" s="5">
        <v>91325</v>
      </c>
      <c r="C65">
        <v>109418</v>
      </c>
      <c r="D65">
        <v>108.5</v>
      </c>
      <c r="G65" s="7">
        <v>91.3</v>
      </c>
      <c r="H65">
        <v>104.4</v>
      </c>
      <c r="J65">
        <v>131548</v>
      </c>
      <c r="K65">
        <v>2.9</v>
      </c>
      <c r="L65">
        <v>68.290000000000006</v>
      </c>
      <c r="O65">
        <v>4.6186182831599303E-2</v>
      </c>
      <c r="P65">
        <v>2.4</v>
      </c>
      <c r="Q65" t="str">
        <f t="shared" si="0"/>
        <v>2005-Q2</v>
      </c>
    </row>
    <row r="66" spans="1:17" x14ac:dyDescent="0.2">
      <c r="A66" s="4">
        <v>38473</v>
      </c>
      <c r="B66" s="5" t="e">
        <v>#N/A</v>
      </c>
      <c r="C66" t="e">
        <v>#N/A</v>
      </c>
      <c r="D66" t="e">
        <v>#N/A</v>
      </c>
      <c r="G66" s="7">
        <v>88.6</v>
      </c>
      <c r="H66">
        <v>104.6</v>
      </c>
      <c r="J66" t="e">
        <v>#N/A</v>
      </c>
      <c r="K66">
        <v>2.7</v>
      </c>
      <c r="L66">
        <v>68.150000000000006</v>
      </c>
      <c r="O66">
        <v>3.7078170107157901E-2</v>
      </c>
      <c r="P66">
        <v>2.2000000000000002</v>
      </c>
      <c r="Q66" t="str">
        <f t="shared" si="0"/>
        <v/>
      </c>
    </row>
    <row r="67" spans="1:17" x14ac:dyDescent="0.2">
      <c r="A67" s="4">
        <v>38504</v>
      </c>
      <c r="B67" s="5" t="e">
        <v>#N/A</v>
      </c>
      <c r="C67" t="e">
        <v>#N/A</v>
      </c>
      <c r="D67" t="e">
        <v>#N/A</v>
      </c>
      <c r="G67" s="7">
        <v>91.1</v>
      </c>
      <c r="H67">
        <v>103.7</v>
      </c>
      <c r="J67" t="e">
        <v>#N/A</v>
      </c>
      <c r="K67">
        <v>2.7</v>
      </c>
      <c r="L67">
        <v>69.069999999999993</v>
      </c>
      <c r="O67">
        <v>3.3412099232066297E-2</v>
      </c>
      <c r="P67">
        <v>2.4</v>
      </c>
      <c r="Q67" t="str">
        <f t="shared" ref="Q67:Q130" si="1">IF(MONTH($A67) = 1, YEAR($A67)&amp;"-Q"&amp;MONTH($A67), IF(MONTH($A67) = 4, YEAR($A67)&amp;"-Q2", IF(MONTH($A67) = 7, YEAR($A67)&amp;"-Q3", IF(MONTH($A67) = 10, YEAR($A67)&amp;"-Q4",""))))</f>
        <v/>
      </c>
    </row>
    <row r="68" spans="1:17" x14ac:dyDescent="0.2">
      <c r="A68" s="4">
        <v>38534</v>
      </c>
      <c r="B68" s="5">
        <v>92971</v>
      </c>
      <c r="C68">
        <v>107353</v>
      </c>
      <c r="D68">
        <v>108.5</v>
      </c>
      <c r="G68" s="7">
        <v>90.4</v>
      </c>
      <c r="H68">
        <v>105</v>
      </c>
      <c r="J68">
        <v>134081</v>
      </c>
      <c r="K68">
        <v>2.5</v>
      </c>
      <c r="L68">
        <v>71.34</v>
      </c>
      <c r="O68">
        <v>-1.0604011882517E-2</v>
      </c>
      <c r="P68">
        <v>2.5</v>
      </c>
      <c r="Q68" t="str">
        <f t="shared" si="1"/>
        <v>2005-Q3</v>
      </c>
    </row>
    <row r="69" spans="1:17" x14ac:dyDescent="0.2">
      <c r="A69" s="4">
        <v>38565</v>
      </c>
      <c r="B69" s="5" t="e">
        <v>#N/A</v>
      </c>
      <c r="C69" t="e">
        <v>#N/A</v>
      </c>
      <c r="D69" t="e">
        <v>#N/A</v>
      </c>
      <c r="G69" s="7">
        <v>92.1</v>
      </c>
      <c r="H69">
        <v>105.4</v>
      </c>
      <c r="J69" t="e">
        <v>#N/A</v>
      </c>
      <c r="K69">
        <v>2.5</v>
      </c>
      <c r="L69">
        <v>72.72</v>
      </c>
      <c r="O69">
        <v>7.7357643560848302E-2</v>
      </c>
      <c r="P69">
        <v>2.7</v>
      </c>
      <c r="Q69" t="str">
        <f t="shared" si="1"/>
        <v/>
      </c>
    </row>
    <row r="70" spans="1:17" x14ac:dyDescent="0.2">
      <c r="A70" s="4">
        <v>38596</v>
      </c>
      <c r="B70" s="5" t="e">
        <v>#N/A</v>
      </c>
      <c r="C70" t="e">
        <v>#N/A</v>
      </c>
      <c r="D70" t="e">
        <v>#N/A</v>
      </c>
      <c r="G70" s="7">
        <v>93.8</v>
      </c>
      <c r="H70">
        <v>105.7</v>
      </c>
      <c r="J70" t="e">
        <v>#N/A</v>
      </c>
      <c r="K70">
        <v>2.6</v>
      </c>
      <c r="L70">
        <v>75.010000000000005</v>
      </c>
      <c r="O70">
        <v>-3.0047791806392599E-2</v>
      </c>
      <c r="P70">
        <v>2.4</v>
      </c>
      <c r="Q70" t="str">
        <f t="shared" si="1"/>
        <v/>
      </c>
    </row>
    <row r="71" spans="1:17" x14ac:dyDescent="0.2">
      <c r="A71" s="4">
        <v>38626</v>
      </c>
      <c r="B71" s="5">
        <v>95660</v>
      </c>
      <c r="C71">
        <v>117221</v>
      </c>
      <c r="D71">
        <v>109.6</v>
      </c>
      <c r="G71" s="7">
        <v>93.2</v>
      </c>
      <c r="H71">
        <v>106.4</v>
      </c>
      <c r="J71">
        <v>136810</v>
      </c>
      <c r="K71">
        <v>2.8</v>
      </c>
      <c r="L71">
        <v>74.48</v>
      </c>
      <c r="O71">
        <v>6.0803167799239298E-3</v>
      </c>
      <c r="P71">
        <v>2.7</v>
      </c>
      <c r="Q71" t="str">
        <f t="shared" si="1"/>
        <v>2005-Q4</v>
      </c>
    </row>
    <row r="72" spans="1:17" x14ac:dyDescent="0.2">
      <c r="A72" s="4">
        <v>38657</v>
      </c>
      <c r="B72" s="5" t="e">
        <v>#N/A</v>
      </c>
      <c r="C72" t="e">
        <v>#N/A</v>
      </c>
      <c r="D72" t="e">
        <v>#N/A</v>
      </c>
      <c r="G72" s="8">
        <v>95</v>
      </c>
      <c r="H72">
        <v>104.2</v>
      </c>
      <c r="J72" t="e">
        <v>#N/A</v>
      </c>
      <c r="K72">
        <v>2.9</v>
      </c>
      <c r="L72">
        <v>72.28</v>
      </c>
      <c r="O72">
        <v>1.6542089170389601E-2</v>
      </c>
      <c r="P72">
        <v>-0.3</v>
      </c>
      <c r="Q72" t="str">
        <f t="shared" si="1"/>
        <v/>
      </c>
    </row>
    <row r="73" spans="1:17" x14ac:dyDescent="0.2">
      <c r="A73" s="4">
        <v>38687</v>
      </c>
      <c r="B73" s="5" t="e">
        <v>#N/A</v>
      </c>
      <c r="C73" t="e">
        <v>#N/A</v>
      </c>
      <c r="D73" t="e">
        <v>#N/A</v>
      </c>
      <c r="G73" s="7">
        <v>96.3</v>
      </c>
      <c r="H73">
        <v>105.6</v>
      </c>
      <c r="J73" t="e">
        <v>#N/A</v>
      </c>
      <c r="K73">
        <v>3.2</v>
      </c>
      <c r="L73">
        <v>70.94</v>
      </c>
      <c r="O73">
        <v>3.3925409190235498E-2</v>
      </c>
      <c r="P73">
        <v>2.4</v>
      </c>
      <c r="Q73" t="str">
        <f t="shared" si="1"/>
        <v/>
      </c>
    </row>
    <row r="74" spans="1:17" x14ac:dyDescent="0.2">
      <c r="A74" s="4">
        <v>38718</v>
      </c>
      <c r="B74" s="5">
        <v>98094</v>
      </c>
      <c r="C74">
        <v>110498</v>
      </c>
      <c r="D74">
        <v>111.3</v>
      </c>
      <c r="G74" s="7">
        <v>95.3</v>
      </c>
      <c r="H74">
        <v>101.6</v>
      </c>
      <c r="J74">
        <v>139290</v>
      </c>
      <c r="K74">
        <v>3.2</v>
      </c>
      <c r="L74">
        <v>73.459999999999994</v>
      </c>
      <c r="O74">
        <v>5.5729051369244297E-2</v>
      </c>
      <c r="P74">
        <v>0.1</v>
      </c>
      <c r="Q74" t="str">
        <f t="shared" si="1"/>
        <v>2006-Q1</v>
      </c>
    </row>
    <row r="75" spans="1:17" x14ac:dyDescent="0.2">
      <c r="A75" s="4">
        <v>38749</v>
      </c>
      <c r="B75" s="5" t="e">
        <v>#N/A</v>
      </c>
      <c r="C75" t="e">
        <v>#N/A</v>
      </c>
      <c r="D75" t="e">
        <v>#N/A</v>
      </c>
      <c r="G75" s="7">
        <v>94.8</v>
      </c>
      <c r="H75">
        <v>101.6</v>
      </c>
      <c r="J75" t="e">
        <v>#N/A</v>
      </c>
      <c r="K75">
        <v>3.1</v>
      </c>
      <c r="L75">
        <v>73.95</v>
      </c>
      <c r="O75">
        <v>9.6292000113660202E-3</v>
      </c>
      <c r="P75">
        <v>-0.1</v>
      </c>
      <c r="Q75" t="str">
        <f t="shared" si="1"/>
        <v/>
      </c>
    </row>
    <row r="76" spans="1:17" x14ac:dyDescent="0.2">
      <c r="A76" s="4">
        <v>38777</v>
      </c>
      <c r="B76" s="5" t="e">
        <v>#N/A</v>
      </c>
      <c r="C76" t="e">
        <v>#N/A</v>
      </c>
      <c r="D76" t="e">
        <v>#N/A</v>
      </c>
      <c r="G76" s="7">
        <v>96.9</v>
      </c>
      <c r="H76">
        <v>102.7</v>
      </c>
      <c r="J76" t="e">
        <v>#N/A</v>
      </c>
      <c r="K76">
        <v>3.1</v>
      </c>
      <c r="L76">
        <v>74.36</v>
      </c>
      <c r="O76">
        <v>3.2172948420417001E-3</v>
      </c>
      <c r="P76">
        <v>-0.1</v>
      </c>
      <c r="Q76" t="str">
        <f t="shared" si="1"/>
        <v/>
      </c>
    </row>
    <row r="77" spans="1:17" x14ac:dyDescent="0.2">
      <c r="A77" s="4">
        <v>38808</v>
      </c>
      <c r="B77" s="5">
        <v>100342</v>
      </c>
      <c r="C77">
        <v>118594</v>
      </c>
      <c r="D77">
        <v>111.2</v>
      </c>
      <c r="G77" s="7">
        <v>96.9</v>
      </c>
      <c r="H77">
        <v>104.3</v>
      </c>
      <c r="J77">
        <v>142389</v>
      </c>
      <c r="K77">
        <v>3.1</v>
      </c>
      <c r="L77">
        <v>76.64</v>
      </c>
      <c r="O77">
        <v>-4.7527560285946201E-2</v>
      </c>
      <c r="P77">
        <v>0.9</v>
      </c>
      <c r="Q77" t="str">
        <f t="shared" si="1"/>
        <v>2006-Q2</v>
      </c>
    </row>
    <row r="78" spans="1:17" x14ac:dyDescent="0.2">
      <c r="A78" s="4">
        <v>38838</v>
      </c>
      <c r="B78" s="5" t="e">
        <v>#N/A</v>
      </c>
      <c r="C78" t="e">
        <v>#N/A</v>
      </c>
      <c r="D78" t="e">
        <v>#N/A</v>
      </c>
      <c r="G78" s="7">
        <v>99.7</v>
      </c>
      <c r="H78">
        <v>105.9</v>
      </c>
      <c r="J78" t="e">
        <v>#N/A</v>
      </c>
      <c r="K78">
        <v>3.1</v>
      </c>
      <c r="L78">
        <v>77.92</v>
      </c>
      <c r="O78">
        <v>1.8140498407069199E-2</v>
      </c>
      <c r="P78">
        <v>-0.3</v>
      </c>
      <c r="Q78" t="str">
        <f t="shared" si="1"/>
        <v/>
      </c>
    </row>
    <row r="79" spans="1:17" x14ac:dyDescent="0.2">
      <c r="A79" s="4">
        <v>38869</v>
      </c>
      <c r="B79" s="5" t="e">
        <v>#N/A</v>
      </c>
      <c r="C79" t="e">
        <v>#N/A</v>
      </c>
      <c r="D79" t="e">
        <v>#N/A</v>
      </c>
      <c r="G79" s="7">
        <v>101.4</v>
      </c>
      <c r="H79">
        <v>103.3</v>
      </c>
      <c r="J79" t="e">
        <v>#N/A</v>
      </c>
      <c r="K79">
        <v>3.2</v>
      </c>
      <c r="L79">
        <v>77.36</v>
      </c>
      <c r="O79">
        <v>2.31029054780603E-2</v>
      </c>
      <c r="P79">
        <v>-1.1000000000000001</v>
      </c>
      <c r="Q79" t="str">
        <f t="shared" si="1"/>
        <v/>
      </c>
    </row>
    <row r="80" spans="1:17" x14ac:dyDescent="0.2">
      <c r="A80" s="4">
        <v>38899</v>
      </c>
      <c r="B80" s="5">
        <v>102376</v>
      </c>
      <c r="C80">
        <v>115954</v>
      </c>
      <c r="D80">
        <v>112.7</v>
      </c>
      <c r="G80" s="7">
        <v>98.9</v>
      </c>
      <c r="H80">
        <v>103.7</v>
      </c>
      <c r="J80">
        <v>144331</v>
      </c>
      <c r="K80">
        <v>3.4</v>
      </c>
      <c r="L80">
        <v>78.489999999999995</v>
      </c>
      <c r="O80">
        <v>2.72690837844216E-2</v>
      </c>
      <c r="P80">
        <v>-0.6</v>
      </c>
      <c r="Q80" t="str">
        <f t="shared" si="1"/>
        <v>2006-Q3</v>
      </c>
    </row>
    <row r="81" spans="1:17" x14ac:dyDescent="0.2">
      <c r="A81" s="4">
        <v>38930</v>
      </c>
      <c r="B81" s="5" t="e">
        <v>#N/A</v>
      </c>
      <c r="C81" t="e">
        <v>#N/A</v>
      </c>
      <c r="D81" t="e">
        <v>#N/A</v>
      </c>
      <c r="G81" s="8">
        <v>101</v>
      </c>
      <c r="H81">
        <v>105.1</v>
      </c>
      <c r="J81" t="e">
        <v>#N/A</v>
      </c>
      <c r="K81">
        <v>3.3</v>
      </c>
      <c r="L81">
        <v>78.650000000000006</v>
      </c>
      <c r="O81">
        <v>6.3020760873499199E-2</v>
      </c>
      <c r="P81">
        <v>0.8</v>
      </c>
      <c r="Q81" t="str">
        <f t="shared" si="1"/>
        <v/>
      </c>
    </row>
    <row r="82" spans="1:17" x14ac:dyDescent="0.2">
      <c r="A82" s="4">
        <v>38961</v>
      </c>
      <c r="B82" s="5" t="e">
        <v>#N/A</v>
      </c>
      <c r="C82" t="e">
        <v>#N/A</v>
      </c>
      <c r="D82" t="e">
        <v>#N/A</v>
      </c>
      <c r="G82" s="7">
        <v>99.5</v>
      </c>
      <c r="H82">
        <v>105.6</v>
      </c>
      <c r="J82" t="e">
        <v>#N/A</v>
      </c>
      <c r="K82">
        <v>3.2</v>
      </c>
      <c r="L82">
        <v>75.66</v>
      </c>
      <c r="O82">
        <v>6.1343344551167099E-2</v>
      </c>
      <c r="P82">
        <v>-0.1</v>
      </c>
      <c r="Q82" t="str">
        <f t="shared" si="1"/>
        <v/>
      </c>
    </row>
    <row r="83" spans="1:17" x14ac:dyDescent="0.2">
      <c r="A83" s="4">
        <v>38991</v>
      </c>
      <c r="B83" s="5">
        <v>106267</v>
      </c>
      <c r="C83">
        <v>126912</v>
      </c>
      <c r="D83">
        <v>112.5</v>
      </c>
      <c r="G83" s="7">
        <v>101.4</v>
      </c>
      <c r="H83">
        <v>105.7</v>
      </c>
      <c r="J83">
        <v>146301</v>
      </c>
      <c r="K83">
        <v>3.1</v>
      </c>
      <c r="L83">
        <v>73.040000000000006</v>
      </c>
      <c r="O83">
        <v>6.9776936045666798E-3</v>
      </c>
      <c r="P83">
        <v>2.7</v>
      </c>
      <c r="Q83" t="str">
        <f t="shared" si="1"/>
        <v>2006-Q4</v>
      </c>
    </row>
    <row r="84" spans="1:17" x14ac:dyDescent="0.2">
      <c r="A84" s="4">
        <v>39022</v>
      </c>
      <c r="B84" s="5" t="e">
        <v>#N/A</v>
      </c>
      <c r="C84" t="e">
        <v>#N/A</v>
      </c>
      <c r="D84" t="e">
        <v>#N/A</v>
      </c>
      <c r="G84" s="7">
        <v>102.8</v>
      </c>
      <c r="H84">
        <v>103.4</v>
      </c>
      <c r="J84" t="e">
        <v>#N/A</v>
      </c>
      <c r="K84">
        <v>2.9</v>
      </c>
      <c r="L84">
        <v>72.5</v>
      </c>
      <c r="O84">
        <v>2.1232567932774098E-2</v>
      </c>
      <c r="P84">
        <v>3.2</v>
      </c>
      <c r="Q84" t="str">
        <f t="shared" si="1"/>
        <v/>
      </c>
    </row>
    <row r="85" spans="1:17" x14ac:dyDescent="0.2">
      <c r="A85" s="4">
        <v>39052</v>
      </c>
      <c r="B85" s="5" t="e">
        <v>#N/A</v>
      </c>
      <c r="C85" t="e">
        <v>#N/A</v>
      </c>
      <c r="D85" t="e">
        <v>#N/A</v>
      </c>
      <c r="G85" s="7">
        <v>106.1</v>
      </c>
      <c r="H85">
        <v>107</v>
      </c>
      <c r="J85" t="e">
        <v>#N/A</v>
      </c>
      <c r="K85">
        <v>2.7</v>
      </c>
      <c r="L85">
        <v>72.78</v>
      </c>
      <c r="O85">
        <v>2.8343670458317798E-2</v>
      </c>
      <c r="P85">
        <v>2.1</v>
      </c>
      <c r="Q85" t="str">
        <f t="shared" si="1"/>
        <v/>
      </c>
    </row>
    <row r="86" spans="1:17" x14ac:dyDescent="0.2">
      <c r="A86" s="4">
        <v>39083</v>
      </c>
      <c r="B86" s="5">
        <v>108947</v>
      </c>
      <c r="C86">
        <v>119538</v>
      </c>
      <c r="D86">
        <v>113.8</v>
      </c>
      <c r="G86" s="7">
        <v>102.9</v>
      </c>
      <c r="H86">
        <v>105.4</v>
      </c>
      <c r="J86">
        <v>149108</v>
      </c>
      <c r="K86">
        <v>2.8</v>
      </c>
      <c r="L86">
        <v>72.56</v>
      </c>
      <c r="O86">
        <v>-2.11662670039168E-2</v>
      </c>
      <c r="P86">
        <v>0.1</v>
      </c>
      <c r="Q86" t="str">
        <f t="shared" si="1"/>
        <v>2007-Q1</v>
      </c>
    </row>
    <row r="87" spans="1:17" x14ac:dyDescent="0.2">
      <c r="A87" s="4">
        <v>39114</v>
      </c>
      <c r="B87" s="5" t="e">
        <v>#N/A</v>
      </c>
      <c r="C87" t="e">
        <v>#N/A</v>
      </c>
      <c r="D87" t="e">
        <v>#N/A</v>
      </c>
      <c r="G87" s="7">
        <v>102.9</v>
      </c>
      <c r="H87">
        <v>104.9</v>
      </c>
      <c r="J87" t="e">
        <v>#N/A</v>
      </c>
      <c r="K87">
        <v>2.9</v>
      </c>
      <c r="L87">
        <v>72.680000000000007</v>
      </c>
      <c r="O87">
        <v>2.7228988225470398E-2</v>
      </c>
      <c r="P87">
        <v>0.6</v>
      </c>
      <c r="Q87" t="str">
        <f t="shared" si="1"/>
        <v/>
      </c>
    </row>
    <row r="88" spans="1:17" x14ac:dyDescent="0.2">
      <c r="A88" s="4">
        <v>39142</v>
      </c>
      <c r="B88" s="5" t="e">
        <v>#N/A</v>
      </c>
      <c r="C88" t="e">
        <v>#N/A</v>
      </c>
      <c r="D88" t="e">
        <v>#N/A</v>
      </c>
      <c r="G88" s="7">
        <v>104.9</v>
      </c>
      <c r="H88">
        <v>107.1</v>
      </c>
      <c r="J88" t="e">
        <v>#N/A</v>
      </c>
      <c r="K88">
        <v>2.8</v>
      </c>
      <c r="L88">
        <v>74.14</v>
      </c>
      <c r="O88">
        <v>-1.8410902315148199E-2</v>
      </c>
      <c r="P88">
        <v>1.3</v>
      </c>
      <c r="Q88" t="str">
        <f t="shared" si="1"/>
        <v/>
      </c>
    </row>
    <row r="89" spans="1:17" x14ac:dyDescent="0.2">
      <c r="A89" s="4">
        <v>39173</v>
      </c>
      <c r="B89" s="5">
        <v>110866</v>
      </c>
      <c r="C89">
        <v>128098</v>
      </c>
      <c r="D89">
        <v>114.4</v>
      </c>
      <c r="G89" s="7">
        <v>103.3</v>
      </c>
      <c r="H89">
        <v>105.4</v>
      </c>
      <c r="J89">
        <v>151664</v>
      </c>
      <c r="K89">
        <v>2.9</v>
      </c>
      <c r="L89">
        <v>75.53</v>
      </c>
      <c r="O89">
        <v>6.4309845621970396E-2</v>
      </c>
      <c r="P89">
        <v>0.2</v>
      </c>
      <c r="Q89" t="str">
        <f t="shared" si="1"/>
        <v>2007-Q2</v>
      </c>
    </row>
    <row r="90" spans="1:17" x14ac:dyDescent="0.2">
      <c r="A90" s="4">
        <v>39203</v>
      </c>
      <c r="B90" s="5" t="e">
        <v>#N/A</v>
      </c>
      <c r="C90" t="e">
        <v>#N/A</v>
      </c>
      <c r="D90" t="e">
        <v>#N/A</v>
      </c>
      <c r="G90" s="7">
        <v>105.9</v>
      </c>
      <c r="H90">
        <v>104.2</v>
      </c>
      <c r="J90" t="e">
        <v>#N/A</v>
      </c>
      <c r="K90">
        <v>2.9</v>
      </c>
      <c r="L90">
        <v>76.650000000000006</v>
      </c>
      <c r="O90">
        <v>-2.8948422646134699E-2</v>
      </c>
      <c r="P90">
        <v>0.1</v>
      </c>
      <c r="Q90" t="str">
        <f t="shared" si="1"/>
        <v/>
      </c>
    </row>
    <row r="91" spans="1:17" x14ac:dyDescent="0.2">
      <c r="A91" s="4">
        <v>39234</v>
      </c>
      <c r="B91" s="5" t="e">
        <v>#N/A</v>
      </c>
      <c r="C91" t="e">
        <v>#N/A</v>
      </c>
      <c r="D91" t="e">
        <v>#N/A</v>
      </c>
      <c r="G91" s="7">
        <v>106.7</v>
      </c>
      <c r="H91">
        <v>104.8</v>
      </c>
      <c r="J91" t="e">
        <v>#N/A</v>
      </c>
      <c r="K91">
        <v>2.7</v>
      </c>
      <c r="L91">
        <v>77.22</v>
      </c>
      <c r="O91">
        <v>-6.0347998358007996E-3</v>
      </c>
      <c r="P91">
        <v>0.6</v>
      </c>
      <c r="Q91" t="str">
        <f t="shared" si="1"/>
        <v/>
      </c>
    </row>
    <row r="92" spans="1:17" x14ac:dyDescent="0.2">
      <c r="A92" s="4">
        <v>39264</v>
      </c>
      <c r="B92" s="5">
        <v>111725</v>
      </c>
      <c r="C92">
        <v>124754</v>
      </c>
      <c r="D92">
        <v>115.3</v>
      </c>
      <c r="G92" s="7">
        <v>106.7</v>
      </c>
      <c r="H92">
        <v>103.9</v>
      </c>
      <c r="J92">
        <v>153524</v>
      </c>
      <c r="K92">
        <v>2.7</v>
      </c>
      <c r="L92">
        <v>77.569999999999993</v>
      </c>
      <c r="O92">
        <v>-2.2034794955803998E-2</v>
      </c>
      <c r="P92">
        <v>2.2000000000000002</v>
      </c>
      <c r="Q92" t="str">
        <f t="shared" si="1"/>
        <v>2007-Q3</v>
      </c>
    </row>
    <row r="93" spans="1:17" x14ac:dyDescent="0.2">
      <c r="A93" s="4">
        <v>39295</v>
      </c>
      <c r="B93" s="5" t="e">
        <v>#N/A</v>
      </c>
      <c r="C93" t="e">
        <v>#N/A</v>
      </c>
      <c r="D93" t="e">
        <v>#N/A</v>
      </c>
      <c r="G93" s="7">
        <v>105.9</v>
      </c>
      <c r="H93">
        <v>103.9</v>
      </c>
      <c r="J93" t="e">
        <v>#N/A</v>
      </c>
      <c r="K93">
        <v>2.7</v>
      </c>
      <c r="L93">
        <v>76.959999999999994</v>
      </c>
      <c r="O93">
        <v>6.6560816741798598E-3</v>
      </c>
      <c r="P93">
        <v>0.1</v>
      </c>
      <c r="Q93" t="str">
        <f t="shared" si="1"/>
        <v/>
      </c>
    </row>
    <row r="94" spans="1:17" x14ac:dyDescent="0.2">
      <c r="A94" s="4">
        <v>39326</v>
      </c>
      <c r="B94" s="5" t="e">
        <v>#N/A</v>
      </c>
      <c r="C94" t="e">
        <v>#N/A</v>
      </c>
      <c r="D94" t="e">
        <v>#N/A</v>
      </c>
      <c r="G94" s="7">
        <v>106.8</v>
      </c>
      <c r="H94">
        <v>103.2</v>
      </c>
      <c r="J94" t="e">
        <v>#N/A</v>
      </c>
      <c r="K94">
        <v>2.8</v>
      </c>
      <c r="L94">
        <v>77.39</v>
      </c>
      <c r="O94">
        <v>8.6310803491549806E-2</v>
      </c>
      <c r="P94">
        <v>-1.7</v>
      </c>
      <c r="Q94" t="str">
        <f t="shared" si="1"/>
        <v/>
      </c>
    </row>
    <row r="95" spans="1:17" x14ac:dyDescent="0.2">
      <c r="A95" s="4">
        <v>39356</v>
      </c>
      <c r="B95" s="5">
        <v>110913</v>
      </c>
      <c r="C95">
        <v>136717</v>
      </c>
      <c r="D95">
        <v>115.4</v>
      </c>
      <c r="G95" s="7">
        <v>107.5</v>
      </c>
      <c r="H95">
        <v>98.6</v>
      </c>
      <c r="J95">
        <v>157304</v>
      </c>
      <c r="K95">
        <v>3.3</v>
      </c>
      <c r="L95">
        <v>78.13</v>
      </c>
      <c r="O95">
        <v>-8.2526823666508892E-3</v>
      </c>
      <c r="P95">
        <v>-2.5</v>
      </c>
      <c r="Q95" t="str">
        <f t="shared" si="1"/>
        <v>2007-Q4</v>
      </c>
    </row>
    <row r="96" spans="1:17" x14ac:dyDescent="0.2">
      <c r="A96" s="4">
        <v>39387</v>
      </c>
      <c r="B96" s="5" t="e">
        <v>#N/A</v>
      </c>
      <c r="C96" t="e">
        <v>#N/A</v>
      </c>
      <c r="D96" t="e">
        <v>#N/A</v>
      </c>
      <c r="G96" s="8">
        <v>107</v>
      </c>
      <c r="H96">
        <v>99.2</v>
      </c>
      <c r="J96" t="e">
        <v>#N/A</v>
      </c>
      <c r="K96">
        <v>3.4</v>
      </c>
      <c r="L96">
        <v>80.209999999999994</v>
      </c>
      <c r="O96">
        <v>-3.7338501240693503E-2</v>
      </c>
      <c r="P96">
        <v>-4.4000000000000004</v>
      </c>
      <c r="Q96" t="str">
        <f t="shared" si="1"/>
        <v/>
      </c>
    </row>
    <row r="97" spans="1:17" x14ac:dyDescent="0.2">
      <c r="A97" s="4">
        <v>39417</v>
      </c>
      <c r="B97" s="5" t="e">
        <v>#N/A</v>
      </c>
      <c r="C97" t="e">
        <v>#N/A</v>
      </c>
      <c r="D97" t="e">
        <v>#N/A</v>
      </c>
      <c r="G97" s="7">
        <v>107.2</v>
      </c>
      <c r="H97">
        <v>99.4</v>
      </c>
      <c r="J97" t="e">
        <v>#N/A</v>
      </c>
      <c r="K97">
        <v>3.5</v>
      </c>
      <c r="L97">
        <v>81.08</v>
      </c>
      <c r="O97">
        <v>-0.13771887329700799</v>
      </c>
      <c r="P97">
        <v>-7.8</v>
      </c>
      <c r="Q97" t="str">
        <f t="shared" si="1"/>
        <v/>
      </c>
    </row>
    <row r="98" spans="1:17" x14ac:dyDescent="0.2">
      <c r="A98" s="4">
        <v>39448</v>
      </c>
      <c r="B98" s="5">
        <v>109221</v>
      </c>
      <c r="C98">
        <v>131025</v>
      </c>
      <c r="D98">
        <v>116.2</v>
      </c>
      <c r="G98" s="7">
        <v>107.5</v>
      </c>
      <c r="H98">
        <v>95.6</v>
      </c>
      <c r="J98">
        <v>159003</v>
      </c>
      <c r="K98">
        <v>3.4</v>
      </c>
      <c r="L98">
        <v>82.26</v>
      </c>
      <c r="O98">
        <v>-4.4394724692580203E-3</v>
      </c>
      <c r="P98">
        <v>-8.4</v>
      </c>
      <c r="Q98" t="str">
        <f t="shared" si="1"/>
        <v>2008-Q1</v>
      </c>
    </row>
    <row r="99" spans="1:17" x14ac:dyDescent="0.2">
      <c r="A99" s="4">
        <v>39479</v>
      </c>
      <c r="B99" s="5" t="e">
        <v>#N/A</v>
      </c>
      <c r="C99" t="e">
        <v>#N/A</v>
      </c>
      <c r="D99" t="e">
        <v>#N/A</v>
      </c>
      <c r="G99" s="7">
        <v>110.3</v>
      </c>
      <c r="H99">
        <v>91.8</v>
      </c>
      <c r="J99" t="e">
        <v>#N/A</v>
      </c>
      <c r="K99">
        <v>3.5</v>
      </c>
      <c r="L99">
        <v>82.29</v>
      </c>
      <c r="O99">
        <v>7.4585705433136704E-3</v>
      </c>
      <c r="P99">
        <v>-8.9</v>
      </c>
      <c r="Q99" t="str">
        <f t="shared" si="1"/>
        <v/>
      </c>
    </row>
    <row r="100" spans="1:17" x14ac:dyDescent="0.2">
      <c r="A100" s="4">
        <v>39508</v>
      </c>
      <c r="B100" s="5" t="e">
        <v>#N/A</v>
      </c>
      <c r="C100" t="e">
        <v>#N/A</v>
      </c>
      <c r="D100" t="e">
        <v>#N/A</v>
      </c>
      <c r="G100" s="7">
        <v>107.2</v>
      </c>
      <c r="H100">
        <v>89.5</v>
      </c>
      <c r="J100" t="e">
        <v>#N/A</v>
      </c>
      <c r="K100">
        <v>3.6</v>
      </c>
      <c r="L100">
        <v>84.57</v>
      </c>
      <c r="O100">
        <v>3.9114894459924401E-2</v>
      </c>
      <c r="P100">
        <v>-8.1</v>
      </c>
      <c r="Q100" t="str">
        <f t="shared" si="1"/>
        <v/>
      </c>
    </row>
    <row r="101" spans="1:17" x14ac:dyDescent="0.2">
      <c r="A101" s="4">
        <v>39539</v>
      </c>
      <c r="B101" s="5">
        <v>105472</v>
      </c>
      <c r="C101">
        <v>139117</v>
      </c>
      <c r="D101">
        <v>116.3</v>
      </c>
      <c r="G101" s="7">
        <v>107.6</v>
      </c>
      <c r="H101">
        <v>88.8</v>
      </c>
      <c r="J101">
        <v>158524</v>
      </c>
      <c r="K101">
        <v>3.3</v>
      </c>
      <c r="L101">
        <v>85.58</v>
      </c>
      <c r="O101">
        <v>-1.4409386270669299E-2</v>
      </c>
      <c r="P101">
        <v>-11.7</v>
      </c>
      <c r="Q101" t="str">
        <f t="shared" si="1"/>
        <v>2008-Q2</v>
      </c>
    </row>
    <row r="102" spans="1:17" x14ac:dyDescent="0.2">
      <c r="A102" s="4">
        <v>39569</v>
      </c>
      <c r="B102" s="5" t="e">
        <v>#N/A</v>
      </c>
      <c r="C102" t="e">
        <v>#N/A</v>
      </c>
      <c r="D102" t="e">
        <v>#N/A</v>
      </c>
      <c r="G102" s="7">
        <v>107.5</v>
      </c>
      <c r="H102">
        <v>88</v>
      </c>
      <c r="J102" t="e">
        <v>#N/A</v>
      </c>
      <c r="K102">
        <v>3.4</v>
      </c>
      <c r="L102">
        <v>89.27</v>
      </c>
      <c r="O102">
        <v>-0.121386722024484</v>
      </c>
      <c r="P102">
        <v>-15.8</v>
      </c>
      <c r="Q102" t="str">
        <f t="shared" si="1"/>
        <v/>
      </c>
    </row>
    <row r="103" spans="1:17" x14ac:dyDescent="0.2">
      <c r="A103" s="4">
        <v>39600</v>
      </c>
      <c r="B103" s="5" t="e">
        <v>#N/A</v>
      </c>
      <c r="C103" t="e">
        <v>#N/A</v>
      </c>
      <c r="D103" t="e">
        <v>#N/A</v>
      </c>
      <c r="G103" s="7">
        <v>104.3</v>
      </c>
      <c r="H103">
        <v>81.599999999999994</v>
      </c>
      <c r="J103" t="e">
        <v>#N/A</v>
      </c>
      <c r="K103">
        <v>3.6</v>
      </c>
      <c r="L103">
        <v>91.99</v>
      </c>
      <c r="O103">
        <v>-1.3783554600555799E-2</v>
      </c>
      <c r="P103">
        <v>-22.3</v>
      </c>
      <c r="Q103" t="str">
        <f t="shared" si="1"/>
        <v/>
      </c>
    </row>
    <row r="104" spans="1:17" x14ac:dyDescent="0.2">
      <c r="A104" s="4">
        <v>39630</v>
      </c>
      <c r="B104" s="5">
        <v>97931</v>
      </c>
      <c r="C104">
        <v>133582</v>
      </c>
      <c r="D104">
        <v>114.9</v>
      </c>
      <c r="G104" s="7">
        <v>107.5</v>
      </c>
      <c r="H104">
        <v>85.5</v>
      </c>
      <c r="J104">
        <v>157207</v>
      </c>
      <c r="K104">
        <v>3.6</v>
      </c>
      <c r="L104">
        <v>94.12</v>
      </c>
      <c r="O104">
        <v>-1.47531569382497E-2</v>
      </c>
      <c r="P104">
        <v>-23.3</v>
      </c>
      <c r="Q104" t="str">
        <f t="shared" si="1"/>
        <v>2008-Q3</v>
      </c>
    </row>
    <row r="105" spans="1:17" x14ac:dyDescent="0.2">
      <c r="A105" s="4">
        <v>39661</v>
      </c>
      <c r="B105" s="5" t="e">
        <v>#N/A</v>
      </c>
      <c r="C105" t="e">
        <v>#N/A</v>
      </c>
      <c r="D105" t="e">
        <v>#N/A</v>
      </c>
      <c r="G105" s="7">
        <v>104.9</v>
      </c>
      <c r="H105">
        <v>80.8</v>
      </c>
      <c r="J105" t="e">
        <v>#N/A</v>
      </c>
      <c r="K105">
        <v>3.6</v>
      </c>
      <c r="L105">
        <v>90.45</v>
      </c>
      <c r="O105">
        <v>-6.3454299168968803E-2</v>
      </c>
      <c r="P105">
        <v>-20</v>
      </c>
      <c r="Q105" t="str">
        <f t="shared" si="1"/>
        <v/>
      </c>
    </row>
    <row r="106" spans="1:17" x14ac:dyDescent="0.2">
      <c r="A106" s="4">
        <v>39692</v>
      </c>
      <c r="B106" s="5" t="e">
        <v>#N/A</v>
      </c>
      <c r="C106" t="e">
        <v>#N/A</v>
      </c>
      <c r="D106" t="e">
        <v>#N/A</v>
      </c>
      <c r="G106" s="7">
        <v>101.3</v>
      </c>
      <c r="H106">
        <v>78.599999999999994</v>
      </c>
      <c r="J106" t="e">
        <v>#N/A</v>
      </c>
      <c r="K106">
        <v>3.5</v>
      </c>
      <c r="L106">
        <v>88.81</v>
      </c>
      <c r="O106">
        <v>-0.186727151627858</v>
      </c>
      <c r="P106">
        <v>-20.8</v>
      </c>
      <c r="Q106" t="str">
        <f t="shared" si="1"/>
        <v/>
      </c>
    </row>
    <row r="107" spans="1:17" x14ac:dyDescent="0.2">
      <c r="A107" s="4">
        <v>39722</v>
      </c>
      <c r="B107" s="5">
        <v>96458</v>
      </c>
      <c r="C107">
        <v>141502</v>
      </c>
      <c r="D107">
        <v>114.6</v>
      </c>
      <c r="G107" s="8">
        <v>92</v>
      </c>
      <c r="H107">
        <v>74.5</v>
      </c>
      <c r="J107">
        <v>154454</v>
      </c>
      <c r="K107">
        <v>3</v>
      </c>
      <c r="L107">
        <v>85.42</v>
      </c>
      <c r="O107">
        <v>-2.2789575938858799E-2</v>
      </c>
      <c r="P107">
        <v>-24.3</v>
      </c>
      <c r="Q107" t="str">
        <f t="shared" si="1"/>
        <v>2008-Q4</v>
      </c>
    </row>
    <row r="108" spans="1:17" x14ac:dyDescent="0.2">
      <c r="A108" s="4">
        <v>39753</v>
      </c>
      <c r="B108" s="5" t="e">
        <v>#N/A</v>
      </c>
      <c r="C108" t="e">
        <v>#N/A</v>
      </c>
      <c r="D108" t="e">
        <v>#N/A</v>
      </c>
      <c r="G108" s="7">
        <v>86.4</v>
      </c>
      <c r="H108">
        <v>73.099999999999994</v>
      </c>
      <c r="J108" t="e">
        <v>#N/A</v>
      </c>
      <c r="K108">
        <v>2.7</v>
      </c>
      <c r="L108">
        <v>79.87</v>
      </c>
      <c r="O108">
        <v>3.1505301394194198E-2</v>
      </c>
      <c r="P108">
        <v>-23.2</v>
      </c>
      <c r="Q108" t="str">
        <f t="shared" si="1"/>
        <v/>
      </c>
    </row>
    <row r="109" spans="1:17" x14ac:dyDescent="0.2">
      <c r="A109" s="4">
        <v>39783</v>
      </c>
      <c r="B109" s="5" t="e">
        <v>#N/A</v>
      </c>
      <c r="C109" t="e">
        <v>#N/A</v>
      </c>
      <c r="D109" t="e">
        <v>#N/A</v>
      </c>
      <c r="G109" s="7">
        <v>84.1</v>
      </c>
      <c r="H109">
        <v>68.2</v>
      </c>
      <c r="J109" t="e">
        <v>#N/A</v>
      </c>
      <c r="K109">
        <v>2.4</v>
      </c>
      <c r="L109">
        <v>75.31</v>
      </c>
      <c r="O109">
        <v>-8.4533013086335998E-2</v>
      </c>
      <c r="P109">
        <v>-24</v>
      </c>
      <c r="Q109" t="str">
        <f t="shared" si="1"/>
        <v/>
      </c>
    </row>
    <row r="110" spans="1:17" x14ac:dyDescent="0.2">
      <c r="A110" s="4">
        <v>39814</v>
      </c>
      <c r="B110" s="5">
        <v>96310</v>
      </c>
      <c r="C110">
        <v>128552</v>
      </c>
      <c r="D110">
        <v>110.1</v>
      </c>
      <c r="G110" s="7">
        <v>78.8</v>
      </c>
      <c r="H110">
        <v>70.5</v>
      </c>
      <c r="J110">
        <v>151196</v>
      </c>
      <c r="K110">
        <v>1.9</v>
      </c>
      <c r="L110">
        <v>74.709999999999994</v>
      </c>
      <c r="O110">
        <v>-0.103319363606394</v>
      </c>
      <c r="P110">
        <v>-23.5</v>
      </c>
      <c r="Q110" t="str">
        <f t="shared" si="1"/>
        <v>2009-Q1</v>
      </c>
    </row>
    <row r="111" spans="1:17" x14ac:dyDescent="0.2">
      <c r="A111" s="4">
        <v>39845</v>
      </c>
      <c r="B111" s="5" t="e">
        <v>#N/A</v>
      </c>
      <c r="C111" t="e">
        <v>#N/A</v>
      </c>
      <c r="D111" t="e">
        <v>#N/A</v>
      </c>
      <c r="G111" s="7">
        <v>76.7</v>
      </c>
      <c r="H111">
        <v>67.599999999999994</v>
      </c>
      <c r="J111" t="e">
        <v>#N/A</v>
      </c>
      <c r="K111">
        <v>1.6</v>
      </c>
      <c r="L111">
        <v>75.69</v>
      </c>
      <c r="O111">
        <v>2.5150503727395801E-2</v>
      </c>
      <c r="P111">
        <v>-27.9</v>
      </c>
      <c r="Q111" t="str">
        <f t="shared" si="1"/>
        <v/>
      </c>
    </row>
    <row r="112" spans="1:17" x14ac:dyDescent="0.2">
      <c r="A112" s="4">
        <v>39873</v>
      </c>
      <c r="B112" s="5" t="e">
        <v>#N/A</v>
      </c>
      <c r="C112" t="e">
        <v>#N/A</v>
      </c>
      <c r="D112" t="e">
        <v>#N/A</v>
      </c>
      <c r="G112" s="8">
        <v>77</v>
      </c>
      <c r="H112">
        <v>68.3</v>
      </c>
      <c r="J112" t="e">
        <v>#N/A</v>
      </c>
      <c r="K112">
        <v>1.2</v>
      </c>
      <c r="L112">
        <v>74.88</v>
      </c>
      <c r="O112">
        <v>0.14539294711564901</v>
      </c>
      <c r="P112">
        <v>-21.5</v>
      </c>
      <c r="Q112" t="str">
        <f t="shared" si="1"/>
        <v/>
      </c>
    </row>
    <row r="113" spans="1:17" x14ac:dyDescent="0.2">
      <c r="A113" s="4">
        <v>39904</v>
      </c>
      <c r="B113" s="5">
        <v>89900</v>
      </c>
      <c r="C113">
        <v>135363</v>
      </c>
      <c r="D113">
        <v>108.7</v>
      </c>
      <c r="G113" s="7">
        <v>79.099999999999994</v>
      </c>
      <c r="H113">
        <v>74.599999999999994</v>
      </c>
      <c r="J113">
        <v>149164</v>
      </c>
      <c r="K113">
        <v>1.2</v>
      </c>
      <c r="L113">
        <v>75.069999999999993</v>
      </c>
      <c r="O113">
        <v>4.18535283054116E-2</v>
      </c>
      <c r="P113">
        <v>-18.5</v>
      </c>
      <c r="Q113" t="str">
        <f t="shared" si="1"/>
        <v>2009-Q2</v>
      </c>
    </row>
    <row r="114" spans="1:17" x14ac:dyDescent="0.2">
      <c r="A114" s="4">
        <v>39934</v>
      </c>
      <c r="B114" s="5" t="e">
        <v>#N/A</v>
      </c>
      <c r="C114" t="e">
        <v>#N/A</v>
      </c>
      <c r="D114" t="e">
        <v>#N/A</v>
      </c>
      <c r="G114" s="7">
        <v>78.5</v>
      </c>
      <c r="H114">
        <v>77</v>
      </c>
      <c r="J114" t="e">
        <v>#N/A</v>
      </c>
      <c r="K114">
        <v>0.8</v>
      </c>
      <c r="L114">
        <v>75.739999999999995</v>
      </c>
      <c r="O114">
        <v>3.78452529389861E-2</v>
      </c>
      <c r="P114">
        <v>-13.6</v>
      </c>
      <c r="Q114" t="str">
        <f t="shared" si="1"/>
        <v/>
      </c>
    </row>
    <row r="115" spans="1:17" x14ac:dyDescent="0.2">
      <c r="A115" s="4">
        <v>39965</v>
      </c>
      <c r="B115" s="5" t="e">
        <v>#N/A</v>
      </c>
      <c r="C115" t="e">
        <v>#N/A</v>
      </c>
      <c r="D115" t="e">
        <v>#N/A</v>
      </c>
      <c r="G115" s="7">
        <v>79.599999999999994</v>
      </c>
      <c r="H115">
        <v>76.5</v>
      </c>
      <c r="J115" t="e">
        <v>#N/A</v>
      </c>
      <c r="K115">
        <v>0.6</v>
      </c>
      <c r="L115">
        <v>79.06</v>
      </c>
      <c r="O115">
        <v>0.103498287413487</v>
      </c>
      <c r="P115">
        <v>-12.7</v>
      </c>
      <c r="Q115" t="str">
        <f t="shared" si="1"/>
        <v/>
      </c>
    </row>
    <row r="116" spans="1:17" x14ac:dyDescent="0.2">
      <c r="A116" s="4">
        <v>39995</v>
      </c>
      <c r="B116" s="5">
        <v>93350</v>
      </c>
      <c r="C116">
        <v>129117</v>
      </c>
      <c r="D116">
        <v>108.1</v>
      </c>
      <c r="G116" s="7">
        <v>80.7</v>
      </c>
      <c r="H116">
        <v>81.3</v>
      </c>
      <c r="J116">
        <v>149706</v>
      </c>
      <c r="K116">
        <v>0.4</v>
      </c>
      <c r="L116">
        <v>79.28</v>
      </c>
      <c r="O116">
        <v>4.5912242192375899E-2</v>
      </c>
      <c r="P116">
        <v>-9.6999999999999993</v>
      </c>
      <c r="Q116" t="str">
        <f t="shared" si="1"/>
        <v>2009-Q3</v>
      </c>
    </row>
    <row r="117" spans="1:17" x14ac:dyDescent="0.2">
      <c r="A117" s="4">
        <v>40026</v>
      </c>
      <c r="B117" s="5" t="e">
        <v>#N/A</v>
      </c>
      <c r="C117" t="e">
        <v>#N/A</v>
      </c>
      <c r="D117" t="e">
        <v>#N/A</v>
      </c>
      <c r="G117" s="7">
        <v>82.9</v>
      </c>
      <c r="H117">
        <v>86.7</v>
      </c>
      <c r="J117" t="e">
        <v>#N/A</v>
      </c>
      <c r="K117">
        <v>0.3</v>
      </c>
      <c r="L117">
        <v>81.260000000000005</v>
      </c>
      <c r="O117">
        <v>3.3824999748370402E-2</v>
      </c>
      <c r="P117">
        <v>-8.8000000000000007</v>
      </c>
      <c r="Q117" t="str">
        <f t="shared" si="1"/>
        <v/>
      </c>
    </row>
    <row r="118" spans="1:17" x14ac:dyDescent="0.2">
      <c r="A118" s="4">
        <v>40057</v>
      </c>
      <c r="B118" s="5" t="e">
        <v>#N/A</v>
      </c>
      <c r="C118" t="e">
        <v>#N/A</v>
      </c>
      <c r="D118" t="e">
        <v>#N/A</v>
      </c>
      <c r="G118" s="8">
        <v>81</v>
      </c>
      <c r="H118">
        <v>84.7</v>
      </c>
      <c r="J118" t="e">
        <v>#N/A</v>
      </c>
      <c r="K118">
        <v>0.1</v>
      </c>
      <c r="L118">
        <v>79.86</v>
      </c>
      <c r="O118">
        <v>-2.9461479675870102E-2</v>
      </c>
      <c r="P118">
        <v>-9.6999999999999993</v>
      </c>
      <c r="Q118" t="str">
        <f t="shared" si="1"/>
        <v/>
      </c>
    </row>
    <row r="119" spans="1:17" x14ac:dyDescent="0.2">
      <c r="A119" s="4">
        <v>40087</v>
      </c>
      <c r="B119" s="5">
        <v>94217</v>
      </c>
      <c r="C119">
        <v>138621</v>
      </c>
      <c r="D119">
        <v>107.6</v>
      </c>
      <c r="G119" s="7">
        <v>81.3</v>
      </c>
      <c r="H119">
        <v>86.2</v>
      </c>
      <c r="J119">
        <v>150811</v>
      </c>
      <c r="K119">
        <v>0</v>
      </c>
      <c r="L119">
        <v>79.849999999999994</v>
      </c>
      <c r="O119">
        <v>1.9940415735588201E-2</v>
      </c>
      <c r="P119">
        <v>-9.1</v>
      </c>
      <c r="Q119" t="str">
        <f t="shared" si="1"/>
        <v>2009-Q4</v>
      </c>
    </row>
    <row r="120" spans="1:17" x14ac:dyDescent="0.2">
      <c r="A120" s="4">
        <v>40118</v>
      </c>
      <c r="B120" s="5" t="e">
        <v>#N/A</v>
      </c>
      <c r="C120" t="e">
        <v>#N/A</v>
      </c>
      <c r="D120" t="e">
        <v>#N/A</v>
      </c>
      <c r="G120" s="8">
        <v>81</v>
      </c>
      <c r="H120">
        <v>86.5</v>
      </c>
      <c r="J120" t="e">
        <v>#N/A</v>
      </c>
      <c r="K120">
        <v>0.1</v>
      </c>
      <c r="L120">
        <v>81.400000000000006</v>
      </c>
      <c r="O120">
        <v>2.5042950317018899E-2</v>
      </c>
      <c r="P120">
        <v>-9.6</v>
      </c>
      <c r="Q120" t="str">
        <f t="shared" si="1"/>
        <v/>
      </c>
    </row>
    <row r="121" spans="1:17" x14ac:dyDescent="0.2">
      <c r="A121" s="4">
        <v>40148</v>
      </c>
      <c r="B121" s="5" t="e">
        <v>#N/A</v>
      </c>
      <c r="C121" t="e">
        <v>#N/A</v>
      </c>
      <c r="D121" t="e">
        <v>#N/A</v>
      </c>
      <c r="G121" s="7">
        <v>81.5</v>
      </c>
      <c r="H121">
        <v>87</v>
      </c>
      <c r="J121" t="e">
        <v>#N/A</v>
      </c>
      <c r="K121">
        <v>0.1</v>
      </c>
      <c r="L121">
        <v>80.89</v>
      </c>
      <c r="O121">
        <v>-8.6764701586220697E-2</v>
      </c>
      <c r="P121">
        <v>-7</v>
      </c>
      <c r="Q121" t="str">
        <f t="shared" si="1"/>
        <v/>
      </c>
    </row>
    <row r="122" spans="1:17" x14ac:dyDescent="0.2">
      <c r="A122" s="4">
        <v>40179</v>
      </c>
      <c r="B122" s="5">
        <v>96844</v>
      </c>
      <c r="C122">
        <v>126810</v>
      </c>
      <c r="D122">
        <v>106.2</v>
      </c>
      <c r="G122" s="7">
        <v>81.599999999999994</v>
      </c>
      <c r="H122">
        <v>87.8</v>
      </c>
      <c r="J122">
        <v>152316</v>
      </c>
      <c r="K122">
        <v>-0.5</v>
      </c>
      <c r="L122">
        <v>83.13</v>
      </c>
      <c r="O122">
        <v>-5.77287222440113E-2</v>
      </c>
      <c r="P122">
        <v>-7</v>
      </c>
      <c r="Q122" t="str">
        <f t="shared" si="1"/>
        <v>2010-Q1</v>
      </c>
    </row>
    <row r="123" spans="1:17" x14ac:dyDescent="0.2">
      <c r="A123" s="4">
        <v>40210</v>
      </c>
      <c r="B123" s="5" t="e">
        <v>#N/A</v>
      </c>
      <c r="C123" t="e">
        <v>#N/A</v>
      </c>
      <c r="D123" t="e">
        <v>#N/A</v>
      </c>
      <c r="G123" s="7">
        <v>81.400000000000006</v>
      </c>
      <c r="H123">
        <v>86.7</v>
      </c>
      <c r="J123" t="e">
        <v>#N/A</v>
      </c>
      <c r="K123">
        <v>-0.6</v>
      </c>
      <c r="L123">
        <v>83.13</v>
      </c>
      <c r="O123">
        <v>5.0725587098265003E-2</v>
      </c>
      <c r="P123">
        <v>-9.8000000000000007</v>
      </c>
      <c r="Q123" t="str">
        <f t="shared" si="1"/>
        <v/>
      </c>
    </row>
    <row r="124" spans="1:17" x14ac:dyDescent="0.2">
      <c r="A124" s="4">
        <v>40238</v>
      </c>
      <c r="B124" s="5" t="e">
        <v>#N/A</v>
      </c>
      <c r="C124" t="e">
        <v>#N/A</v>
      </c>
      <c r="D124" t="e">
        <v>#N/A</v>
      </c>
      <c r="G124" s="7">
        <v>83.6</v>
      </c>
      <c r="H124">
        <v>90.2</v>
      </c>
      <c r="J124" t="e">
        <v>#N/A</v>
      </c>
      <c r="K124">
        <v>1.4</v>
      </c>
      <c r="L124">
        <v>85.19</v>
      </c>
      <c r="O124">
        <v>-3.5494128651938801E-2</v>
      </c>
      <c r="P124">
        <v>-10.9</v>
      </c>
      <c r="Q124" t="str">
        <f t="shared" si="1"/>
        <v/>
      </c>
    </row>
    <row r="125" spans="1:17" x14ac:dyDescent="0.2">
      <c r="A125" s="4">
        <v>40269</v>
      </c>
      <c r="B125" s="5">
        <v>97189</v>
      </c>
      <c r="C125">
        <v>135675</v>
      </c>
      <c r="D125">
        <v>107.4</v>
      </c>
      <c r="G125" s="7">
        <v>82.4</v>
      </c>
      <c r="H125">
        <v>92.1</v>
      </c>
      <c r="J125">
        <v>153870</v>
      </c>
      <c r="K125">
        <v>0.8</v>
      </c>
      <c r="L125">
        <v>87.52</v>
      </c>
      <c r="O125">
        <v>-0.11425091497369499</v>
      </c>
      <c r="P125">
        <v>-10.199999999999999</v>
      </c>
      <c r="Q125" t="str">
        <f t="shared" si="1"/>
        <v>2010-Q2</v>
      </c>
    </row>
    <row r="126" spans="1:17" x14ac:dyDescent="0.2">
      <c r="A126" s="4">
        <v>40299</v>
      </c>
      <c r="B126" s="5" t="e">
        <v>#N/A</v>
      </c>
      <c r="C126" t="e">
        <v>#N/A</v>
      </c>
      <c r="D126" t="e">
        <v>#N/A</v>
      </c>
      <c r="G126" s="7">
        <v>84.3</v>
      </c>
      <c r="H126">
        <v>87.5</v>
      </c>
      <c r="J126" t="e">
        <v>#N/A</v>
      </c>
      <c r="K126">
        <v>0.9</v>
      </c>
      <c r="L126">
        <v>88.09</v>
      </c>
      <c r="O126">
        <v>-1.03100335444157E-2</v>
      </c>
      <c r="P126">
        <v>-13.7</v>
      </c>
      <c r="Q126" t="str">
        <f t="shared" si="1"/>
        <v/>
      </c>
    </row>
    <row r="127" spans="1:17" x14ac:dyDescent="0.2">
      <c r="A127" s="4">
        <v>40330</v>
      </c>
      <c r="B127" s="5" t="e">
        <v>#N/A</v>
      </c>
      <c r="C127" t="e">
        <v>#N/A</v>
      </c>
      <c r="D127" t="e">
        <v>#N/A</v>
      </c>
      <c r="G127" s="7">
        <v>85.2</v>
      </c>
      <c r="H127">
        <v>88.5</v>
      </c>
      <c r="J127" t="e">
        <v>#N/A</v>
      </c>
      <c r="K127">
        <v>1.1000000000000001</v>
      </c>
      <c r="L127">
        <v>87.63</v>
      </c>
      <c r="O127">
        <v>0.125284996699037</v>
      </c>
      <c r="P127">
        <v>-16.8</v>
      </c>
      <c r="Q127" t="str">
        <f t="shared" si="1"/>
        <v/>
      </c>
    </row>
    <row r="128" spans="1:17" x14ac:dyDescent="0.2">
      <c r="A128" s="4">
        <v>40360</v>
      </c>
      <c r="B128" s="5">
        <v>101122</v>
      </c>
      <c r="C128">
        <v>128668</v>
      </c>
      <c r="D128">
        <v>106.1</v>
      </c>
      <c r="G128" s="7">
        <v>84.1</v>
      </c>
      <c r="H128">
        <v>88.2</v>
      </c>
      <c r="J128">
        <v>153960</v>
      </c>
      <c r="K128">
        <v>0.6</v>
      </c>
      <c r="L128">
        <v>88.6</v>
      </c>
      <c r="O128">
        <v>-3.0243793153546899E-2</v>
      </c>
      <c r="P128">
        <v>-16.2</v>
      </c>
      <c r="Q128" t="str">
        <f t="shared" si="1"/>
        <v>2010-Q3</v>
      </c>
    </row>
    <row r="129" spans="1:17" x14ac:dyDescent="0.2">
      <c r="A129" s="4">
        <v>40391</v>
      </c>
      <c r="B129" s="5" t="e">
        <v>#N/A</v>
      </c>
      <c r="C129" t="e">
        <v>#N/A</v>
      </c>
      <c r="D129" t="e">
        <v>#N/A</v>
      </c>
      <c r="G129" s="7">
        <v>83.4</v>
      </c>
      <c r="H129">
        <v>89.5</v>
      </c>
      <c r="J129" t="e">
        <v>#N/A</v>
      </c>
      <c r="K129">
        <v>0.7</v>
      </c>
      <c r="L129">
        <v>88.46</v>
      </c>
      <c r="O129">
        <v>3.16428592986924E-2</v>
      </c>
      <c r="P129">
        <v>-11.3</v>
      </c>
      <c r="Q129" t="str">
        <f t="shared" si="1"/>
        <v/>
      </c>
    </row>
    <row r="130" spans="1:17" x14ac:dyDescent="0.2">
      <c r="A130" s="4">
        <v>40422</v>
      </c>
      <c r="B130" s="5" t="e">
        <v>#N/A</v>
      </c>
      <c r="C130" t="e">
        <v>#N/A</v>
      </c>
      <c r="D130" t="e">
        <v>#N/A</v>
      </c>
      <c r="G130" s="7">
        <v>84.9</v>
      </c>
      <c r="H130">
        <v>90</v>
      </c>
      <c r="J130" t="e">
        <v>#N/A</v>
      </c>
      <c r="K130">
        <v>1.8</v>
      </c>
      <c r="L130">
        <v>88.67</v>
      </c>
      <c r="O130">
        <v>2.79846450125909E-2</v>
      </c>
      <c r="P130">
        <v>-9.6999999999999993</v>
      </c>
      <c r="Q130" t="str">
        <f t="shared" si="1"/>
        <v/>
      </c>
    </row>
    <row r="131" spans="1:17" x14ac:dyDescent="0.2">
      <c r="A131" s="4">
        <v>40452</v>
      </c>
      <c r="B131" s="5">
        <v>96469</v>
      </c>
      <c r="C131">
        <v>137662</v>
      </c>
      <c r="D131">
        <v>104.9</v>
      </c>
      <c r="G131" s="7">
        <v>86.3</v>
      </c>
      <c r="H131">
        <v>89.1</v>
      </c>
      <c r="J131">
        <v>155089</v>
      </c>
      <c r="K131">
        <v>1.4</v>
      </c>
      <c r="L131">
        <v>89.87</v>
      </c>
      <c r="O131">
        <v>-0.154258596514387</v>
      </c>
      <c r="P131">
        <v>-10.5</v>
      </c>
      <c r="Q131" t="str">
        <f t="shared" ref="Q131:Q194" si="2">IF(MONTH($A131) = 1, YEAR($A131)&amp;"-Q"&amp;MONTH($A131), IF(MONTH($A131) = 4, YEAR($A131)&amp;"-Q2", IF(MONTH($A131) = 7, YEAR($A131)&amp;"-Q3", IF(MONTH($A131) = 10, YEAR($A131)&amp;"-Q4",""))))</f>
        <v>2010-Q4</v>
      </c>
    </row>
    <row r="132" spans="1:17" x14ac:dyDescent="0.2">
      <c r="A132" s="4">
        <v>40483</v>
      </c>
      <c r="B132" s="5" t="e">
        <v>#N/A</v>
      </c>
      <c r="C132" t="e">
        <v>#N/A</v>
      </c>
      <c r="D132" t="e">
        <v>#N/A</v>
      </c>
      <c r="G132" s="7">
        <v>87.4</v>
      </c>
      <c r="H132">
        <v>89.6</v>
      </c>
      <c r="J132" t="e">
        <v>#N/A</v>
      </c>
      <c r="K132">
        <v>1.2</v>
      </c>
      <c r="L132">
        <v>90.93</v>
      </c>
      <c r="O132">
        <v>6.1913541532414101E-2</v>
      </c>
      <c r="P132">
        <v>-11.1</v>
      </c>
      <c r="Q132" t="str">
        <f t="shared" si="2"/>
        <v/>
      </c>
    </row>
    <row r="133" spans="1:17" x14ac:dyDescent="0.2">
      <c r="A133" s="4">
        <v>40513</v>
      </c>
      <c r="B133" s="5" t="e">
        <v>#N/A</v>
      </c>
      <c r="C133" t="e">
        <v>#N/A</v>
      </c>
      <c r="D133" t="e">
        <v>#N/A</v>
      </c>
      <c r="G133" s="8">
        <v>87</v>
      </c>
      <c r="H133">
        <v>88.8</v>
      </c>
      <c r="J133" t="e">
        <v>#N/A</v>
      </c>
      <c r="K133">
        <v>1.4</v>
      </c>
      <c r="L133">
        <v>93.48</v>
      </c>
      <c r="O133">
        <v>9.1706688484633106E-2</v>
      </c>
      <c r="P133">
        <v>-13.2</v>
      </c>
      <c r="Q133" t="str">
        <f t="shared" si="2"/>
        <v/>
      </c>
    </row>
    <row r="134" spans="1:17" x14ac:dyDescent="0.2">
      <c r="A134" s="4">
        <v>40544</v>
      </c>
      <c r="B134" s="5">
        <v>97226</v>
      </c>
      <c r="C134">
        <v>124554</v>
      </c>
      <c r="D134">
        <v>105.7</v>
      </c>
      <c r="G134" s="7">
        <v>88.7</v>
      </c>
      <c r="H134">
        <v>88.2</v>
      </c>
      <c r="J134">
        <v>154463</v>
      </c>
      <c r="K134">
        <v>1.3</v>
      </c>
      <c r="L134">
        <v>97.76</v>
      </c>
      <c r="O134">
        <v>4.1372565655404302E-3</v>
      </c>
      <c r="P134">
        <v>-13.8</v>
      </c>
      <c r="Q134" t="str">
        <f t="shared" si="2"/>
        <v>2011-Q1</v>
      </c>
    </row>
    <row r="135" spans="1:17" x14ac:dyDescent="0.2">
      <c r="A135" s="4">
        <v>40575</v>
      </c>
      <c r="B135" s="5" t="e">
        <v>#N/A</v>
      </c>
      <c r="C135" t="e">
        <v>#N/A</v>
      </c>
      <c r="D135" t="e">
        <v>#N/A</v>
      </c>
      <c r="G135" s="7">
        <v>88.7</v>
      </c>
      <c r="H135">
        <v>88.5</v>
      </c>
      <c r="J135" t="e">
        <v>#N/A</v>
      </c>
      <c r="K135">
        <v>1.6</v>
      </c>
      <c r="L135">
        <v>98.91</v>
      </c>
      <c r="O135">
        <v>-2.5604233142345799E-2</v>
      </c>
      <c r="P135">
        <v>-11.4</v>
      </c>
      <c r="Q135" t="str">
        <f t="shared" si="2"/>
        <v/>
      </c>
    </row>
    <row r="136" spans="1:17" x14ac:dyDescent="0.2">
      <c r="A136" s="4">
        <v>40603</v>
      </c>
      <c r="B136" s="5" t="e">
        <v>#N/A</v>
      </c>
      <c r="C136" t="e">
        <v>#N/A</v>
      </c>
      <c r="D136" t="e">
        <v>#N/A</v>
      </c>
      <c r="G136" s="7">
        <v>89.3</v>
      </c>
      <c r="H136">
        <v>87.4</v>
      </c>
      <c r="J136" t="e">
        <v>#N/A</v>
      </c>
      <c r="K136">
        <v>1.5</v>
      </c>
      <c r="L136">
        <v>101.26</v>
      </c>
      <c r="O136">
        <v>2.8190610436967099E-2</v>
      </c>
      <c r="P136">
        <v>-11.4</v>
      </c>
      <c r="Q136" t="str">
        <f t="shared" si="2"/>
        <v/>
      </c>
    </row>
    <row r="137" spans="1:17" x14ac:dyDescent="0.2">
      <c r="A137" s="4">
        <v>40634</v>
      </c>
      <c r="B137" s="5">
        <v>97050</v>
      </c>
      <c r="C137">
        <v>132861</v>
      </c>
      <c r="D137">
        <v>104.1</v>
      </c>
      <c r="G137" s="7">
        <v>89.6</v>
      </c>
      <c r="H137">
        <v>87.3</v>
      </c>
      <c r="J137">
        <v>153919</v>
      </c>
      <c r="K137">
        <v>1.9</v>
      </c>
      <c r="L137">
        <v>102.96</v>
      </c>
      <c r="O137">
        <v>-3.7738242636569601E-2</v>
      </c>
      <c r="P137">
        <v>-12.2</v>
      </c>
      <c r="Q137" t="str">
        <f t="shared" si="2"/>
        <v>2011-Q2</v>
      </c>
    </row>
    <row r="138" spans="1:17" x14ac:dyDescent="0.2">
      <c r="A138" s="4">
        <v>40664</v>
      </c>
      <c r="B138" s="5" t="e">
        <v>#N/A</v>
      </c>
      <c r="C138" t="e">
        <v>#N/A</v>
      </c>
      <c r="D138" t="e">
        <v>#N/A</v>
      </c>
      <c r="G138" s="7">
        <v>88.4</v>
      </c>
      <c r="H138">
        <v>90.9</v>
      </c>
      <c r="J138" t="e">
        <v>#N/A</v>
      </c>
      <c r="K138">
        <v>2</v>
      </c>
      <c r="L138">
        <v>101.58</v>
      </c>
      <c r="O138">
        <v>-1.11443046648887E-2</v>
      </c>
      <c r="P138">
        <v>-9.9</v>
      </c>
      <c r="Q138" t="str">
        <f t="shared" si="2"/>
        <v/>
      </c>
    </row>
    <row r="139" spans="1:17" x14ac:dyDescent="0.2">
      <c r="A139" s="4">
        <v>40695</v>
      </c>
      <c r="B139" s="5" t="e">
        <v>#N/A</v>
      </c>
      <c r="C139" t="e">
        <v>#N/A</v>
      </c>
      <c r="D139" t="e">
        <v>#N/A</v>
      </c>
      <c r="G139" s="7">
        <v>88.3</v>
      </c>
      <c r="H139">
        <v>92.8</v>
      </c>
      <c r="J139" t="e">
        <v>#N/A</v>
      </c>
      <c r="K139">
        <v>1.6</v>
      </c>
      <c r="L139">
        <v>101.07</v>
      </c>
      <c r="O139">
        <v>-7.2986689020158493E-2</v>
      </c>
      <c r="P139">
        <v>-9.6</v>
      </c>
      <c r="Q139" t="str">
        <f t="shared" si="2"/>
        <v/>
      </c>
    </row>
    <row r="140" spans="1:17" x14ac:dyDescent="0.2">
      <c r="A140" s="4">
        <v>40725</v>
      </c>
      <c r="B140" s="5">
        <v>97344</v>
      </c>
      <c r="C140">
        <v>125139</v>
      </c>
      <c r="D140">
        <v>103.5</v>
      </c>
      <c r="G140" s="7">
        <v>89.1</v>
      </c>
      <c r="H140">
        <v>90.5</v>
      </c>
      <c r="J140">
        <v>153627</v>
      </c>
      <c r="K140">
        <v>1.5</v>
      </c>
      <c r="L140">
        <v>102.72</v>
      </c>
      <c r="O140">
        <v>-9.9497303191489195E-2</v>
      </c>
      <c r="P140">
        <v>-8.6</v>
      </c>
      <c r="Q140" t="str">
        <f t="shared" si="2"/>
        <v>2011-Q3</v>
      </c>
    </row>
    <row r="141" spans="1:17" x14ac:dyDescent="0.2">
      <c r="A141" s="4">
        <v>40756</v>
      </c>
      <c r="B141" s="5" t="e">
        <v>#N/A</v>
      </c>
      <c r="C141" t="e">
        <v>#N/A</v>
      </c>
      <c r="D141" t="e">
        <v>#N/A</v>
      </c>
      <c r="G141" s="7">
        <v>89.4</v>
      </c>
      <c r="H141">
        <v>91.4</v>
      </c>
      <c r="J141" t="e">
        <v>#N/A</v>
      </c>
      <c r="K141">
        <v>1.3</v>
      </c>
      <c r="L141">
        <v>101.96</v>
      </c>
      <c r="O141">
        <v>-1.99251324323164E-2</v>
      </c>
      <c r="P141">
        <v>-10.9</v>
      </c>
      <c r="Q141" t="str">
        <f t="shared" si="2"/>
        <v/>
      </c>
    </row>
    <row r="142" spans="1:17" x14ac:dyDescent="0.2">
      <c r="A142" s="4">
        <v>40787</v>
      </c>
      <c r="B142" s="5" t="e">
        <v>#N/A</v>
      </c>
      <c r="C142" t="e">
        <v>#N/A</v>
      </c>
      <c r="D142" t="e">
        <v>#N/A</v>
      </c>
      <c r="G142" s="7">
        <v>89.3</v>
      </c>
      <c r="H142">
        <v>88</v>
      </c>
      <c r="J142" t="e">
        <v>#N/A</v>
      </c>
      <c r="K142">
        <v>1.5</v>
      </c>
      <c r="L142">
        <v>102.75</v>
      </c>
      <c r="O142">
        <v>4.66674147892387E-2</v>
      </c>
      <c r="P142">
        <v>-11.1</v>
      </c>
      <c r="Q142" t="str">
        <f t="shared" si="2"/>
        <v/>
      </c>
    </row>
    <row r="143" spans="1:17" x14ac:dyDescent="0.2">
      <c r="A143" s="4">
        <v>40817</v>
      </c>
      <c r="B143" s="5">
        <v>95713</v>
      </c>
      <c r="C143">
        <v>133186</v>
      </c>
      <c r="D143">
        <v>102.3</v>
      </c>
      <c r="G143" s="7">
        <v>87.8</v>
      </c>
      <c r="H143">
        <v>88</v>
      </c>
      <c r="J143">
        <v>152383</v>
      </c>
      <c r="K143">
        <v>1.6</v>
      </c>
      <c r="L143">
        <v>102.87</v>
      </c>
      <c r="O143">
        <v>-5.8093644105110101E-2</v>
      </c>
      <c r="P143">
        <v>-13.1</v>
      </c>
      <c r="Q143" t="str">
        <f t="shared" si="2"/>
        <v>2011-Q4</v>
      </c>
    </row>
    <row r="144" spans="1:17" x14ac:dyDescent="0.2">
      <c r="A144" s="4">
        <v>40848</v>
      </c>
      <c r="B144" s="5" t="e">
        <v>#N/A</v>
      </c>
      <c r="C144" t="e">
        <v>#N/A</v>
      </c>
      <c r="D144" t="e">
        <v>#N/A</v>
      </c>
      <c r="G144" s="8">
        <v>87</v>
      </c>
      <c r="H144">
        <v>88</v>
      </c>
      <c r="J144" t="e">
        <v>#N/A</v>
      </c>
      <c r="K144">
        <v>1.6</v>
      </c>
      <c r="L144">
        <v>103.43</v>
      </c>
      <c r="O144">
        <v>1.37286099397897E-2</v>
      </c>
      <c r="P144">
        <v>-9.6999999999999993</v>
      </c>
      <c r="Q144" t="str">
        <f t="shared" si="2"/>
        <v/>
      </c>
    </row>
    <row r="145" spans="1:17" x14ac:dyDescent="0.2">
      <c r="A145" s="4">
        <v>40878</v>
      </c>
      <c r="B145" s="5" t="e">
        <v>#N/A</v>
      </c>
      <c r="C145" t="e">
        <v>#N/A</v>
      </c>
      <c r="D145" t="e">
        <v>#N/A</v>
      </c>
      <c r="G145" s="7">
        <v>87.1</v>
      </c>
      <c r="H145">
        <v>84.9</v>
      </c>
      <c r="J145" t="e">
        <v>#N/A</v>
      </c>
      <c r="K145">
        <v>1.4</v>
      </c>
      <c r="L145">
        <v>103.13</v>
      </c>
      <c r="O145">
        <v>-6.6879238916186497E-3</v>
      </c>
      <c r="P145">
        <v>-9.8000000000000007</v>
      </c>
      <c r="Q145" t="str">
        <f t="shared" si="2"/>
        <v/>
      </c>
    </row>
    <row r="146" spans="1:17" x14ac:dyDescent="0.2">
      <c r="A146" s="4">
        <v>40909</v>
      </c>
      <c r="B146" s="5">
        <v>97950</v>
      </c>
      <c r="C146">
        <v>119367</v>
      </c>
      <c r="D146">
        <v>100.8</v>
      </c>
      <c r="G146" s="7">
        <v>87.9</v>
      </c>
      <c r="H146">
        <v>89.2</v>
      </c>
      <c r="J146">
        <v>153167</v>
      </c>
      <c r="K146">
        <v>1.2</v>
      </c>
      <c r="L146">
        <v>105.52</v>
      </c>
      <c r="O146">
        <v>-5.10157785265086E-3</v>
      </c>
      <c r="P146">
        <v>-14.7</v>
      </c>
      <c r="Q146" t="str">
        <f t="shared" si="2"/>
        <v>2012-Q1</v>
      </c>
    </row>
    <row r="147" spans="1:17" x14ac:dyDescent="0.2">
      <c r="A147" s="4">
        <v>40940</v>
      </c>
      <c r="B147" s="5" t="e">
        <v>#N/A</v>
      </c>
      <c r="C147" t="e">
        <v>#N/A</v>
      </c>
      <c r="D147" t="e">
        <v>#N/A</v>
      </c>
      <c r="G147" s="7">
        <v>89.2</v>
      </c>
      <c r="H147">
        <v>87.4</v>
      </c>
      <c r="J147" t="e">
        <v>#N/A</v>
      </c>
      <c r="K147">
        <v>1.1000000000000001</v>
      </c>
      <c r="L147">
        <v>106.66</v>
      </c>
      <c r="O147">
        <v>-5.5605334203342197E-2</v>
      </c>
      <c r="P147">
        <v>-15.9</v>
      </c>
      <c r="Q147" t="str">
        <f t="shared" si="2"/>
        <v/>
      </c>
    </row>
    <row r="148" spans="1:17" x14ac:dyDescent="0.2">
      <c r="A148" s="4">
        <v>40969</v>
      </c>
      <c r="B148" s="5" t="e">
        <v>#N/A</v>
      </c>
      <c r="C148" t="e">
        <v>#N/A</v>
      </c>
      <c r="D148" t="e">
        <v>#N/A</v>
      </c>
      <c r="G148" s="7">
        <v>85.7</v>
      </c>
      <c r="H148">
        <v>87.3</v>
      </c>
      <c r="J148" t="e">
        <v>#N/A</v>
      </c>
      <c r="K148">
        <v>1</v>
      </c>
      <c r="L148">
        <v>108.88</v>
      </c>
      <c r="O148">
        <v>-0.132960697788089</v>
      </c>
      <c r="P148">
        <v>-18.399999999999999</v>
      </c>
      <c r="Q148" t="str">
        <f t="shared" si="2"/>
        <v/>
      </c>
    </row>
    <row r="149" spans="1:17" x14ac:dyDescent="0.2">
      <c r="A149" s="4">
        <v>41000</v>
      </c>
      <c r="B149" s="5">
        <v>97172</v>
      </c>
      <c r="C149">
        <v>125813</v>
      </c>
      <c r="D149">
        <v>99.3</v>
      </c>
      <c r="G149" s="7">
        <v>86.9</v>
      </c>
      <c r="H149">
        <v>85.7</v>
      </c>
      <c r="J149">
        <v>152118</v>
      </c>
      <c r="K149">
        <v>1.1000000000000001</v>
      </c>
      <c r="L149">
        <v>112.07</v>
      </c>
      <c r="O149">
        <v>-0.140865135836862</v>
      </c>
      <c r="P149">
        <v>-20</v>
      </c>
      <c r="Q149" t="str">
        <f t="shared" si="2"/>
        <v>2012-Q2</v>
      </c>
    </row>
    <row r="150" spans="1:17" x14ac:dyDescent="0.2">
      <c r="A150" s="4">
        <v>41030</v>
      </c>
      <c r="B150" s="5" t="e">
        <v>#N/A</v>
      </c>
      <c r="C150" t="e">
        <v>#N/A</v>
      </c>
      <c r="D150" t="e">
        <v>#N/A</v>
      </c>
      <c r="G150" s="7">
        <v>85.7</v>
      </c>
      <c r="H150">
        <v>86.1</v>
      </c>
      <c r="J150" t="e">
        <v>#N/A</v>
      </c>
      <c r="K150">
        <v>1.1000000000000001</v>
      </c>
      <c r="L150">
        <v>109.95</v>
      </c>
      <c r="O150">
        <v>0.15378941431807799</v>
      </c>
      <c r="P150">
        <v>-22.1</v>
      </c>
      <c r="Q150" t="str">
        <f t="shared" si="2"/>
        <v/>
      </c>
    </row>
    <row r="151" spans="1:17" x14ac:dyDescent="0.2">
      <c r="A151" s="4">
        <v>41061</v>
      </c>
      <c r="B151" s="5" t="e">
        <v>#N/A</v>
      </c>
      <c r="C151" t="e">
        <v>#N/A</v>
      </c>
      <c r="D151" t="e">
        <v>#N/A</v>
      </c>
      <c r="G151" s="7">
        <v>84.7</v>
      </c>
      <c r="H151">
        <v>85.4</v>
      </c>
      <c r="J151" t="e">
        <v>#N/A</v>
      </c>
      <c r="K151">
        <v>1.3</v>
      </c>
      <c r="L151">
        <v>107.36</v>
      </c>
      <c r="O151">
        <v>-5.2626622139502602E-2</v>
      </c>
      <c r="P151">
        <v>-19.2</v>
      </c>
      <c r="Q151" t="str">
        <f t="shared" si="2"/>
        <v/>
      </c>
    </row>
    <row r="152" spans="1:17" x14ac:dyDescent="0.2">
      <c r="A152" s="4">
        <v>41091</v>
      </c>
      <c r="B152" s="5">
        <v>97572</v>
      </c>
      <c r="C152">
        <v>117780</v>
      </c>
      <c r="D152">
        <v>98.5</v>
      </c>
      <c r="G152" s="8">
        <v>86</v>
      </c>
      <c r="H152">
        <v>85</v>
      </c>
      <c r="J152">
        <v>150732</v>
      </c>
      <c r="K152">
        <v>1.4</v>
      </c>
      <c r="L152">
        <v>110.76</v>
      </c>
      <c r="O152">
        <v>9.6468439787191301E-2</v>
      </c>
      <c r="P152">
        <v>-21.6</v>
      </c>
      <c r="Q152" t="str">
        <f t="shared" si="2"/>
        <v>2012-Q3</v>
      </c>
    </row>
    <row r="153" spans="1:17" x14ac:dyDescent="0.2">
      <c r="A153" s="4">
        <v>41122</v>
      </c>
      <c r="B153" s="5" t="e">
        <v>#N/A</v>
      </c>
      <c r="C153" t="e">
        <v>#N/A</v>
      </c>
      <c r="D153" t="e">
        <v>#N/A</v>
      </c>
      <c r="G153" s="7">
        <v>92.7</v>
      </c>
      <c r="H153">
        <v>80.8</v>
      </c>
      <c r="J153" t="e">
        <v>#N/A</v>
      </c>
      <c r="K153">
        <v>1.5</v>
      </c>
      <c r="L153">
        <v>114.07</v>
      </c>
      <c r="O153">
        <v>3.8077175764520597E-2</v>
      </c>
      <c r="P153">
        <v>-28.1</v>
      </c>
      <c r="Q153" t="str">
        <f t="shared" si="2"/>
        <v/>
      </c>
    </row>
    <row r="154" spans="1:17" x14ac:dyDescent="0.2">
      <c r="A154" s="4">
        <v>41153</v>
      </c>
      <c r="B154" s="5" t="e">
        <v>#N/A</v>
      </c>
      <c r="C154" t="e">
        <v>#N/A</v>
      </c>
      <c r="D154" t="e">
        <v>#N/A</v>
      </c>
      <c r="G154" s="8">
        <v>86</v>
      </c>
      <c r="H154">
        <v>81.3</v>
      </c>
      <c r="J154" t="e">
        <v>#N/A</v>
      </c>
      <c r="K154">
        <v>2.1</v>
      </c>
      <c r="L154">
        <v>116.47</v>
      </c>
      <c r="O154">
        <v>1.7285035356310999E-2</v>
      </c>
      <c r="P154">
        <v>-25.2</v>
      </c>
      <c r="Q154" t="str">
        <f t="shared" si="2"/>
        <v/>
      </c>
    </row>
    <row r="155" spans="1:17" x14ac:dyDescent="0.2">
      <c r="A155" s="4">
        <v>41183</v>
      </c>
      <c r="B155" s="5">
        <v>98148</v>
      </c>
      <c r="C155">
        <v>120991</v>
      </c>
      <c r="D155">
        <v>97</v>
      </c>
      <c r="G155" s="7">
        <v>86.9</v>
      </c>
      <c r="H155">
        <v>84.2</v>
      </c>
      <c r="J155">
        <v>149789</v>
      </c>
      <c r="K155">
        <v>2.5</v>
      </c>
      <c r="L155">
        <v>114.38</v>
      </c>
      <c r="O155">
        <v>1.16243039630266E-2</v>
      </c>
      <c r="P155">
        <v>-22.7</v>
      </c>
      <c r="Q155" t="str">
        <f t="shared" si="2"/>
        <v>2012-Q4</v>
      </c>
    </row>
    <row r="156" spans="1:17" x14ac:dyDescent="0.2">
      <c r="A156" s="4">
        <v>41214</v>
      </c>
      <c r="B156" s="5" t="e">
        <v>#N/A</v>
      </c>
      <c r="C156" t="e">
        <v>#N/A</v>
      </c>
      <c r="D156" t="e">
        <v>#N/A</v>
      </c>
      <c r="G156" s="7">
        <v>84.2</v>
      </c>
      <c r="H156">
        <v>85</v>
      </c>
      <c r="J156" t="e">
        <v>#N/A</v>
      </c>
      <c r="K156">
        <v>2.4</v>
      </c>
      <c r="L156">
        <v>111.24</v>
      </c>
      <c r="O156">
        <v>2.8929909055493801E-2</v>
      </c>
      <c r="P156">
        <v>-22.9</v>
      </c>
      <c r="Q156" t="str">
        <f t="shared" si="2"/>
        <v/>
      </c>
    </row>
    <row r="157" spans="1:17" x14ac:dyDescent="0.2">
      <c r="A157" s="4">
        <v>41244</v>
      </c>
      <c r="B157" s="5" t="e">
        <v>#N/A</v>
      </c>
      <c r="C157" t="e">
        <v>#N/A</v>
      </c>
      <c r="D157" t="e">
        <v>#N/A</v>
      </c>
      <c r="G157" s="7">
        <v>87.1</v>
      </c>
      <c r="H157">
        <v>84.1</v>
      </c>
      <c r="J157" t="e">
        <v>#N/A</v>
      </c>
      <c r="K157">
        <v>2.4</v>
      </c>
      <c r="L157">
        <v>110.93</v>
      </c>
      <c r="O157">
        <v>2.3570621025971399E-2</v>
      </c>
      <c r="P157">
        <v>-24.7</v>
      </c>
      <c r="Q157" t="str">
        <f t="shared" si="2"/>
        <v/>
      </c>
    </row>
    <row r="158" spans="1:17" x14ac:dyDescent="0.2">
      <c r="A158" s="4">
        <v>41275</v>
      </c>
      <c r="B158" s="5">
        <v>99328</v>
      </c>
      <c r="C158">
        <v>113512</v>
      </c>
      <c r="D158">
        <v>96.5</v>
      </c>
      <c r="G158" s="7">
        <v>84.2</v>
      </c>
      <c r="H158">
        <v>85.1</v>
      </c>
      <c r="J158">
        <v>148295</v>
      </c>
      <c r="K158">
        <v>2.5</v>
      </c>
      <c r="L158">
        <v>111.07</v>
      </c>
      <c r="O158">
        <v>-1.59110432204876E-2</v>
      </c>
      <c r="P158">
        <v>-20.3</v>
      </c>
      <c r="Q158" t="str">
        <f t="shared" si="2"/>
        <v>2013-Q1</v>
      </c>
    </row>
    <row r="159" spans="1:17" x14ac:dyDescent="0.2">
      <c r="A159" s="4">
        <v>41306</v>
      </c>
      <c r="B159" s="5" t="e">
        <v>#N/A</v>
      </c>
      <c r="C159" t="e">
        <v>#N/A</v>
      </c>
      <c r="D159" t="e">
        <v>#N/A</v>
      </c>
      <c r="G159" s="7">
        <v>83.7</v>
      </c>
      <c r="H159">
        <v>86.3</v>
      </c>
      <c r="J159" t="e">
        <v>#N/A</v>
      </c>
      <c r="K159">
        <v>2.5</v>
      </c>
      <c r="L159">
        <v>112.98</v>
      </c>
      <c r="O159">
        <v>-3.8431236472236598E-2</v>
      </c>
      <c r="P159">
        <v>-21.4</v>
      </c>
      <c r="Q159" t="str">
        <f t="shared" si="2"/>
        <v/>
      </c>
    </row>
    <row r="160" spans="1:17" x14ac:dyDescent="0.2">
      <c r="A160" s="4">
        <v>41334</v>
      </c>
      <c r="B160" s="5" t="e">
        <v>#N/A</v>
      </c>
      <c r="C160" t="e">
        <v>#N/A</v>
      </c>
      <c r="D160" t="e">
        <v>#N/A</v>
      </c>
      <c r="G160" s="7">
        <v>84.9</v>
      </c>
      <c r="H160">
        <v>85</v>
      </c>
      <c r="J160" t="e">
        <v>#N/A</v>
      </c>
      <c r="K160">
        <v>2.5</v>
      </c>
      <c r="L160">
        <v>112.32</v>
      </c>
      <c r="O160">
        <v>6.1099850529192402E-2</v>
      </c>
      <c r="P160">
        <v>-19</v>
      </c>
      <c r="Q160" t="str">
        <f t="shared" si="2"/>
        <v/>
      </c>
    </row>
    <row r="161" spans="1:17" x14ac:dyDescent="0.2">
      <c r="A161" s="4">
        <v>41365</v>
      </c>
      <c r="B161" s="5">
        <v>98330</v>
      </c>
      <c r="C161">
        <v>119845</v>
      </c>
      <c r="D161">
        <v>95.9</v>
      </c>
      <c r="G161" s="7">
        <v>82.7</v>
      </c>
      <c r="H161">
        <v>86.8</v>
      </c>
      <c r="J161">
        <v>147707</v>
      </c>
      <c r="K161">
        <v>2.1</v>
      </c>
      <c r="L161">
        <v>109.27</v>
      </c>
      <c r="O161">
        <v>-1.1756735684720399E-2</v>
      </c>
      <c r="P161">
        <v>-18.7</v>
      </c>
      <c r="Q161" t="str">
        <f t="shared" si="2"/>
        <v>2013-Q2</v>
      </c>
    </row>
    <row r="162" spans="1:17" x14ac:dyDescent="0.2">
      <c r="A162" s="4">
        <v>41395</v>
      </c>
      <c r="B162" s="5" t="e">
        <v>#N/A</v>
      </c>
      <c r="C162" t="e">
        <v>#N/A</v>
      </c>
      <c r="D162" t="e">
        <v>#N/A</v>
      </c>
      <c r="G162" s="7">
        <v>83.6</v>
      </c>
      <c r="H162">
        <v>87.8</v>
      </c>
      <c r="J162" t="e">
        <v>#N/A</v>
      </c>
      <c r="K162">
        <v>2.2999999999999998</v>
      </c>
      <c r="L162">
        <v>108.01</v>
      </c>
      <c r="O162">
        <v>-6.9404083687407706E-2</v>
      </c>
      <c r="P162">
        <v>-19.899999999999999</v>
      </c>
      <c r="Q162" t="str">
        <f t="shared" si="2"/>
        <v/>
      </c>
    </row>
    <row r="163" spans="1:17" x14ac:dyDescent="0.2">
      <c r="A163" s="4">
        <v>41426</v>
      </c>
      <c r="B163" s="5" t="e">
        <v>#N/A</v>
      </c>
      <c r="C163" t="e">
        <v>#N/A</v>
      </c>
      <c r="D163" t="e">
        <v>#N/A</v>
      </c>
      <c r="G163" s="7">
        <v>83.4</v>
      </c>
      <c r="H163">
        <v>89.9</v>
      </c>
      <c r="J163" t="e">
        <v>#N/A</v>
      </c>
      <c r="K163">
        <v>2.4</v>
      </c>
      <c r="L163">
        <v>108.39</v>
      </c>
      <c r="O163">
        <v>8.2869821507863206E-2</v>
      </c>
      <c r="P163">
        <v>-17.3</v>
      </c>
      <c r="Q163" t="str">
        <f t="shared" si="2"/>
        <v/>
      </c>
    </row>
    <row r="164" spans="1:17" x14ac:dyDescent="0.2">
      <c r="A164" s="4">
        <v>41456</v>
      </c>
      <c r="B164" s="5">
        <v>98931</v>
      </c>
      <c r="C164">
        <v>114716</v>
      </c>
      <c r="D164">
        <v>95.7</v>
      </c>
      <c r="G164" s="7">
        <v>83.6</v>
      </c>
      <c r="H164">
        <v>91.6</v>
      </c>
      <c r="J164">
        <v>148420</v>
      </c>
      <c r="K164">
        <v>2.2000000000000002</v>
      </c>
      <c r="L164">
        <v>110.29</v>
      </c>
      <c r="O164">
        <v>-1.7089777531971599E-2</v>
      </c>
      <c r="P164">
        <v>-12.9</v>
      </c>
      <c r="Q164" t="str">
        <f t="shared" si="2"/>
        <v>2013-Q3</v>
      </c>
    </row>
    <row r="165" spans="1:17" x14ac:dyDescent="0.2">
      <c r="A165" s="4">
        <v>41487</v>
      </c>
      <c r="B165" s="5" t="e">
        <v>#N/A</v>
      </c>
      <c r="C165" t="e">
        <v>#N/A</v>
      </c>
      <c r="D165" t="e">
        <v>#N/A</v>
      </c>
      <c r="G165" s="7">
        <v>85.3</v>
      </c>
      <c r="H165">
        <v>92</v>
      </c>
      <c r="J165" t="e">
        <v>#N/A</v>
      </c>
      <c r="K165">
        <v>2.2000000000000002</v>
      </c>
      <c r="L165">
        <v>111.57</v>
      </c>
      <c r="O165">
        <v>0.102581148492639</v>
      </c>
      <c r="P165">
        <v>-11.9</v>
      </c>
      <c r="Q165" t="str">
        <f t="shared" si="2"/>
        <v/>
      </c>
    </row>
    <row r="166" spans="1:17" x14ac:dyDescent="0.2">
      <c r="A166" s="4">
        <v>41518</v>
      </c>
      <c r="B166" s="5" t="e">
        <v>#N/A</v>
      </c>
      <c r="C166" t="e">
        <v>#N/A</v>
      </c>
      <c r="D166" t="e">
        <v>#N/A</v>
      </c>
      <c r="G166" s="7">
        <v>84.3</v>
      </c>
      <c r="H166">
        <v>94.7</v>
      </c>
      <c r="J166" t="e">
        <v>#N/A</v>
      </c>
      <c r="K166">
        <v>1.1000000000000001</v>
      </c>
      <c r="L166">
        <v>112.12</v>
      </c>
      <c r="O166">
        <v>7.5641028695599702E-2</v>
      </c>
      <c r="P166">
        <v>-7.7</v>
      </c>
      <c r="Q166" t="str">
        <f t="shared" si="2"/>
        <v/>
      </c>
    </row>
    <row r="167" spans="1:17" x14ac:dyDescent="0.2">
      <c r="A167" s="4">
        <v>41548</v>
      </c>
      <c r="B167" s="5">
        <v>100004</v>
      </c>
      <c r="C167">
        <v>122080</v>
      </c>
      <c r="D167">
        <v>96.2</v>
      </c>
      <c r="G167" s="7">
        <v>82.6</v>
      </c>
      <c r="H167">
        <v>91.8</v>
      </c>
      <c r="J167">
        <v>149373</v>
      </c>
      <c r="K167">
        <v>0.5</v>
      </c>
      <c r="L167">
        <v>111.25</v>
      </c>
      <c r="O167">
        <v>-7.1207189787774201E-3</v>
      </c>
      <c r="P167">
        <v>-10.5</v>
      </c>
      <c r="Q167" t="str">
        <f t="shared" si="2"/>
        <v>2013-Q4</v>
      </c>
    </row>
    <row r="168" spans="1:17" x14ac:dyDescent="0.2">
      <c r="A168" s="4">
        <v>41579</v>
      </c>
      <c r="B168" s="5" t="e">
        <v>#N/A</v>
      </c>
      <c r="C168" t="e">
        <v>#N/A</v>
      </c>
      <c r="D168" t="e">
        <v>#N/A</v>
      </c>
      <c r="G168" s="7">
        <v>83.3</v>
      </c>
      <c r="H168">
        <v>93.2</v>
      </c>
      <c r="J168" t="e">
        <v>#N/A</v>
      </c>
      <c r="K168">
        <v>0.4</v>
      </c>
      <c r="L168">
        <v>110.43</v>
      </c>
      <c r="O168">
        <v>8.0084851889772306E-3</v>
      </c>
      <c r="P168">
        <v>-9.1999999999999993</v>
      </c>
      <c r="Q168" t="str">
        <f t="shared" si="2"/>
        <v/>
      </c>
    </row>
    <row r="169" spans="1:17" x14ac:dyDescent="0.2">
      <c r="A169" s="4">
        <v>41609</v>
      </c>
      <c r="B169" s="5" t="e">
        <v>#N/A</v>
      </c>
      <c r="C169" t="e">
        <v>#N/A</v>
      </c>
      <c r="D169" t="e">
        <v>#N/A</v>
      </c>
      <c r="G169" s="7">
        <v>84.3</v>
      </c>
      <c r="H169">
        <v>97.4</v>
      </c>
      <c r="J169" t="e">
        <v>#N/A</v>
      </c>
      <c r="K169">
        <v>0.3</v>
      </c>
      <c r="L169">
        <v>111.15</v>
      </c>
      <c r="O169">
        <v>3.5287771450143201E-4</v>
      </c>
      <c r="P169">
        <v>-9</v>
      </c>
      <c r="Q169" t="str">
        <f t="shared" si="2"/>
        <v/>
      </c>
    </row>
    <row r="170" spans="1:17" x14ac:dyDescent="0.2">
      <c r="A170" s="4">
        <v>41640</v>
      </c>
      <c r="B170" s="5">
        <v>101657</v>
      </c>
      <c r="C170">
        <v>112294</v>
      </c>
      <c r="D170">
        <v>96.1</v>
      </c>
      <c r="G170" s="7">
        <v>84.5</v>
      </c>
      <c r="H170">
        <v>97</v>
      </c>
      <c r="J170">
        <v>149627</v>
      </c>
      <c r="K170">
        <v>0.3</v>
      </c>
      <c r="L170">
        <v>111.11</v>
      </c>
      <c r="O170">
        <v>1.9367294270670899E-2</v>
      </c>
      <c r="P170">
        <v>-6.6</v>
      </c>
      <c r="Q170" t="str">
        <f t="shared" si="2"/>
        <v>2014-Q1</v>
      </c>
    </row>
    <row r="171" spans="1:17" x14ac:dyDescent="0.2">
      <c r="A171" s="4">
        <v>41671</v>
      </c>
      <c r="B171" s="5" t="e">
        <v>#N/A</v>
      </c>
      <c r="C171" t="e">
        <v>#N/A</v>
      </c>
      <c r="D171" t="e">
        <v>#N/A</v>
      </c>
      <c r="G171" s="7">
        <v>83.7</v>
      </c>
      <c r="H171">
        <v>96.9</v>
      </c>
      <c r="J171" t="e">
        <v>#N/A</v>
      </c>
      <c r="K171">
        <v>0.3</v>
      </c>
      <c r="L171">
        <v>111.1</v>
      </c>
      <c r="O171">
        <v>2.2127827467691898E-2</v>
      </c>
      <c r="P171">
        <v>-7.5</v>
      </c>
      <c r="Q171" t="str">
        <f t="shared" si="2"/>
        <v/>
      </c>
    </row>
    <row r="172" spans="1:17" x14ac:dyDescent="0.2">
      <c r="A172" s="4">
        <v>41699</v>
      </c>
      <c r="B172" s="5" t="e">
        <v>#N/A</v>
      </c>
      <c r="C172" t="e">
        <v>#N/A</v>
      </c>
      <c r="D172" t="e">
        <v>#N/A</v>
      </c>
      <c r="G172" s="7">
        <v>83.3</v>
      </c>
      <c r="H172">
        <v>98.2</v>
      </c>
      <c r="J172" t="e">
        <v>#N/A</v>
      </c>
      <c r="K172">
        <v>0</v>
      </c>
      <c r="L172">
        <v>110.72</v>
      </c>
      <c r="O172">
        <v>1.1394627961537999E-2</v>
      </c>
      <c r="P172">
        <v>-4.5</v>
      </c>
      <c r="Q172" t="str">
        <f t="shared" si="2"/>
        <v/>
      </c>
    </row>
    <row r="173" spans="1:17" x14ac:dyDescent="0.2">
      <c r="A173" s="4">
        <v>41730</v>
      </c>
      <c r="B173" s="5">
        <v>100463</v>
      </c>
      <c r="C173">
        <v>121499</v>
      </c>
      <c r="D173">
        <v>96.9</v>
      </c>
      <c r="G173" s="7">
        <v>86.2</v>
      </c>
      <c r="H173">
        <v>97.3</v>
      </c>
      <c r="J173">
        <v>151016</v>
      </c>
      <c r="K173">
        <v>0.2</v>
      </c>
      <c r="L173">
        <v>111</v>
      </c>
      <c r="O173">
        <v>3.1962922829244199E-2</v>
      </c>
      <c r="P173">
        <v>-4.9000000000000004</v>
      </c>
      <c r="Q173" t="str">
        <f t="shared" si="2"/>
        <v>2014-Q2</v>
      </c>
    </row>
    <row r="174" spans="1:17" x14ac:dyDescent="0.2">
      <c r="A174" s="4">
        <v>41760</v>
      </c>
      <c r="B174" s="5" t="e">
        <v>#N/A</v>
      </c>
      <c r="C174" t="e">
        <v>#N/A</v>
      </c>
      <c r="D174" t="e">
        <v>#N/A</v>
      </c>
      <c r="G174" s="7">
        <v>84.5</v>
      </c>
      <c r="H174">
        <v>97.9</v>
      </c>
      <c r="J174" t="e">
        <v>#N/A</v>
      </c>
      <c r="K174">
        <v>-0.2</v>
      </c>
      <c r="L174">
        <v>111.21</v>
      </c>
      <c r="O174">
        <v>1.1490657182633901E-2</v>
      </c>
      <c r="P174">
        <v>-4.3</v>
      </c>
      <c r="Q174" t="str">
        <f t="shared" si="2"/>
        <v/>
      </c>
    </row>
    <row r="175" spans="1:17" x14ac:dyDescent="0.2">
      <c r="A175" s="4">
        <v>41791</v>
      </c>
      <c r="B175" s="5" t="e">
        <v>#N/A</v>
      </c>
      <c r="C175" t="e">
        <v>#N/A</v>
      </c>
      <c r="D175" t="e">
        <v>#N/A</v>
      </c>
      <c r="G175" s="7">
        <v>85.2</v>
      </c>
      <c r="H175">
        <v>100.8</v>
      </c>
      <c r="J175" t="e">
        <v>#N/A</v>
      </c>
      <c r="K175">
        <v>-0.3</v>
      </c>
      <c r="L175">
        <v>111.22</v>
      </c>
      <c r="O175">
        <v>-2.00000011724661E-2</v>
      </c>
      <c r="P175">
        <v>-1.3</v>
      </c>
      <c r="Q175" t="str">
        <f t="shared" si="2"/>
        <v/>
      </c>
    </row>
    <row r="176" spans="1:17" x14ac:dyDescent="0.2">
      <c r="A176" s="4">
        <v>41821</v>
      </c>
      <c r="B176" s="5">
        <v>100965</v>
      </c>
      <c r="C176">
        <v>117165</v>
      </c>
      <c r="D176">
        <v>97.1</v>
      </c>
      <c r="G176" s="7">
        <v>84.4</v>
      </c>
      <c r="H176">
        <v>101.2</v>
      </c>
      <c r="J176">
        <v>151690</v>
      </c>
      <c r="K176">
        <v>-0.5</v>
      </c>
      <c r="L176">
        <v>110.61</v>
      </c>
      <c r="O176">
        <v>2.01526559854415E-3</v>
      </c>
      <c r="P176">
        <v>-2.5</v>
      </c>
      <c r="Q176" t="str">
        <f t="shared" si="2"/>
        <v>2014-Q3</v>
      </c>
    </row>
    <row r="177" spans="1:17" x14ac:dyDescent="0.2">
      <c r="A177" s="4">
        <v>41852</v>
      </c>
      <c r="B177" s="5" t="e">
        <v>#N/A</v>
      </c>
      <c r="C177" t="e">
        <v>#N/A</v>
      </c>
      <c r="D177" t="e">
        <v>#N/A</v>
      </c>
      <c r="G177" s="7">
        <v>86.4</v>
      </c>
      <c r="H177">
        <v>100.4</v>
      </c>
      <c r="J177" t="e">
        <v>#N/A</v>
      </c>
      <c r="K177">
        <v>-0.5</v>
      </c>
      <c r="L177">
        <v>110.59</v>
      </c>
      <c r="O177">
        <v>8.9727659882132792E-3</v>
      </c>
      <c r="P177">
        <v>-0.6</v>
      </c>
      <c r="Q177" t="str">
        <f t="shared" si="2"/>
        <v/>
      </c>
    </row>
    <row r="178" spans="1:17" x14ac:dyDescent="0.2">
      <c r="A178" s="4">
        <v>41883</v>
      </c>
      <c r="B178" s="5" t="e">
        <v>#N/A</v>
      </c>
      <c r="C178" t="e">
        <v>#N/A</v>
      </c>
      <c r="D178" t="e">
        <v>#N/A</v>
      </c>
      <c r="G178" s="7">
        <v>84.8</v>
      </c>
      <c r="H178">
        <v>101.6</v>
      </c>
      <c r="J178" t="e">
        <v>#N/A</v>
      </c>
      <c r="K178">
        <v>-0.3</v>
      </c>
      <c r="L178">
        <v>112.1</v>
      </c>
      <c r="O178">
        <v>-3.2645747647185502E-2</v>
      </c>
      <c r="P178">
        <v>-0.8</v>
      </c>
      <c r="Q178" t="str">
        <f t="shared" si="2"/>
        <v/>
      </c>
    </row>
    <row r="179" spans="1:17" x14ac:dyDescent="0.2">
      <c r="A179" s="4">
        <v>41913</v>
      </c>
      <c r="B179" s="5">
        <v>102040</v>
      </c>
      <c r="C179">
        <v>125343</v>
      </c>
      <c r="D179">
        <v>98.3</v>
      </c>
      <c r="G179" s="7">
        <v>82.9</v>
      </c>
      <c r="H179">
        <v>100.1</v>
      </c>
      <c r="J179">
        <v>152489</v>
      </c>
      <c r="K179">
        <v>-0.1</v>
      </c>
      <c r="L179">
        <v>110</v>
      </c>
      <c r="O179">
        <v>2.75707879962361E-2</v>
      </c>
      <c r="P179">
        <v>-1.3</v>
      </c>
      <c r="Q179" t="str">
        <f t="shared" si="2"/>
        <v>2014-Q4</v>
      </c>
    </row>
    <row r="180" spans="1:17" x14ac:dyDescent="0.2">
      <c r="A180" s="4">
        <v>41944</v>
      </c>
      <c r="B180" s="5" t="e">
        <v>#N/A</v>
      </c>
      <c r="C180" t="e">
        <v>#N/A</v>
      </c>
      <c r="D180" t="e">
        <v>#N/A</v>
      </c>
      <c r="G180" s="7">
        <v>83.7</v>
      </c>
      <c r="H180">
        <v>102</v>
      </c>
      <c r="J180" t="e">
        <v>#N/A</v>
      </c>
      <c r="K180">
        <v>-0.1</v>
      </c>
      <c r="L180">
        <v>106.86</v>
      </c>
      <c r="O180">
        <v>-4.6677881835501402E-2</v>
      </c>
      <c r="P180">
        <v>-3.3</v>
      </c>
      <c r="Q180" t="str">
        <f t="shared" si="2"/>
        <v/>
      </c>
    </row>
    <row r="181" spans="1:17" x14ac:dyDescent="0.2">
      <c r="A181" s="4">
        <v>41974</v>
      </c>
      <c r="B181" s="5" t="e">
        <v>#N/A</v>
      </c>
      <c r="C181" t="e">
        <v>#N/A</v>
      </c>
      <c r="D181" t="e">
        <v>#N/A</v>
      </c>
      <c r="G181" s="7">
        <v>83.1</v>
      </c>
      <c r="H181">
        <v>102.8</v>
      </c>
      <c r="J181" t="e">
        <v>#N/A</v>
      </c>
      <c r="K181">
        <v>-0.1</v>
      </c>
      <c r="L181">
        <v>101.78</v>
      </c>
      <c r="O181">
        <v>1.1971424022254601E-2</v>
      </c>
      <c r="P181">
        <v>0</v>
      </c>
      <c r="Q181" t="str">
        <f t="shared" si="2"/>
        <v/>
      </c>
    </row>
    <row r="182" spans="1:17" x14ac:dyDescent="0.2">
      <c r="A182" s="4">
        <v>42005</v>
      </c>
      <c r="B182" s="5">
        <v>104053</v>
      </c>
      <c r="C182">
        <v>117210</v>
      </c>
      <c r="D182">
        <v>98.3</v>
      </c>
      <c r="G182" s="7">
        <v>84.1</v>
      </c>
      <c r="H182">
        <v>104.4</v>
      </c>
      <c r="J182">
        <v>153592</v>
      </c>
      <c r="K182">
        <v>0</v>
      </c>
      <c r="L182">
        <v>98.46</v>
      </c>
      <c r="O182">
        <v>7.1851336713423905E-2</v>
      </c>
      <c r="P182">
        <v>4.8</v>
      </c>
      <c r="Q182" t="str">
        <f t="shared" si="2"/>
        <v>2015-Q1</v>
      </c>
    </row>
    <row r="183" spans="1:17" x14ac:dyDescent="0.2">
      <c r="A183" s="4">
        <v>42036</v>
      </c>
      <c r="B183" s="5" t="e">
        <v>#N/A</v>
      </c>
      <c r="C183" t="e">
        <v>#N/A</v>
      </c>
      <c r="D183" t="e">
        <v>#N/A</v>
      </c>
      <c r="G183" s="7">
        <v>84.5</v>
      </c>
      <c r="H183">
        <v>105.7</v>
      </c>
      <c r="J183" t="e">
        <v>#N/A</v>
      </c>
      <c r="K183">
        <v>0.1</v>
      </c>
      <c r="L183">
        <v>99.84</v>
      </c>
      <c r="O183">
        <v>3.0205721467636299E-2</v>
      </c>
      <c r="P183">
        <v>4.7</v>
      </c>
      <c r="Q183" t="str">
        <f t="shared" si="2"/>
        <v/>
      </c>
    </row>
    <row r="184" spans="1:17" x14ac:dyDescent="0.2">
      <c r="A184" s="4">
        <v>42064</v>
      </c>
      <c r="B184" s="5" t="e">
        <v>#N/A</v>
      </c>
      <c r="C184" t="e">
        <v>#N/A</v>
      </c>
      <c r="D184" t="e">
        <v>#N/A</v>
      </c>
      <c r="G184" s="7">
        <v>86.5</v>
      </c>
      <c r="H184">
        <v>107.5</v>
      </c>
      <c r="J184" t="e">
        <v>#N/A</v>
      </c>
      <c r="K184">
        <v>0.2</v>
      </c>
      <c r="L184">
        <v>102.52</v>
      </c>
      <c r="O184">
        <v>-1.18834033994624E-2</v>
      </c>
      <c r="P184">
        <v>7.3</v>
      </c>
      <c r="Q184" t="str">
        <f t="shared" si="2"/>
        <v/>
      </c>
    </row>
    <row r="185" spans="1:17" x14ac:dyDescent="0.2">
      <c r="A185" s="4">
        <v>42095</v>
      </c>
      <c r="B185" s="5">
        <v>104129</v>
      </c>
      <c r="C185">
        <v>126726</v>
      </c>
      <c r="D185">
        <v>99.7</v>
      </c>
      <c r="G185" s="7">
        <v>84.8</v>
      </c>
      <c r="H185">
        <v>109</v>
      </c>
      <c r="J185">
        <v>155135</v>
      </c>
      <c r="K185">
        <v>0.2</v>
      </c>
      <c r="L185">
        <v>103.07</v>
      </c>
      <c r="O185">
        <v>-1.48127608676489E-2</v>
      </c>
      <c r="P185">
        <v>8.3000000000000007</v>
      </c>
      <c r="Q185" t="str">
        <f t="shared" si="2"/>
        <v>2015-Q2</v>
      </c>
    </row>
    <row r="186" spans="1:17" x14ac:dyDescent="0.2">
      <c r="A186" s="4">
        <v>42125</v>
      </c>
      <c r="B186" s="5" t="e">
        <v>#N/A</v>
      </c>
      <c r="C186" t="e">
        <v>#N/A</v>
      </c>
      <c r="D186" t="e">
        <v>#N/A</v>
      </c>
      <c r="G186" s="7">
        <v>87.7</v>
      </c>
      <c r="H186">
        <v>109.1</v>
      </c>
      <c r="J186" t="e">
        <v>#N/A</v>
      </c>
      <c r="K186">
        <v>0.6</v>
      </c>
      <c r="L186">
        <v>104.13</v>
      </c>
      <c r="O186">
        <v>-4.0765873812780698E-2</v>
      </c>
      <c r="P186">
        <v>6.6</v>
      </c>
      <c r="Q186" t="str">
        <f t="shared" si="2"/>
        <v/>
      </c>
    </row>
    <row r="187" spans="1:17" x14ac:dyDescent="0.2">
      <c r="A187" s="4">
        <v>42156</v>
      </c>
      <c r="B187" s="5" t="e">
        <v>#N/A</v>
      </c>
      <c r="C187" t="e">
        <v>#N/A</v>
      </c>
      <c r="D187" t="e">
        <v>#N/A</v>
      </c>
      <c r="G187" s="8">
        <v>87</v>
      </c>
      <c r="H187">
        <v>108.1</v>
      </c>
      <c r="J187" t="e">
        <v>#N/A</v>
      </c>
      <c r="K187">
        <v>0.7</v>
      </c>
      <c r="L187">
        <v>104.87</v>
      </c>
      <c r="O187">
        <v>3.74710302071595E-2</v>
      </c>
      <c r="P187">
        <v>5.7</v>
      </c>
      <c r="Q187" t="str">
        <f t="shared" si="2"/>
        <v/>
      </c>
    </row>
    <row r="188" spans="1:17" x14ac:dyDescent="0.2">
      <c r="A188" s="4">
        <v>42186</v>
      </c>
      <c r="B188" s="5">
        <v>103871</v>
      </c>
      <c r="C188">
        <v>121808</v>
      </c>
      <c r="D188">
        <v>100.7</v>
      </c>
      <c r="G188" s="7">
        <v>87.6</v>
      </c>
      <c r="H188">
        <v>107.9</v>
      </c>
      <c r="J188">
        <v>156534</v>
      </c>
      <c r="K188">
        <v>0.7</v>
      </c>
      <c r="L188">
        <v>104.29</v>
      </c>
      <c r="O188">
        <v>-8.6033725936857805E-2</v>
      </c>
      <c r="P188">
        <v>5.9</v>
      </c>
      <c r="Q188" t="str">
        <f t="shared" si="2"/>
        <v>2015-Q3</v>
      </c>
    </row>
    <row r="189" spans="1:17" x14ac:dyDescent="0.2">
      <c r="A189" s="4">
        <v>42217</v>
      </c>
      <c r="B189" s="5" t="e">
        <v>#N/A</v>
      </c>
      <c r="C189" t="e">
        <v>#N/A</v>
      </c>
      <c r="D189" t="e">
        <v>#N/A</v>
      </c>
      <c r="G189" s="8">
        <v>85</v>
      </c>
      <c r="H189">
        <v>109.3</v>
      </c>
      <c r="J189" t="e">
        <v>#N/A</v>
      </c>
      <c r="K189">
        <v>0.8</v>
      </c>
      <c r="L189">
        <v>99.85</v>
      </c>
      <c r="O189">
        <v>-7.0578061487237803E-2</v>
      </c>
      <c r="P189">
        <v>6.7</v>
      </c>
      <c r="Q189" t="str">
        <f t="shared" si="2"/>
        <v/>
      </c>
    </row>
    <row r="190" spans="1:17" x14ac:dyDescent="0.2">
      <c r="A190" s="4">
        <v>42248</v>
      </c>
      <c r="B190" s="5" t="e">
        <v>#N/A</v>
      </c>
      <c r="C190" t="e">
        <v>#N/A</v>
      </c>
      <c r="D190" t="e">
        <v>#N/A</v>
      </c>
      <c r="G190" s="7">
        <v>85.4</v>
      </c>
      <c r="H190">
        <v>108.4</v>
      </c>
      <c r="J190" t="e">
        <v>#N/A</v>
      </c>
      <c r="K190">
        <v>0.7</v>
      </c>
      <c r="L190">
        <v>96.85</v>
      </c>
      <c r="O190">
        <v>8.0442513349266803E-2</v>
      </c>
      <c r="P190">
        <v>7.8</v>
      </c>
      <c r="Q190" t="str">
        <f t="shared" si="2"/>
        <v/>
      </c>
    </row>
    <row r="191" spans="1:17" x14ac:dyDescent="0.2">
      <c r="A191" s="4">
        <v>42278</v>
      </c>
      <c r="B191" s="5">
        <v>105592</v>
      </c>
      <c r="C191">
        <v>131275</v>
      </c>
      <c r="D191">
        <v>101.3</v>
      </c>
      <c r="G191" s="7">
        <v>85.1</v>
      </c>
      <c r="H191">
        <v>106.4</v>
      </c>
      <c r="J191">
        <v>156952</v>
      </c>
      <c r="K191">
        <v>0.9</v>
      </c>
      <c r="L191">
        <v>95.63</v>
      </c>
      <c r="O191">
        <v>2.5256134203033298E-3</v>
      </c>
      <c r="P191">
        <v>9</v>
      </c>
      <c r="Q191" t="str">
        <f t="shared" si="2"/>
        <v>2015-Q4</v>
      </c>
    </row>
    <row r="192" spans="1:17" x14ac:dyDescent="0.2">
      <c r="A192" s="4">
        <v>42309</v>
      </c>
      <c r="B192" s="5" t="e">
        <v>#N/A</v>
      </c>
      <c r="C192" t="e">
        <v>#N/A</v>
      </c>
      <c r="D192" t="e">
        <v>#N/A</v>
      </c>
      <c r="G192" s="7">
        <v>85.4</v>
      </c>
      <c r="H192">
        <v>107.1</v>
      </c>
      <c r="J192" t="e">
        <v>#N/A</v>
      </c>
      <c r="K192">
        <v>0.9</v>
      </c>
      <c r="L192">
        <v>96.27</v>
      </c>
      <c r="O192">
        <v>-8.4611773773675097E-2</v>
      </c>
      <c r="P192">
        <v>9.8000000000000007</v>
      </c>
      <c r="Q192" t="str">
        <f t="shared" si="2"/>
        <v/>
      </c>
    </row>
    <row r="193" spans="1:17" x14ac:dyDescent="0.2">
      <c r="A193" s="4">
        <v>42339</v>
      </c>
      <c r="B193" s="5" t="e">
        <v>#N/A</v>
      </c>
      <c r="C193" t="e">
        <v>#N/A</v>
      </c>
      <c r="D193" t="e">
        <v>#N/A</v>
      </c>
      <c r="G193" s="7">
        <v>85.1</v>
      </c>
      <c r="H193">
        <v>111.6</v>
      </c>
      <c r="J193" t="e">
        <v>#N/A</v>
      </c>
      <c r="K193">
        <v>0.9</v>
      </c>
      <c r="L193">
        <v>94.22</v>
      </c>
      <c r="O193">
        <v>-7.9388116641238696E-2</v>
      </c>
      <c r="P193">
        <v>12.9</v>
      </c>
      <c r="Q193" t="str">
        <f t="shared" si="2"/>
        <v/>
      </c>
    </row>
    <row r="194" spans="1:17" x14ac:dyDescent="0.2">
      <c r="A194" s="4">
        <v>42370</v>
      </c>
      <c r="B194" s="5">
        <v>104765</v>
      </c>
      <c r="C194">
        <v>119620</v>
      </c>
      <c r="D194">
        <v>102.1</v>
      </c>
      <c r="G194" s="7">
        <v>85.1</v>
      </c>
      <c r="H194">
        <v>107</v>
      </c>
      <c r="J194">
        <v>157636</v>
      </c>
      <c r="K194">
        <v>1</v>
      </c>
      <c r="L194">
        <v>88.35</v>
      </c>
      <c r="O194">
        <v>-4.1030853246836002E-2</v>
      </c>
      <c r="P194">
        <v>8.4</v>
      </c>
      <c r="Q194" t="str">
        <f t="shared" si="2"/>
        <v>2016-Q1</v>
      </c>
    </row>
    <row r="195" spans="1:17" x14ac:dyDescent="0.2">
      <c r="A195" s="4">
        <v>42401</v>
      </c>
      <c r="B195" s="5" t="e">
        <v>#N/A</v>
      </c>
      <c r="C195" t="e">
        <v>#N/A</v>
      </c>
      <c r="D195" t="e">
        <v>#N/A</v>
      </c>
      <c r="G195" s="8">
        <v>87</v>
      </c>
      <c r="H195">
        <v>106.3</v>
      </c>
      <c r="J195" t="e">
        <v>#N/A</v>
      </c>
      <c r="K195">
        <v>0.9</v>
      </c>
      <c r="L195">
        <v>85.8</v>
      </c>
      <c r="O195">
        <v>3.04599438245781E-2</v>
      </c>
      <c r="P195">
        <v>8</v>
      </c>
      <c r="Q195" t="str">
        <f t="shared" ref="Q195:Q258" si="3">IF(MONTH($A195) = 1, YEAR($A195)&amp;"-Q"&amp;MONTH($A195), IF(MONTH($A195) = 4, YEAR($A195)&amp;"-Q2", IF(MONTH($A195) = 7, YEAR($A195)&amp;"-Q3", IF(MONTH($A195) = 10, YEAR($A195)&amp;"-Q4",""))))</f>
        <v/>
      </c>
    </row>
    <row r="196" spans="1:17" x14ac:dyDescent="0.2">
      <c r="A196" s="4">
        <v>42430</v>
      </c>
      <c r="B196" s="5" t="e">
        <v>#N/A</v>
      </c>
      <c r="C196" t="e">
        <v>#N/A</v>
      </c>
      <c r="D196" t="e">
        <v>#N/A</v>
      </c>
      <c r="G196" s="7">
        <v>85.7</v>
      </c>
      <c r="H196">
        <v>106.1</v>
      </c>
      <c r="J196" t="e">
        <v>#N/A</v>
      </c>
      <c r="K196">
        <v>1</v>
      </c>
      <c r="L196">
        <v>87.37</v>
      </c>
      <c r="O196">
        <v>3.41014506268724E-2</v>
      </c>
      <c r="P196">
        <v>5.6</v>
      </c>
      <c r="Q196" t="str">
        <f t="shared" si="3"/>
        <v/>
      </c>
    </row>
    <row r="197" spans="1:17" x14ac:dyDescent="0.2">
      <c r="A197" s="4">
        <v>42461</v>
      </c>
      <c r="B197" s="5">
        <v>105276</v>
      </c>
      <c r="C197">
        <v>129427</v>
      </c>
      <c r="D197">
        <v>102.2</v>
      </c>
      <c r="G197" s="7">
        <v>85.4</v>
      </c>
      <c r="H197">
        <v>105</v>
      </c>
      <c r="J197">
        <v>158795</v>
      </c>
      <c r="K197">
        <v>0.8</v>
      </c>
      <c r="L197">
        <v>87.53</v>
      </c>
      <c r="O197">
        <v>9.19152054803973E-4</v>
      </c>
      <c r="P197">
        <v>5.4</v>
      </c>
      <c r="Q197" t="str">
        <f t="shared" si="3"/>
        <v>2016-Q2</v>
      </c>
    </row>
    <row r="198" spans="1:17" x14ac:dyDescent="0.2">
      <c r="A198" s="4">
        <v>42491</v>
      </c>
      <c r="B198" s="5" t="e">
        <v>#N/A</v>
      </c>
      <c r="C198" t="e">
        <v>#N/A</v>
      </c>
      <c r="D198" t="e">
        <v>#N/A</v>
      </c>
      <c r="G198" s="7">
        <v>83.7</v>
      </c>
      <c r="H198">
        <v>104.6</v>
      </c>
      <c r="J198" t="e">
        <v>#N/A</v>
      </c>
      <c r="K198">
        <v>0.8</v>
      </c>
      <c r="L198">
        <v>89.53</v>
      </c>
      <c r="O198">
        <v>-0.101346762169767</v>
      </c>
      <c r="P198">
        <v>3.9</v>
      </c>
      <c r="Q198" t="str">
        <f t="shared" si="3"/>
        <v/>
      </c>
    </row>
    <row r="199" spans="1:17" x14ac:dyDescent="0.2">
      <c r="A199" s="4">
        <v>42522</v>
      </c>
      <c r="B199" s="5" t="e">
        <v>#N/A</v>
      </c>
      <c r="C199" t="e">
        <v>#N/A</v>
      </c>
      <c r="D199" t="e">
        <v>#N/A</v>
      </c>
      <c r="G199" s="8">
        <v>86</v>
      </c>
      <c r="H199">
        <v>106.1</v>
      </c>
      <c r="J199" t="e">
        <v>#N/A</v>
      </c>
      <c r="K199">
        <v>0.7</v>
      </c>
      <c r="L199">
        <v>92.66</v>
      </c>
      <c r="O199">
        <v>5.0624270122389299E-2</v>
      </c>
      <c r="P199">
        <v>5.4</v>
      </c>
      <c r="Q199" t="str">
        <f t="shared" si="3"/>
        <v/>
      </c>
    </row>
    <row r="200" spans="1:17" x14ac:dyDescent="0.2">
      <c r="A200" s="4">
        <v>42552</v>
      </c>
      <c r="B200" s="5">
        <v>107053</v>
      </c>
      <c r="C200">
        <v>124755</v>
      </c>
      <c r="D200">
        <v>102.9</v>
      </c>
      <c r="G200" s="7">
        <v>85.7</v>
      </c>
      <c r="H200">
        <v>105.9</v>
      </c>
      <c r="J200">
        <v>160953</v>
      </c>
      <c r="K200">
        <v>1</v>
      </c>
      <c r="L200">
        <v>91.76</v>
      </c>
      <c r="O200">
        <v>1.4979430501467699E-2</v>
      </c>
      <c r="P200">
        <v>2.8</v>
      </c>
      <c r="Q200" t="str">
        <f t="shared" si="3"/>
        <v>2016-Q3</v>
      </c>
    </row>
    <row r="201" spans="1:17" x14ac:dyDescent="0.2">
      <c r="A201" s="4">
        <v>42583</v>
      </c>
      <c r="B201" s="5" t="e">
        <v>#N/A</v>
      </c>
      <c r="C201" t="e">
        <v>#N/A</v>
      </c>
      <c r="D201" t="e">
        <v>#N/A</v>
      </c>
      <c r="G201" s="7">
        <v>86.5</v>
      </c>
      <c r="H201">
        <v>103.4</v>
      </c>
      <c r="J201" t="e">
        <v>#N/A</v>
      </c>
      <c r="K201">
        <v>0.9</v>
      </c>
      <c r="L201">
        <v>90.83</v>
      </c>
      <c r="O201">
        <v>7.1559369889531198E-3</v>
      </c>
      <c r="P201">
        <v>5.3</v>
      </c>
      <c r="Q201" t="str">
        <f t="shared" si="3"/>
        <v/>
      </c>
    </row>
    <row r="202" spans="1:17" x14ac:dyDescent="0.2">
      <c r="A202" s="4">
        <v>42614</v>
      </c>
      <c r="B202" s="5" t="e">
        <v>#N/A</v>
      </c>
      <c r="C202" t="e">
        <v>#N/A</v>
      </c>
      <c r="D202" t="e">
        <v>#N/A</v>
      </c>
      <c r="G202" s="7">
        <v>86.6</v>
      </c>
      <c r="H202">
        <v>105.4</v>
      </c>
      <c r="J202" t="e">
        <v>#N/A</v>
      </c>
      <c r="K202">
        <v>0.7</v>
      </c>
      <c r="L202">
        <v>92.16</v>
      </c>
      <c r="O202">
        <v>4.0613236594575497E-2</v>
      </c>
      <c r="P202">
        <v>5.3</v>
      </c>
      <c r="Q202" t="str">
        <f t="shared" si="3"/>
        <v/>
      </c>
    </row>
    <row r="203" spans="1:17" x14ac:dyDescent="0.2">
      <c r="A203" s="4">
        <v>42644</v>
      </c>
      <c r="B203" s="5">
        <v>108222</v>
      </c>
      <c r="C203">
        <v>134223</v>
      </c>
      <c r="D203">
        <v>103</v>
      </c>
      <c r="G203" s="7">
        <v>88.7</v>
      </c>
      <c r="H203">
        <v>107.4</v>
      </c>
      <c r="J203">
        <v>162668</v>
      </c>
      <c r="K203">
        <v>0.5</v>
      </c>
      <c r="L203">
        <v>95.71</v>
      </c>
      <c r="O203">
        <v>-5.1055543605382801E-2</v>
      </c>
      <c r="P203">
        <v>7.3</v>
      </c>
      <c r="Q203" t="str">
        <f t="shared" si="3"/>
        <v>2016-Q4</v>
      </c>
    </row>
    <row r="204" spans="1:17" x14ac:dyDescent="0.2">
      <c r="A204" s="4">
        <v>42675</v>
      </c>
      <c r="B204" s="5" t="e">
        <v>#N/A</v>
      </c>
      <c r="C204" t="e">
        <v>#N/A</v>
      </c>
      <c r="D204" t="e">
        <v>#N/A</v>
      </c>
      <c r="G204" s="7">
        <v>89.6</v>
      </c>
      <c r="H204">
        <v>108.9</v>
      </c>
      <c r="J204" t="e">
        <v>#N/A</v>
      </c>
      <c r="K204">
        <v>0.6</v>
      </c>
      <c r="L204">
        <v>95.75</v>
      </c>
      <c r="O204">
        <v>7.3635069579170306E-2</v>
      </c>
      <c r="P204">
        <v>8.5</v>
      </c>
      <c r="Q204" t="str">
        <f t="shared" si="3"/>
        <v/>
      </c>
    </row>
    <row r="205" spans="1:17" x14ac:dyDescent="0.2">
      <c r="A205" s="4">
        <v>42705</v>
      </c>
      <c r="B205" s="5" t="e">
        <v>#N/A</v>
      </c>
      <c r="C205" t="e">
        <v>#N/A</v>
      </c>
      <c r="D205" t="e">
        <v>#N/A</v>
      </c>
      <c r="G205" s="7">
        <v>89.3</v>
      </c>
      <c r="H205">
        <v>107</v>
      </c>
      <c r="J205" t="e">
        <v>#N/A</v>
      </c>
      <c r="K205">
        <v>0.9</v>
      </c>
      <c r="L205">
        <v>99.22</v>
      </c>
      <c r="O205">
        <v>-3.9533797075765901E-3</v>
      </c>
      <c r="P205">
        <v>8.6</v>
      </c>
      <c r="Q205" t="str">
        <f t="shared" si="3"/>
        <v/>
      </c>
    </row>
    <row r="206" spans="1:17" x14ac:dyDescent="0.2">
      <c r="A206" s="4">
        <v>42736</v>
      </c>
      <c r="B206" s="5">
        <v>109015</v>
      </c>
      <c r="C206">
        <v>123759</v>
      </c>
      <c r="D206">
        <v>104</v>
      </c>
      <c r="G206" s="8">
        <v>91</v>
      </c>
      <c r="H206">
        <v>107.5</v>
      </c>
      <c r="J206">
        <v>165192</v>
      </c>
      <c r="K206">
        <v>1.2</v>
      </c>
      <c r="L206">
        <v>103.76</v>
      </c>
      <c r="O206">
        <v>2.54694094106576E-2</v>
      </c>
      <c r="P206">
        <v>7.9</v>
      </c>
      <c r="Q206" t="str">
        <f t="shared" si="3"/>
        <v>2017-Q1</v>
      </c>
    </row>
    <row r="207" spans="1:17" x14ac:dyDescent="0.2">
      <c r="A207" s="4">
        <v>42767</v>
      </c>
      <c r="B207" s="5" t="e">
        <v>#N/A</v>
      </c>
      <c r="C207" t="e">
        <v>#N/A</v>
      </c>
      <c r="D207" t="e">
        <v>#N/A</v>
      </c>
      <c r="G207" s="7">
        <v>91.1</v>
      </c>
      <c r="H207">
        <v>109.8</v>
      </c>
      <c r="J207" t="e">
        <v>#N/A</v>
      </c>
      <c r="K207">
        <v>1.4</v>
      </c>
      <c r="L207">
        <v>100.18</v>
      </c>
      <c r="O207">
        <v>9.0718799252339694E-2</v>
      </c>
      <c r="P207">
        <v>6.1</v>
      </c>
      <c r="Q207" t="str">
        <f t="shared" si="3"/>
        <v/>
      </c>
    </row>
    <row r="208" spans="1:17" x14ac:dyDescent="0.2">
      <c r="A208" s="4">
        <v>42795</v>
      </c>
      <c r="B208" s="5" t="e">
        <v>#N/A</v>
      </c>
      <c r="C208" t="e">
        <v>#N/A</v>
      </c>
      <c r="D208" t="e">
        <v>#N/A</v>
      </c>
      <c r="G208" s="7">
        <v>91.9</v>
      </c>
      <c r="H208">
        <v>107.1</v>
      </c>
      <c r="J208" t="e">
        <v>#N/A</v>
      </c>
      <c r="K208">
        <v>1</v>
      </c>
      <c r="L208">
        <v>97.59</v>
      </c>
      <c r="O208">
        <v>2.38835654018867E-2</v>
      </c>
      <c r="P208">
        <v>8.1</v>
      </c>
      <c r="Q208" t="str">
        <f t="shared" si="3"/>
        <v/>
      </c>
    </row>
    <row r="209" spans="1:17" x14ac:dyDescent="0.2">
      <c r="A209" s="4">
        <v>42826</v>
      </c>
      <c r="B209" s="5">
        <v>110611</v>
      </c>
      <c r="C209">
        <v>134304</v>
      </c>
      <c r="D209">
        <v>104.4</v>
      </c>
      <c r="G209" s="7">
        <v>91.2</v>
      </c>
      <c r="H209">
        <v>107.7</v>
      </c>
      <c r="J209">
        <v>167114</v>
      </c>
      <c r="K209">
        <v>1.4</v>
      </c>
      <c r="L209">
        <v>98.06</v>
      </c>
      <c r="O209">
        <v>1.5206971826671601E-2</v>
      </c>
      <c r="P209">
        <v>9.3000000000000007</v>
      </c>
      <c r="Q209" t="str">
        <f t="shared" si="3"/>
        <v>2017-Q2</v>
      </c>
    </row>
    <row r="210" spans="1:17" x14ac:dyDescent="0.2">
      <c r="A210" s="4">
        <v>42856</v>
      </c>
      <c r="B210" s="5" t="e">
        <v>#N/A</v>
      </c>
      <c r="C210" t="e">
        <v>#N/A</v>
      </c>
      <c r="D210" t="e">
        <v>#N/A</v>
      </c>
      <c r="G210" s="7">
        <v>92.9</v>
      </c>
      <c r="H210">
        <v>107.9</v>
      </c>
      <c r="J210" t="e">
        <v>#N/A</v>
      </c>
      <c r="K210">
        <v>1.2</v>
      </c>
      <c r="L210">
        <v>96.97</v>
      </c>
      <c r="O210">
        <v>-4.0850717359223403E-2</v>
      </c>
      <c r="P210">
        <v>9.5</v>
      </c>
      <c r="Q210" t="str">
        <f t="shared" si="3"/>
        <v/>
      </c>
    </row>
    <row r="211" spans="1:17" x14ac:dyDescent="0.2">
      <c r="A211" s="4">
        <v>42887</v>
      </c>
      <c r="B211" s="5" t="e">
        <v>#N/A</v>
      </c>
      <c r="C211" t="e">
        <v>#N/A</v>
      </c>
      <c r="D211" t="e">
        <v>#N/A</v>
      </c>
      <c r="G211" s="7">
        <v>91.9</v>
      </c>
      <c r="H211">
        <v>109.7</v>
      </c>
      <c r="J211" t="e">
        <v>#N/A</v>
      </c>
      <c r="K211">
        <v>1.3</v>
      </c>
      <c r="L211">
        <v>96.1</v>
      </c>
      <c r="O211">
        <v>5.50925355467413E-3</v>
      </c>
      <c r="P211">
        <v>9.6999999999999993</v>
      </c>
      <c r="Q211" t="str">
        <f t="shared" si="3"/>
        <v/>
      </c>
    </row>
    <row r="212" spans="1:17" x14ac:dyDescent="0.2">
      <c r="A212" s="4">
        <v>42917</v>
      </c>
      <c r="B212" s="5">
        <v>111626</v>
      </c>
      <c r="C212">
        <v>130306</v>
      </c>
      <c r="D212">
        <v>105.2</v>
      </c>
      <c r="G212" s="7">
        <v>91.6</v>
      </c>
      <c r="H212">
        <v>107.9</v>
      </c>
      <c r="J212">
        <v>168065</v>
      </c>
      <c r="K212">
        <v>1.4</v>
      </c>
      <c r="L212">
        <v>95.56</v>
      </c>
      <c r="O212">
        <v>-1.9489427255260601E-2</v>
      </c>
      <c r="P212">
        <v>10.5</v>
      </c>
      <c r="Q212" t="str">
        <f t="shared" si="3"/>
        <v>2017-Q3</v>
      </c>
    </row>
    <row r="213" spans="1:17" x14ac:dyDescent="0.2">
      <c r="A213" s="4">
        <v>42948</v>
      </c>
      <c r="B213" s="5" t="e">
        <v>#N/A</v>
      </c>
      <c r="C213" t="e">
        <v>#N/A</v>
      </c>
      <c r="D213" t="e">
        <v>#N/A</v>
      </c>
      <c r="G213" s="7">
        <v>93.3</v>
      </c>
      <c r="H213">
        <v>109.5</v>
      </c>
      <c r="J213" t="e">
        <v>#N/A</v>
      </c>
      <c r="K213">
        <v>1.4</v>
      </c>
      <c r="L213">
        <v>96.53</v>
      </c>
      <c r="O213">
        <v>7.9300255999026296E-3</v>
      </c>
      <c r="P213">
        <v>11.1</v>
      </c>
      <c r="Q213" t="str">
        <f t="shared" si="3"/>
        <v/>
      </c>
    </row>
    <row r="214" spans="1:17" x14ac:dyDescent="0.2">
      <c r="A214" s="4">
        <v>42979</v>
      </c>
      <c r="B214" s="5" t="e">
        <v>#N/A</v>
      </c>
      <c r="C214" t="e">
        <v>#N/A</v>
      </c>
      <c r="D214" t="e">
        <v>#N/A</v>
      </c>
      <c r="G214" s="7">
        <v>94.8</v>
      </c>
      <c r="H214">
        <v>110.3</v>
      </c>
      <c r="J214" t="e">
        <v>#N/A</v>
      </c>
      <c r="K214">
        <v>1.3</v>
      </c>
      <c r="L214">
        <v>97.47</v>
      </c>
      <c r="O214">
        <v>1.35854756291991E-2</v>
      </c>
      <c r="P214">
        <v>11</v>
      </c>
      <c r="Q214" t="str">
        <f t="shared" si="3"/>
        <v/>
      </c>
    </row>
    <row r="215" spans="1:17" x14ac:dyDescent="0.2">
      <c r="A215" s="4">
        <v>43009</v>
      </c>
      <c r="B215" s="5">
        <v>112753</v>
      </c>
      <c r="C215">
        <v>139771</v>
      </c>
      <c r="D215">
        <v>105.4</v>
      </c>
      <c r="G215" s="7">
        <v>95.5</v>
      </c>
      <c r="H215">
        <v>110.9</v>
      </c>
      <c r="J215">
        <v>170084</v>
      </c>
      <c r="K215">
        <v>1.4</v>
      </c>
      <c r="L215">
        <v>99.4</v>
      </c>
      <c r="O215">
        <v>-3.0145281023688901E-2</v>
      </c>
      <c r="P215">
        <v>10.4</v>
      </c>
      <c r="Q215" t="str">
        <f t="shared" si="3"/>
        <v>2017-Q4</v>
      </c>
    </row>
    <row r="216" spans="1:17" x14ac:dyDescent="0.2">
      <c r="A216" s="4">
        <v>43040</v>
      </c>
      <c r="B216" s="5" t="e">
        <v>#N/A</v>
      </c>
      <c r="C216" t="e">
        <v>#N/A</v>
      </c>
      <c r="D216" t="e">
        <v>#N/A</v>
      </c>
      <c r="G216" s="7">
        <v>96.8</v>
      </c>
      <c r="H216">
        <v>112.5</v>
      </c>
      <c r="J216" t="e">
        <v>#N/A</v>
      </c>
      <c r="K216">
        <v>1.2</v>
      </c>
      <c r="L216">
        <v>101.44</v>
      </c>
      <c r="O216">
        <v>-1.6500046628612701E-2</v>
      </c>
      <c r="P216">
        <v>9.6999999999999993</v>
      </c>
      <c r="Q216" t="str">
        <f t="shared" si="3"/>
        <v/>
      </c>
    </row>
    <row r="217" spans="1:17" x14ac:dyDescent="0.2">
      <c r="A217" s="4">
        <v>43070</v>
      </c>
      <c r="B217" s="5" t="e">
        <v>#N/A</v>
      </c>
      <c r="C217" t="e">
        <v>#N/A</v>
      </c>
      <c r="D217" t="e">
        <v>#N/A</v>
      </c>
      <c r="G217" s="7">
        <v>99.4</v>
      </c>
      <c r="H217">
        <v>112</v>
      </c>
      <c r="J217" t="e">
        <v>#N/A</v>
      </c>
      <c r="K217">
        <v>1.1000000000000001</v>
      </c>
      <c r="L217">
        <v>101.76</v>
      </c>
      <c r="O217">
        <v>3.97799848349134E-2</v>
      </c>
      <c r="P217">
        <v>10</v>
      </c>
      <c r="Q217" t="str">
        <f t="shared" si="3"/>
        <v/>
      </c>
    </row>
    <row r="218" spans="1:17" x14ac:dyDescent="0.2">
      <c r="A218" s="4">
        <v>43101</v>
      </c>
      <c r="B218" s="5">
        <v>115136</v>
      </c>
      <c r="C218">
        <v>128234</v>
      </c>
      <c r="D218">
        <v>106.1</v>
      </c>
      <c r="G218" s="7">
        <v>96.9</v>
      </c>
      <c r="H218">
        <v>111.9</v>
      </c>
      <c r="J218">
        <v>171755</v>
      </c>
      <c r="K218">
        <v>1</v>
      </c>
      <c r="L218">
        <v>102.04</v>
      </c>
      <c r="O218">
        <v>-6.02593302236318E-2</v>
      </c>
      <c r="P218">
        <v>10.3</v>
      </c>
      <c r="Q218" t="str">
        <f t="shared" si="3"/>
        <v>2018-Q1</v>
      </c>
    </row>
    <row r="219" spans="1:17" x14ac:dyDescent="0.2">
      <c r="A219" s="4">
        <v>43132</v>
      </c>
      <c r="B219" s="5" t="e">
        <v>#N/A</v>
      </c>
      <c r="C219" t="e">
        <v>#N/A</v>
      </c>
      <c r="D219" t="e">
        <v>#N/A</v>
      </c>
      <c r="G219" s="7">
        <v>94.8</v>
      </c>
      <c r="H219">
        <v>111.3</v>
      </c>
      <c r="J219" t="e">
        <v>#N/A</v>
      </c>
      <c r="K219">
        <v>1.2</v>
      </c>
      <c r="L219">
        <v>101.53</v>
      </c>
      <c r="O219">
        <v>-2.4681373595235801E-2</v>
      </c>
      <c r="P219">
        <v>9.1</v>
      </c>
      <c r="Q219" t="str">
        <f t="shared" si="3"/>
        <v/>
      </c>
    </row>
    <row r="220" spans="1:17" x14ac:dyDescent="0.2">
      <c r="A220" s="4">
        <v>43160</v>
      </c>
      <c r="B220" s="5" t="e">
        <v>#N/A</v>
      </c>
      <c r="C220" t="e">
        <v>#N/A</v>
      </c>
      <c r="D220" t="e">
        <v>#N/A</v>
      </c>
      <c r="G220" s="7">
        <v>96.7</v>
      </c>
      <c r="H220">
        <v>108.7</v>
      </c>
      <c r="J220" t="e">
        <v>#N/A</v>
      </c>
      <c r="K220">
        <v>1.3</v>
      </c>
      <c r="L220">
        <v>98.9</v>
      </c>
      <c r="O220">
        <v>3.8838364657442198E-2</v>
      </c>
      <c r="P220">
        <v>5.7</v>
      </c>
      <c r="Q220" t="str">
        <f t="shared" si="3"/>
        <v/>
      </c>
    </row>
    <row r="221" spans="1:17" x14ac:dyDescent="0.2">
      <c r="A221" s="4">
        <v>43191</v>
      </c>
      <c r="B221" s="5">
        <v>117035</v>
      </c>
      <c r="C221">
        <v>139420</v>
      </c>
      <c r="D221">
        <v>107.2</v>
      </c>
      <c r="G221" s="7">
        <v>97.3</v>
      </c>
      <c r="H221">
        <v>110.4</v>
      </c>
      <c r="J221">
        <v>172528</v>
      </c>
      <c r="K221">
        <v>1</v>
      </c>
      <c r="L221">
        <v>100.35</v>
      </c>
      <c r="O221">
        <v>-5.2989560150448901E-2</v>
      </c>
      <c r="P221">
        <v>7.7</v>
      </c>
      <c r="Q221" t="str">
        <f t="shared" si="3"/>
        <v>2018-Q2</v>
      </c>
    </row>
    <row r="222" spans="1:17" x14ac:dyDescent="0.2">
      <c r="A222" s="4">
        <v>43221</v>
      </c>
      <c r="B222" s="5" t="e">
        <v>#N/A</v>
      </c>
      <c r="C222" t="e">
        <v>#N/A</v>
      </c>
      <c r="D222" t="e">
        <v>#N/A</v>
      </c>
      <c r="G222" s="7">
        <v>97.8</v>
      </c>
      <c r="H222">
        <v>108.2</v>
      </c>
      <c r="J222" t="e">
        <v>#N/A</v>
      </c>
      <c r="K222">
        <v>1.4</v>
      </c>
      <c r="L222">
        <v>104.56</v>
      </c>
      <c r="O222">
        <v>1.6471301408380198E-2</v>
      </c>
      <c r="P222">
        <v>8</v>
      </c>
      <c r="Q222" t="str">
        <f t="shared" si="3"/>
        <v/>
      </c>
    </row>
    <row r="223" spans="1:17" x14ac:dyDescent="0.2">
      <c r="A223" s="4">
        <v>43252</v>
      </c>
      <c r="B223" s="5" t="e">
        <v>#N/A</v>
      </c>
      <c r="C223" t="e">
        <v>#N/A</v>
      </c>
      <c r="D223" t="e">
        <v>#N/A</v>
      </c>
      <c r="G223" s="7">
        <v>98.3</v>
      </c>
      <c r="H223">
        <v>109.4</v>
      </c>
      <c r="J223" t="e">
        <v>#N/A</v>
      </c>
      <c r="K223">
        <v>1.4</v>
      </c>
      <c r="L223">
        <v>105.6</v>
      </c>
      <c r="O223">
        <v>2.5445881827250699E-2</v>
      </c>
      <c r="P223">
        <v>10.8</v>
      </c>
      <c r="Q223" t="str">
        <f t="shared" si="3"/>
        <v/>
      </c>
    </row>
    <row r="224" spans="1:17" x14ac:dyDescent="0.2">
      <c r="A224" s="4">
        <v>43282</v>
      </c>
      <c r="B224" s="5">
        <v>118252</v>
      </c>
      <c r="C224">
        <v>136508</v>
      </c>
      <c r="D224">
        <v>108.1</v>
      </c>
      <c r="G224" s="7">
        <v>98.1</v>
      </c>
      <c r="H224">
        <v>106.9</v>
      </c>
      <c r="J224">
        <v>173789</v>
      </c>
      <c r="K224">
        <v>1.3</v>
      </c>
      <c r="L224">
        <v>106.29</v>
      </c>
      <c r="O224">
        <v>-4.8956894251995599E-2</v>
      </c>
      <c r="P224">
        <v>9.6</v>
      </c>
      <c r="Q224" t="str">
        <f t="shared" si="3"/>
        <v>2018-Q3</v>
      </c>
    </row>
    <row r="225" spans="1:17" x14ac:dyDescent="0.2">
      <c r="A225" s="4">
        <v>43313</v>
      </c>
      <c r="B225" s="5" t="e">
        <v>#N/A</v>
      </c>
      <c r="C225" t="e">
        <v>#N/A</v>
      </c>
      <c r="D225" t="e">
        <v>#N/A</v>
      </c>
      <c r="G225" s="7">
        <v>98.9</v>
      </c>
      <c r="H225">
        <v>105.5</v>
      </c>
      <c r="J225" t="e">
        <v>#N/A</v>
      </c>
      <c r="K225">
        <v>1.2</v>
      </c>
      <c r="L225">
        <v>107.25</v>
      </c>
      <c r="O225">
        <v>-1.05378507704224E-3</v>
      </c>
      <c r="P225">
        <v>8.5</v>
      </c>
      <c r="Q225" t="str">
        <f t="shared" si="3"/>
        <v/>
      </c>
    </row>
    <row r="226" spans="1:17" x14ac:dyDescent="0.2">
      <c r="A226" s="4">
        <v>43344</v>
      </c>
      <c r="B226" s="5" t="e">
        <v>#N/A</v>
      </c>
      <c r="C226" t="e">
        <v>#N/A</v>
      </c>
      <c r="D226" t="e">
        <v>#N/A</v>
      </c>
      <c r="G226" s="7">
        <v>97.9</v>
      </c>
      <c r="H226">
        <v>105.3</v>
      </c>
      <c r="J226" t="e">
        <v>#N/A</v>
      </c>
      <c r="K226">
        <v>1.1000000000000001</v>
      </c>
      <c r="L226">
        <v>109.15</v>
      </c>
      <c r="O226">
        <v>-5.4239440541024898E-2</v>
      </c>
      <c r="P226">
        <v>5.5</v>
      </c>
      <c r="Q226" t="str">
        <f t="shared" si="3"/>
        <v/>
      </c>
    </row>
    <row r="227" spans="1:17" x14ac:dyDescent="0.2">
      <c r="A227" s="4">
        <v>43374</v>
      </c>
      <c r="B227" s="5">
        <v>121827</v>
      </c>
      <c r="C227">
        <v>146487</v>
      </c>
      <c r="D227">
        <v>108</v>
      </c>
      <c r="G227" s="7">
        <v>99.9</v>
      </c>
      <c r="H227">
        <v>107.8</v>
      </c>
      <c r="J227">
        <v>174580</v>
      </c>
      <c r="K227">
        <v>1.3</v>
      </c>
      <c r="L227">
        <v>110.04</v>
      </c>
      <c r="O227">
        <v>2.0445123696758199E-2</v>
      </c>
      <c r="P227">
        <v>6.1</v>
      </c>
      <c r="Q227" t="str">
        <f t="shared" si="3"/>
        <v>2018-Q4</v>
      </c>
    </row>
    <row r="228" spans="1:17" x14ac:dyDescent="0.2">
      <c r="A228" s="4">
        <v>43405</v>
      </c>
      <c r="B228" s="5" t="e">
        <v>#N/A</v>
      </c>
      <c r="C228" t="e">
        <v>#N/A</v>
      </c>
      <c r="D228" t="e">
        <v>#N/A</v>
      </c>
      <c r="G228" s="7">
        <v>97.5</v>
      </c>
      <c r="H228">
        <v>108</v>
      </c>
      <c r="J228" t="e">
        <v>#N/A</v>
      </c>
      <c r="K228">
        <v>1.1000000000000001</v>
      </c>
      <c r="L228">
        <v>107.93</v>
      </c>
      <c r="O228">
        <v>-6.1016452658940103E-2</v>
      </c>
      <c r="P228">
        <v>7.6</v>
      </c>
      <c r="Q228" t="str">
        <f t="shared" si="3"/>
        <v/>
      </c>
    </row>
    <row r="229" spans="1:17" x14ac:dyDescent="0.2">
      <c r="A229" s="4">
        <v>43435</v>
      </c>
      <c r="B229" s="5" t="e">
        <v>#N/A</v>
      </c>
      <c r="C229" t="e">
        <v>#N/A</v>
      </c>
      <c r="D229" t="e">
        <v>#N/A</v>
      </c>
      <c r="G229" s="7">
        <v>96.7</v>
      </c>
      <c r="H229">
        <v>104.6</v>
      </c>
      <c r="J229" t="e">
        <v>#N/A</v>
      </c>
      <c r="K229">
        <v>1.1000000000000001</v>
      </c>
      <c r="L229">
        <v>103.84</v>
      </c>
      <c r="O229">
        <v>5.8755492987682303E-2</v>
      </c>
      <c r="P229">
        <v>6.2</v>
      </c>
      <c r="Q229" t="str">
        <f t="shared" si="3"/>
        <v/>
      </c>
    </row>
    <row r="230" spans="1:17" x14ac:dyDescent="0.2">
      <c r="A230" s="4">
        <v>43466</v>
      </c>
      <c r="B230" s="5">
        <v>121465</v>
      </c>
      <c r="C230">
        <v>137015</v>
      </c>
      <c r="D230">
        <v>109.6</v>
      </c>
      <c r="G230" s="7">
        <v>97.1</v>
      </c>
      <c r="H230">
        <v>104.4</v>
      </c>
      <c r="J230">
        <v>174231</v>
      </c>
      <c r="K230">
        <v>1</v>
      </c>
      <c r="L230">
        <v>103.54</v>
      </c>
      <c r="O230">
        <v>2.41088554448456E-2</v>
      </c>
      <c r="P230">
        <v>6.8</v>
      </c>
      <c r="Q230" t="str">
        <f t="shared" si="3"/>
        <v>2019-Q1</v>
      </c>
    </row>
    <row r="231" spans="1:17" x14ac:dyDescent="0.2">
      <c r="A231" s="4">
        <v>43497</v>
      </c>
      <c r="B231" s="5" t="e">
        <v>#N/A</v>
      </c>
      <c r="C231" t="e">
        <v>#N/A</v>
      </c>
      <c r="D231" t="e">
        <v>#N/A</v>
      </c>
      <c r="G231" s="7">
        <v>97.9</v>
      </c>
      <c r="H231">
        <v>105.4</v>
      </c>
      <c r="J231" t="e">
        <v>#N/A</v>
      </c>
      <c r="K231">
        <v>0.9</v>
      </c>
      <c r="L231">
        <v>104.21</v>
      </c>
      <c r="O231">
        <v>-4.03936078176947E-3</v>
      </c>
      <c r="P231">
        <v>7</v>
      </c>
      <c r="Q231" t="str">
        <f t="shared" si="3"/>
        <v/>
      </c>
    </row>
    <row r="232" spans="1:17" x14ac:dyDescent="0.2">
      <c r="A232" s="4">
        <v>43525</v>
      </c>
      <c r="B232" s="5" t="e">
        <v>#N/A</v>
      </c>
      <c r="C232" t="e">
        <v>#N/A</v>
      </c>
      <c r="D232" t="e">
        <v>#N/A</v>
      </c>
      <c r="G232" s="7">
        <v>96.7</v>
      </c>
      <c r="H232">
        <v>107.7</v>
      </c>
      <c r="J232" t="e">
        <v>#N/A</v>
      </c>
      <c r="K232">
        <v>0.8</v>
      </c>
      <c r="L232">
        <v>104.47</v>
      </c>
      <c r="O232">
        <v>3.5121527087246897E-2</v>
      </c>
      <c r="P232">
        <v>10.7</v>
      </c>
      <c r="Q232" t="str">
        <f t="shared" si="3"/>
        <v/>
      </c>
    </row>
    <row r="233" spans="1:17" x14ac:dyDescent="0.2">
      <c r="A233" s="4">
        <v>43556</v>
      </c>
      <c r="B233" s="5">
        <v>122030</v>
      </c>
      <c r="C233">
        <v>149358</v>
      </c>
      <c r="D233">
        <v>108.7</v>
      </c>
      <c r="G233" s="7">
        <v>99.4</v>
      </c>
      <c r="H233">
        <v>104.5</v>
      </c>
      <c r="J233">
        <v>173249</v>
      </c>
      <c r="K233">
        <v>1.2</v>
      </c>
      <c r="L233">
        <v>105.79</v>
      </c>
      <c r="O233">
        <v>-6.1004701770091402E-2</v>
      </c>
      <c r="P233">
        <v>6.5</v>
      </c>
      <c r="Q233" t="str">
        <f t="shared" si="3"/>
        <v>2019-Q2</v>
      </c>
    </row>
    <row r="234" spans="1:17" x14ac:dyDescent="0.2">
      <c r="A234" s="4">
        <v>43586</v>
      </c>
      <c r="B234" s="5" t="e">
        <v>#N/A</v>
      </c>
      <c r="C234" t="e">
        <v>#N/A</v>
      </c>
      <c r="D234" t="e">
        <v>#N/A</v>
      </c>
      <c r="G234" s="7">
        <v>98.7</v>
      </c>
      <c r="H234">
        <v>105</v>
      </c>
      <c r="J234" t="e">
        <v>#N/A</v>
      </c>
      <c r="K234">
        <v>0.9</v>
      </c>
      <c r="L234">
        <v>105.89</v>
      </c>
      <c r="O234">
        <v>2.1381862693512901E-2</v>
      </c>
      <c r="P234">
        <v>8.1</v>
      </c>
      <c r="Q234" t="str">
        <f t="shared" si="3"/>
        <v/>
      </c>
    </row>
    <row r="235" spans="1:17" x14ac:dyDescent="0.2">
      <c r="A235" s="4">
        <v>43617</v>
      </c>
      <c r="B235" s="5" t="e">
        <v>#N/A</v>
      </c>
      <c r="C235" t="e">
        <v>#N/A</v>
      </c>
      <c r="D235" t="e">
        <v>#N/A</v>
      </c>
      <c r="G235" s="7">
        <v>96.2</v>
      </c>
      <c r="H235">
        <v>104.7</v>
      </c>
      <c r="J235" t="e">
        <v>#N/A</v>
      </c>
      <c r="K235">
        <v>1</v>
      </c>
      <c r="L235">
        <v>102.91</v>
      </c>
      <c r="O235">
        <v>-2.5075866955493398E-2</v>
      </c>
      <c r="P235">
        <v>10.6</v>
      </c>
      <c r="Q235" t="str">
        <f t="shared" si="3"/>
        <v/>
      </c>
    </row>
    <row r="236" spans="1:17" x14ac:dyDescent="0.2">
      <c r="A236" s="4">
        <v>43647</v>
      </c>
      <c r="B236" s="5">
        <v>122721</v>
      </c>
      <c r="C236">
        <v>144595</v>
      </c>
      <c r="D236">
        <v>109.2</v>
      </c>
      <c r="G236" s="7">
        <v>97.4</v>
      </c>
      <c r="H236">
        <v>105.5</v>
      </c>
      <c r="J236">
        <v>179095</v>
      </c>
      <c r="K236">
        <v>1</v>
      </c>
      <c r="L236">
        <v>103.78</v>
      </c>
      <c r="O236">
        <v>-1.7780551073707698E-2</v>
      </c>
      <c r="P236">
        <v>6.4</v>
      </c>
      <c r="Q236" t="str">
        <f t="shared" si="3"/>
        <v>2019-Q3</v>
      </c>
    </row>
    <row r="237" spans="1:17" x14ac:dyDescent="0.2">
      <c r="A237" s="4">
        <v>43678</v>
      </c>
      <c r="B237" s="5" t="e">
        <v>#N/A</v>
      </c>
      <c r="C237" t="e">
        <v>#N/A</v>
      </c>
      <c r="D237" t="e">
        <v>#N/A</v>
      </c>
      <c r="G237" s="7">
        <v>97.2</v>
      </c>
      <c r="H237">
        <v>108.1</v>
      </c>
      <c r="J237" t="e">
        <v>#N/A</v>
      </c>
      <c r="K237">
        <v>1.1000000000000001</v>
      </c>
      <c r="L237">
        <v>102.46</v>
      </c>
      <c r="O237">
        <v>4.7822953514613097E-2</v>
      </c>
      <c r="P237">
        <v>5.9</v>
      </c>
      <c r="Q237" t="str">
        <f t="shared" si="3"/>
        <v/>
      </c>
    </row>
    <row r="238" spans="1:17" x14ac:dyDescent="0.2">
      <c r="A238" s="4">
        <v>43709</v>
      </c>
      <c r="B238" s="5" t="e">
        <v>#N/A</v>
      </c>
      <c r="C238" t="e">
        <v>#N/A</v>
      </c>
      <c r="D238" t="e">
        <v>#N/A</v>
      </c>
      <c r="G238" s="7">
        <v>97.7</v>
      </c>
      <c r="H238">
        <v>103.4</v>
      </c>
      <c r="J238" t="e">
        <v>#N/A</v>
      </c>
      <c r="K238">
        <v>1.1000000000000001</v>
      </c>
      <c r="L238">
        <v>102.03</v>
      </c>
      <c r="O238">
        <v>1.39447878757792E-3</v>
      </c>
      <c r="P238">
        <v>4.8</v>
      </c>
      <c r="Q238" t="str">
        <f t="shared" si="3"/>
        <v/>
      </c>
    </row>
    <row r="239" spans="1:17" x14ac:dyDescent="0.2">
      <c r="A239" s="4">
        <v>43739</v>
      </c>
      <c r="B239" s="5">
        <v>122131</v>
      </c>
      <c r="C239">
        <v>154865</v>
      </c>
      <c r="D239">
        <v>109.3</v>
      </c>
      <c r="G239" s="7">
        <v>97.2</v>
      </c>
      <c r="H239">
        <v>100.8</v>
      </c>
      <c r="J239">
        <v>179883</v>
      </c>
      <c r="K239">
        <v>1.1000000000000001</v>
      </c>
      <c r="L239">
        <v>102.94</v>
      </c>
      <c r="O239">
        <v>1.01561903641372E-2</v>
      </c>
      <c r="P239">
        <v>2.2999999999999998</v>
      </c>
      <c r="Q239" t="str">
        <f t="shared" si="3"/>
        <v>2019-Q4</v>
      </c>
    </row>
    <row r="240" spans="1:17" x14ac:dyDescent="0.2">
      <c r="A240" s="4">
        <v>43770</v>
      </c>
      <c r="B240" s="5" t="e">
        <v>#N/A</v>
      </c>
      <c r="C240" t="e">
        <v>#N/A</v>
      </c>
      <c r="D240" t="e">
        <v>#N/A</v>
      </c>
      <c r="G240" s="7">
        <v>97.1</v>
      </c>
      <c r="H240">
        <v>103.3</v>
      </c>
      <c r="J240" t="e">
        <v>#N/A</v>
      </c>
      <c r="K240">
        <v>1.2</v>
      </c>
      <c r="L240">
        <v>102.4</v>
      </c>
      <c r="O240">
        <v>2.08671776337752E-2</v>
      </c>
      <c r="P240">
        <v>2.1</v>
      </c>
      <c r="Q240" t="str">
        <f t="shared" si="3"/>
        <v/>
      </c>
    </row>
    <row r="241" spans="1:17" x14ac:dyDescent="0.2">
      <c r="A241" s="4">
        <v>43800</v>
      </c>
      <c r="B241" s="5" t="e">
        <v>#N/A</v>
      </c>
      <c r="C241" t="e">
        <v>#N/A</v>
      </c>
      <c r="D241" t="e">
        <v>#N/A</v>
      </c>
      <c r="G241" s="7">
        <v>98.3</v>
      </c>
      <c r="H241">
        <v>103.4</v>
      </c>
      <c r="J241" t="e">
        <v>#N/A</v>
      </c>
      <c r="K241">
        <v>1.2</v>
      </c>
      <c r="L241">
        <v>101.71</v>
      </c>
      <c r="O241">
        <v>-1.9168408503917399E-2</v>
      </c>
      <c r="P241">
        <v>1.1000000000000001</v>
      </c>
      <c r="Q241" t="str">
        <f t="shared" si="3"/>
        <v/>
      </c>
    </row>
    <row r="242" spans="1:17" x14ac:dyDescent="0.2">
      <c r="A242" s="4">
        <v>43831</v>
      </c>
      <c r="B242" s="5">
        <v>122724</v>
      </c>
      <c r="C242">
        <v>141482</v>
      </c>
      <c r="D242">
        <v>103.4</v>
      </c>
      <c r="G242" s="7">
        <v>98.4</v>
      </c>
      <c r="H242">
        <v>101.6</v>
      </c>
      <c r="J242">
        <v>169314</v>
      </c>
      <c r="K242">
        <v>1.3</v>
      </c>
      <c r="L242">
        <v>103.56</v>
      </c>
      <c r="O242">
        <v>-7.1302827829598001E-2</v>
      </c>
      <c r="P242">
        <v>1</v>
      </c>
      <c r="Q242" t="str">
        <f t="shared" si="3"/>
        <v>2020-Q1</v>
      </c>
    </row>
    <row r="243" spans="1:17" x14ac:dyDescent="0.2">
      <c r="A243" s="4">
        <v>43862</v>
      </c>
      <c r="B243" s="5" t="e">
        <v>#N/A</v>
      </c>
      <c r="C243" t="e">
        <v>#N/A</v>
      </c>
      <c r="D243" t="e">
        <v>#N/A</v>
      </c>
      <c r="G243" s="7">
        <v>99.9</v>
      </c>
      <c r="H243">
        <v>103.8</v>
      </c>
      <c r="J243" t="e">
        <v>#N/A</v>
      </c>
      <c r="K243">
        <v>1.4</v>
      </c>
      <c r="L243">
        <v>100.81</v>
      </c>
      <c r="O243">
        <v>-0.25121293473894102</v>
      </c>
      <c r="P243">
        <v>4</v>
      </c>
      <c r="Q243" t="str">
        <f t="shared" si="3"/>
        <v/>
      </c>
    </row>
    <row r="244" spans="1:17" x14ac:dyDescent="0.2">
      <c r="A244" s="4">
        <v>43891</v>
      </c>
      <c r="B244" s="5" t="e">
        <v>#N/A</v>
      </c>
      <c r="C244" t="e">
        <v>#N/A</v>
      </c>
      <c r="D244" t="e">
        <v>#N/A</v>
      </c>
      <c r="G244" s="7">
        <v>81.599999999999994</v>
      </c>
      <c r="H244">
        <v>99.8</v>
      </c>
      <c r="J244" t="e">
        <v>#N/A</v>
      </c>
      <c r="K244">
        <v>1.4</v>
      </c>
      <c r="L244">
        <v>94.39</v>
      </c>
      <c r="O244">
        <v>1.9974825403062699E-2</v>
      </c>
      <c r="P244">
        <v>0.6</v>
      </c>
      <c r="Q244" t="str">
        <f t="shared" si="3"/>
        <v/>
      </c>
    </row>
    <row r="245" spans="1:17" x14ac:dyDescent="0.2">
      <c r="A245" s="4">
        <v>43922</v>
      </c>
      <c r="B245" s="5">
        <v>103923</v>
      </c>
      <c r="C245">
        <v>130954</v>
      </c>
      <c r="D245">
        <v>81</v>
      </c>
      <c r="G245" s="7">
        <v>58.6</v>
      </c>
      <c r="H245">
        <v>67</v>
      </c>
      <c r="J245">
        <v>130904</v>
      </c>
      <c r="K245">
        <v>1.6</v>
      </c>
      <c r="L245">
        <v>87.72</v>
      </c>
      <c r="O245">
        <v>2.48536486230275E-2</v>
      </c>
      <c r="P245">
        <v>-20.9</v>
      </c>
      <c r="Q245" t="str">
        <f t="shared" si="3"/>
        <v>2020-Q2</v>
      </c>
    </row>
    <row r="246" spans="1:17" x14ac:dyDescent="0.2">
      <c r="A246" s="4">
        <v>43952</v>
      </c>
      <c r="B246" s="5" t="e">
        <v>#N/A</v>
      </c>
      <c r="C246" t="e">
        <v>#N/A</v>
      </c>
      <c r="D246" t="e">
        <v>#N/A</v>
      </c>
      <c r="G246" s="7">
        <v>69.599999999999994</v>
      </c>
      <c r="H246">
        <v>69.900000000000006</v>
      </c>
      <c r="J246" t="e">
        <v>#N/A</v>
      </c>
      <c r="K246">
        <v>1.4</v>
      </c>
      <c r="L246">
        <v>87.14</v>
      </c>
      <c r="O246">
        <v>1.8830936784702601E-2</v>
      </c>
      <c r="P246">
        <v>-19</v>
      </c>
      <c r="Q246" t="str">
        <f t="shared" si="3"/>
        <v/>
      </c>
    </row>
    <row r="247" spans="1:17" x14ac:dyDescent="0.2">
      <c r="A247" s="4">
        <v>43983</v>
      </c>
      <c r="B247" s="5" t="e">
        <v>#N/A</v>
      </c>
      <c r="C247" t="e">
        <v>#N/A</v>
      </c>
      <c r="D247" t="e">
        <v>#N/A</v>
      </c>
      <c r="G247" s="7">
        <v>80.900000000000006</v>
      </c>
      <c r="H247">
        <v>82.5</v>
      </c>
      <c r="J247" t="e">
        <v>#N/A</v>
      </c>
      <c r="K247">
        <v>1.2</v>
      </c>
      <c r="L247">
        <v>90.61</v>
      </c>
      <c r="O247">
        <v>-5.0191982197796699E-2</v>
      </c>
      <c r="P247">
        <v>-12.4</v>
      </c>
      <c r="Q247" t="str">
        <f t="shared" si="3"/>
        <v/>
      </c>
    </row>
    <row r="248" spans="1:17" x14ac:dyDescent="0.2">
      <c r="A248" s="4">
        <v>44013</v>
      </c>
      <c r="B248" s="5">
        <v>119455</v>
      </c>
      <c r="C248">
        <v>138950</v>
      </c>
      <c r="D248">
        <v>101.8</v>
      </c>
      <c r="G248" s="7">
        <v>86.6</v>
      </c>
      <c r="H248">
        <v>91.7</v>
      </c>
      <c r="J248">
        <v>159536</v>
      </c>
      <c r="K248">
        <v>0.6</v>
      </c>
      <c r="L248">
        <v>92.62</v>
      </c>
      <c r="O248">
        <v>1.33028268437219E-2</v>
      </c>
      <c r="P248">
        <v>-12.9</v>
      </c>
      <c r="Q248" t="str">
        <f t="shared" si="3"/>
        <v>2020-Q3</v>
      </c>
    </row>
    <row r="249" spans="1:17" x14ac:dyDescent="0.2">
      <c r="A249" s="4">
        <v>44044</v>
      </c>
      <c r="B249" s="5" t="e">
        <v>#N/A</v>
      </c>
      <c r="C249" t="e">
        <v>#N/A</v>
      </c>
      <c r="D249" t="e">
        <v>#N/A</v>
      </c>
      <c r="G249" s="7">
        <v>88.8</v>
      </c>
      <c r="H249">
        <v>89.2</v>
      </c>
      <c r="J249" t="e">
        <v>#N/A</v>
      </c>
      <c r="K249">
        <v>0.5</v>
      </c>
      <c r="L249">
        <v>92.94</v>
      </c>
      <c r="O249">
        <v>-3.6961397531255699E-2</v>
      </c>
      <c r="P249">
        <v>-15.4</v>
      </c>
      <c r="Q249" t="str">
        <f t="shared" si="3"/>
        <v/>
      </c>
    </row>
    <row r="250" spans="1:17" x14ac:dyDescent="0.2">
      <c r="A250" s="4">
        <v>44075</v>
      </c>
      <c r="B250" s="5" t="e">
        <v>#N/A</v>
      </c>
      <c r="C250" t="e">
        <v>#N/A</v>
      </c>
      <c r="D250" t="e">
        <v>#N/A</v>
      </c>
      <c r="G250" s="7">
        <v>90.4</v>
      </c>
      <c r="H250">
        <v>90.7</v>
      </c>
      <c r="J250" t="e">
        <v>#N/A</v>
      </c>
      <c r="K250">
        <v>0.5</v>
      </c>
      <c r="L250">
        <v>93.27</v>
      </c>
      <c r="O250">
        <v>-4.0160900463224201E-2</v>
      </c>
      <c r="P250">
        <v>-13.6</v>
      </c>
      <c r="Q250" t="str">
        <f t="shared" si="3"/>
        <v/>
      </c>
    </row>
    <row r="251" spans="1:17" x14ac:dyDescent="0.2">
      <c r="A251" s="4">
        <v>44105</v>
      </c>
      <c r="B251" s="5">
        <v>122165</v>
      </c>
      <c r="C251">
        <v>150480</v>
      </c>
      <c r="D251">
        <v>102.7</v>
      </c>
      <c r="G251" s="7">
        <v>92.8</v>
      </c>
      <c r="H251">
        <v>90.9</v>
      </c>
      <c r="J251">
        <v>160929</v>
      </c>
      <c r="K251">
        <v>0.4</v>
      </c>
      <c r="L251">
        <v>91.54</v>
      </c>
      <c r="O251">
        <v>0.22458693526491499</v>
      </c>
      <c r="P251">
        <v>-13.2</v>
      </c>
      <c r="Q251" t="str">
        <f t="shared" si="3"/>
        <v>2020-Q4</v>
      </c>
    </row>
    <row r="252" spans="1:17" x14ac:dyDescent="0.2">
      <c r="A252" s="4">
        <v>44136</v>
      </c>
      <c r="B252" s="5" t="e">
        <v>#N/A</v>
      </c>
      <c r="C252" t="e">
        <v>#N/A</v>
      </c>
      <c r="D252" t="e">
        <v>#N/A</v>
      </c>
      <c r="G252" s="7">
        <v>93.2</v>
      </c>
      <c r="H252">
        <v>90.5</v>
      </c>
      <c r="J252" t="e">
        <v>#N/A</v>
      </c>
      <c r="K252">
        <v>0.3</v>
      </c>
      <c r="L252">
        <v>92.63</v>
      </c>
      <c r="O252">
        <v>-3.9623383078790701E-4</v>
      </c>
      <c r="P252">
        <v>-13.9</v>
      </c>
      <c r="Q252" t="str">
        <f t="shared" si="3"/>
        <v/>
      </c>
    </row>
    <row r="253" spans="1:17" x14ac:dyDescent="0.2">
      <c r="A253" s="4">
        <v>44166</v>
      </c>
      <c r="B253" s="5" t="e">
        <v>#N/A</v>
      </c>
      <c r="C253" t="e">
        <v>#N/A</v>
      </c>
      <c r="D253" t="e">
        <v>#N/A</v>
      </c>
      <c r="G253" s="7">
        <v>92.3</v>
      </c>
      <c r="H253">
        <v>93.6</v>
      </c>
      <c r="J253" t="e">
        <v>#N/A</v>
      </c>
      <c r="K253">
        <v>0.2</v>
      </c>
      <c r="L253">
        <v>95.32</v>
      </c>
      <c r="O253">
        <v>-3.9951772287052399E-2</v>
      </c>
      <c r="P253">
        <v>-7.2</v>
      </c>
      <c r="Q253" t="str">
        <f t="shared" si="3"/>
        <v/>
      </c>
    </row>
    <row r="254" spans="1:17" x14ac:dyDescent="0.2">
      <c r="A254" s="4">
        <v>44197</v>
      </c>
      <c r="B254" s="5">
        <v>124692</v>
      </c>
      <c r="C254">
        <v>141660</v>
      </c>
      <c r="D254">
        <v>100.3</v>
      </c>
      <c r="G254" s="7">
        <v>94.6</v>
      </c>
      <c r="H254">
        <v>96</v>
      </c>
      <c r="J254">
        <v>163003</v>
      </c>
      <c r="K254">
        <v>0.8</v>
      </c>
      <c r="L254">
        <v>101.51</v>
      </c>
      <c r="O254">
        <v>5.8518179311036499E-2</v>
      </c>
      <c r="P254">
        <v>-8.6</v>
      </c>
      <c r="Q254" t="str">
        <f t="shared" si="3"/>
        <v>2021-Q1</v>
      </c>
    </row>
    <row r="255" spans="1:17" x14ac:dyDescent="0.2">
      <c r="A255" s="4">
        <v>44228</v>
      </c>
      <c r="B255" s="5" t="e">
        <v>#N/A</v>
      </c>
      <c r="C255" t="e">
        <v>#N/A</v>
      </c>
      <c r="D255" t="e">
        <v>#N/A</v>
      </c>
      <c r="G255" s="7">
        <v>93.1</v>
      </c>
      <c r="H255">
        <v>93.2</v>
      </c>
      <c r="J255" t="e">
        <v>#N/A</v>
      </c>
      <c r="K255">
        <v>0.5</v>
      </c>
      <c r="L255">
        <v>96.61</v>
      </c>
      <c r="O255">
        <v>4.2255616848436303E-2</v>
      </c>
      <c r="P255">
        <v>-10.3</v>
      </c>
      <c r="Q255" t="str">
        <f t="shared" si="3"/>
        <v/>
      </c>
    </row>
    <row r="256" spans="1:17" x14ac:dyDescent="0.2">
      <c r="A256" s="4">
        <v>44256</v>
      </c>
      <c r="B256" s="5" t="e">
        <v>#N/A</v>
      </c>
      <c r="C256" t="e">
        <v>#N/A</v>
      </c>
      <c r="D256" t="e">
        <v>#N/A</v>
      </c>
      <c r="G256" s="7">
        <v>97.8</v>
      </c>
      <c r="H256">
        <v>99.7</v>
      </c>
      <c r="J256" t="e">
        <v>#N/A</v>
      </c>
      <c r="K256">
        <v>0.3</v>
      </c>
      <c r="L256">
        <v>102.38</v>
      </c>
      <c r="O256">
        <v>2.70209023499621E-2</v>
      </c>
      <c r="P256">
        <v>-1.2</v>
      </c>
      <c r="Q256" t="str">
        <f t="shared" si="3"/>
        <v/>
      </c>
    </row>
    <row r="257" spans="1:17" x14ac:dyDescent="0.2">
      <c r="A257" s="4">
        <v>44287</v>
      </c>
      <c r="B257" s="5">
        <v>127143</v>
      </c>
      <c r="C257">
        <v>149460</v>
      </c>
      <c r="D257">
        <v>105.1</v>
      </c>
      <c r="G257" s="7">
        <v>97.7</v>
      </c>
      <c r="H257">
        <v>102.5</v>
      </c>
      <c r="J257">
        <v>166292</v>
      </c>
      <c r="K257">
        <v>-0.2</v>
      </c>
      <c r="L257">
        <v>106.43</v>
      </c>
      <c r="O257">
        <v>3.71788803279181E-2</v>
      </c>
      <c r="P257">
        <v>-0.6</v>
      </c>
      <c r="Q257" t="str">
        <f t="shared" si="3"/>
        <v>2021-Q2</v>
      </c>
    </row>
    <row r="258" spans="1:17" x14ac:dyDescent="0.2">
      <c r="A258" s="4">
        <v>44317</v>
      </c>
      <c r="B258" s="5" t="e">
        <v>#N/A</v>
      </c>
      <c r="C258" t="e">
        <v>#N/A</v>
      </c>
      <c r="D258" t="e">
        <v>#N/A</v>
      </c>
      <c r="G258" s="7">
        <v>97.3</v>
      </c>
      <c r="H258">
        <v>105.1</v>
      </c>
      <c r="J258" t="e">
        <v>#N/A</v>
      </c>
      <c r="K258">
        <v>0.1</v>
      </c>
      <c r="L258">
        <v>108.05</v>
      </c>
      <c r="O258">
        <v>-3.6475758850585301E-2</v>
      </c>
      <c r="P258">
        <v>1.7</v>
      </c>
      <c r="Q258" t="str">
        <f t="shared" si="3"/>
        <v/>
      </c>
    </row>
    <row r="259" spans="1:17" x14ac:dyDescent="0.2">
      <c r="A259" s="4">
        <v>44348</v>
      </c>
      <c r="B259" s="5" t="e">
        <v>#N/A</v>
      </c>
      <c r="C259" t="e">
        <v>#N/A</v>
      </c>
      <c r="D259" t="e">
        <v>#N/A</v>
      </c>
      <c r="G259" s="7">
        <v>95.7</v>
      </c>
      <c r="H259">
        <v>107.6</v>
      </c>
      <c r="J259" t="e">
        <v>#N/A</v>
      </c>
      <c r="K259">
        <v>0.1</v>
      </c>
      <c r="L259">
        <v>111.84</v>
      </c>
      <c r="O259">
        <v>-1.6631900594395801E-2</v>
      </c>
      <c r="P259">
        <v>2.8</v>
      </c>
      <c r="Q259" t="str">
        <f t="shared" ref="Q259:Q313" si="4">IF(MONTH($A259) = 1, YEAR($A259)&amp;"-Q"&amp;MONTH($A259), IF(MONTH($A259) = 4, YEAR($A259)&amp;"-Q2", IF(MONTH($A259) = 7, YEAR($A259)&amp;"-Q3", IF(MONTH($A259) = 10, YEAR($A259)&amp;"-Q4",""))))</f>
        <v/>
      </c>
    </row>
    <row r="260" spans="1:17" x14ac:dyDescent="0.2">
      <c r="A260" s="4">
        <v>44378</v>
      </c>
      <c r="B260" s="5">
        <v>137434</v>
      </c>
      <c r="C260">
        <v>150811</v>
      </c>
      <c r="D260">
        <v>105.4</v>
      </c>
      <c r="G260" s="7">
        <v>98.9</v>
      </c>
      <c r="H260">
        <v>110.8</v>
      </c>
      <c r="J260">
        <v>171716</v>
      </c>
      <c r="K260">
        <v>0.8</v>
      </c>
      <c r="L260">
        <v>111.77</v>
      </c>
      <c r="O260">
        <v>1.95071235243773E-2</v>
      </c>
      <c r="P260">
        <v>3</v>
      </c>
      <c r="Q260" t="str">
        <f t="shared" si="4"/>
        <v>2021-Q3</v>
      </c>
    </row>
    <row r="261" spans="1:17" x14ac:dyDescent="0.2">
      <c r="A261" s="4">
        <v>44409</v>
      </c>
      <c r="B261" s="5" t="e">
        <v>#N/A</v>
      </c>
      <c r="C261" t="e">
        <v>#N/A</v>
      </c>
      <c r="D261" t="e">
        <v>#N/A</v>
      </c>
      <c r="G261" s="7">
        <v>100.5</v>
      </c>
      <c r="H261">
        <v>108.3</v>
      </c>
      <c r="J261" t="e">
        <v>#N/A</v>
      </c>
      <c r="K261">
        <v>1</v>
      </c>
      <c r="L261">
        <v>114.68</v>
      </c>
      <c r="O261">
        <v>-5.7020039381754399E-3</v>
      </c>
      <c r="P261">
        <v>3.9</v>
      </c>
      <c r="Q261" t="str">
        <f t="shared" si="4"/>
        <v/>
      </c>
    </row>
    <row r="262" spans="1:17" x14ac:dyDescent="0.2">
      <c r="A262" s="4">
        <v>44440</v>
      </c>
      <c r="B262" s="5" t="e">
        <v>#N/A</v>
      </c>
      <c r="C262" t="e">
        <v>#N/A</v>
      </c>
      <c r="D262" t="e">
        <v>#N/A</v>
      </c>
      <c r="G262" s="7">
        <v>101.7</v>
      </c>
      <c r="H262">
        <v>109.5</v>
      </c>
      <c r="J262" t="e">
        <v>#N/A</v>
      </c>
      <c r="K262">
        <v>1.2</v>
      </c>
      <c r="L262">
        <v>119.94</v>
      </c>
      <c r="O262">
        <v>2.9284089935702098E-2</v>
      </c>
      <c r="P262">
        <v>3.3</v>
      </c>
      <c r="Q262" t="str">
        <f t="shared" si="4"/>
        <v/>
      </c>
    </row>
    <row r="263" spans="1:17" x14ac:dyDescent="0.2">
      <c r="A263" s="4">
        <v>44470</v>
      </c>
      <c r="B263" s="5">
        <v>139681</v>
      </c>
      <c r="C263">
        <v>162262</v>
      </c>
      <c r="D263">
        <v>106.1</v>
      </c>
      <c r="G263" s="7">
        <v>104.2</v>
      </c>
      <c r="H263">
        <v>112.3</v>
      </c>
      <c r="J263">
        <v>178577</v>
      </c>
      <c r="K263">
        <v>1.5</v>
      </c>
      <c r="L263">
        <v>127.48</v>
      </c>
      <c r="O263">
        <v>-8.6745509357067305E-2</v>
      </c>
      <c r="P263">
        <v>4.8</v>
      </c>
      <c r="Q263" t="str">
        <f t="shared" si="4"/>
        <v>2021-Q4</v>
      </c>
    </row>
    <row r="264" spans="1:17" x14ac:dyDescent="0.2">
      <c r="A264" s="4">
        <v>44501</v>
      </c>
      <c r="B264" s="5" t="e">
        <v>#N/A</v>
      </c>
      <c r="C264" t="e">
        <v>#N/A</v>
      </c>
      <c r="D264" t="e">
        <v>#N/A</v>
      </c>
      <c r="G264" s="7">
        <v>109.3</v>
      </c>
      <c r="H264">
        <v>109.4</v>
      </c>
      <c r="J264" t="e">
        <v>#N/A</v>
      </c>
      <c r="K264">
        <v>2</v>
      </c>
      <c r="L264">
        <v>125.76</v>
      </c>
      <c r="O264">
        <v>4.8038216547910302E-2</v>
      </c>
      <c r="P264">
        <v>-2.4</v>
      </c>
      <c r="Q264" t="str">
        <f t="shared" si="4"/>
        <v/>
      </c>
    </row>
    <row r="265" spans="1:17" x14ac:dyDescent="0.2">
      <c r="A265" s="4">
        <v>44531</v>
      </c>
      <c r="B265" s="5" t="e">
        <v>#N/A</v>
      </c>
      <c r="C265" t="e">
        <v>#N/A</v>
      </c>
      <c r="D265" t="e">
        <v>#N/A</v>
      </c>
      <c r="G265" s="7">
        <v>109.2</v>
      </c>
      <c r="H265">
        <v>108.1</v>
      </c>
      <c r="J265" t="e">
        <v>#N/A</v>
      </c>
      <c r="K265">
        <v>2.6</v>
      </c>
      <c r="L265">
        <v>133.19</v>
      </c>
      <c r="O265">
        <v>-1.1658507297965999E-2</v>
      </c>
      <c r="P265">
        <v>-2</v>
      </c>
      <c r="Q265" t="str">
        <f t="shared" si="4"/>
        <v/>
      </c>
    </row>
    <row r="266" spans="1:17" x14ac:dyDescent="0.2">
      <c r="A266" s="4">
        <v>44562</v>
      </c>
      <c r="B266" s="5">
        <v>139055</v>
      </c>
      <c r="C266">
        <v>154278</v>
      </c>
      <c r="D266">
        <v>108.5</v>
      </c>
      <c r="G266" s="7">
        <v>112.6</v>
      </c>
      <c r="H266">
        <v>108.6</v>
      </c>
      <c r="J266">
        <v>182970</v>
      </c>
      <c r="K266">
        <v>2.8</v>
      </c>
      <c r="L266">
        <v>134.77000000000001</v>
      </c>
      <c r="O266">
        <v>-1.5633317382336601E-2</v>
      </c>
      <c r="P266">
        <v>-1.2</v>
      </c>
      <c r="Q266" t="str">
        <f t="shared" si="4"/>
        <v>2022-Q1</v>
      </c>
    </row>
    <row r="267" spans="1:17" x14ac:dyDescent="0.2">
      <c r="A267" s="4">
        <v>44593</v>
      </c>
      <c r="B267" s="5" t="e">
        <v>#N/A</v>
      </c>
      <c r="C267" t="e">
        <v>#N/A</v>
      </c>
      <c r="D267" t="e">
        <v>#N/A</v>
      </c>
      <c r="G267" s="7">
        <v>111.7</v>
      </c>
      <c r="H267">
        <v>111.8</v>
      </c>
      <c r="J267" t="e">
        <v>#N/A</v>
      </c>
      <c r="K267">
        <v>3.4</v>
      </c>
      <c r="L267">
        <v>138.81</v>
      </c>
      <c r="O267">
        <v>-4.0297835039648797E-3</v>
      </c>
      <c r="P267">
        <v>1.4</v>
      </c>
      <c r="Q267" t="str">
        <f t="shared" si="4"/>
        <v/>
      </c>
    </row>
    <row r="268" spans="1:17" x14ac:dyDescent="0.2">
      <c r="A268" s="4">
        <v>44621</v>
      </c>
      <c r="B268" s="5" t="e">
        <v>#N/A</v>
      </c>
      <c r="C268" t="e">
        <v>#N/A</v>
      </c>
      <c r="D268" t="e">
        <v>#N/A</v>
      </c>
      <c r="G268" s="7">
        <v>109.1</v>
      </c>
      <c r="H268">
        <v>104.2</v>
      </c>
      <c r="J268" t="e">
        <v>#N/A</v>
      </c>
      <c r="K268">
        <v>3.9</v>
      </c>
      <c r="L268">
        <v>164.08</v>
      </c>
      <c r="O268">
        <v>1.6336981709512699E-2</v>
      </c>
      <c r="P268">
        <v>-16.899999999999999</v>
      </c>
      <c r="Q268" t="str">
        <f t="shared" si="4"/>
        <v/>
      </c>
    </row>
    <row r="269" spans="1:17" x14ac:dyDescent="0.2">
      <c r="A269" s="4">
        <v>44652</v>
      </c>
      <c r="B269" s="5">
        <v>142356</v>
      </c>
      <c r="C269">
        <v>164291</v>
      </c>
      <c r="D269">
        <v>109.6</v>
      </c>
      <c r="G269" s="7">
        <v>124.9</v>
      </c>
      <c r="H269">
        <v>99.5</v>
      </c>
      <c r="J269">
        <v>187993</v>
      </c>
      <c r="K269">
        <v>5.0999999999999996</v>
      </c>
      <c r="L269">
        <v>141.91999999999999</v>
      </c>
      <c r="O269">
        <v>3.0663609212433902E-2</v>
      </c>
      <c r="P269">
        <v>-14.9</v>
      </c>
      <c r="Q269" t="str">
        <f t="shared" si="4"/>
        <v>2022-Q2</v>
      </c>
    </row>
    <row r="270" spans="1:17" x14ac:dyDescent="0.2">
      <c r="A270" s="4">
        <v>44682</v>
      </c>
      <c r="B270" s="5" t="e">
        <v>#N/A</v>
      </c>
      <c r="C270" t="e">
        <v>#N/A</v>
      </c>
      <c r="D270" t="e">
        <v>#N/A</v>
      </c>
      <c r="G270" s="7">
        <v>124.4</v>
      </c>
      <c r="H270">
        <v>103.8</v>
      </c>
      <c r="J270" t="e">
        <v>#N/A</v>
      </c>
      <c r="K270">
        <v>5.3</v>
      </c>
      <c r="L270">
        <v>144.57</v>
      </c>
      <c r="O270">
        <v>-8.8883357095952006E-2</v>
      </c>
      <c r="P270">
        <v>-11.2</v>
      </c>
      <c r="Q270" t="str">
        <f t="shared" si="4"/>
        <v/>
      </c>
    </row>
    <row r="271" spans="1:17" x14ac:dyDescent="0.2">
      <c r="A271" s="4">
        <v>44713</v>
      </c>
      <c r="B271" s="5" t="e">
        <v>#N/A</v>
      </c>
      <c r="C271" t="e">
        <v>#N/A</v>
      </c>
      <c r="D271" t="e">
        <v>#N/A</v>
      </c>
      <c r="G271" s="7">
        <v>126.5</v>
      </c>
      <c r="H271">
        <v>102.1</v>
      </c>
      <c r="J271" t="e">
        <v>#N/A</v>
      </c>
      <c r="K271">
        <v>6.2</v>
      </c>
      <c r="L271">
        <v>157.11000000000001</v>
      </c>
      <c r="O271">
        <v>7.0748190952389899E-3</v>
      </c>
      <c r="P271">
        <v>-17.100000000000001</v>
      </c>
      <c r="Q271" t="str">
        <f t="shared" si="4"/>
        <v/>
      </c>
    </row>
    <row r="272" spans="1:17" x14ac:dyDescent="0.2">
      <c r="A272" s="4">
        <v>44743</v>
      </c>
      <c r="B272" s="5">
        <v>146125</v>
      </c>
      <c r="C272">
        <v>162145</v>
      </c>
      <c r="D272">
        <v>110.1</v>
      </c>
      <c r="G272" s="8">
        <v>124</v>
      </c>
      <c r="H272">
        <v>96.8</v>
      </c>
      <c r="J272">
        <v>194125</v>
      </c>
      <c r="K272">
        <v>6.9</v>
      </c>
      <c r="L272">
        <v>157.51</v>
      </c>
      <c r="O272">
        <v>-3.3676669724133697E-2</v>
      </c>
      <c r="P272">
        <v>-23.7</v>
      </c>
      <c r="Q272" t="str">
        <f t="shared" si="4"/>
        <v>2022-Q3</v>
      </c>
    </row>
    <row r="273" spans="1:17" x14ac:dyDescent="0.2">
      <c r="A273" s="4">
        <v>44774</v>
      </c>
      <c r="B273" s="5" t="e">
        <v>#N/A</v>
      </c>
      <c r="C273" t="e">
        <v>#N/A</v>
      </c>
      <c r="D273" t="e">
        <v>#N/A</v>
      </c>
      <c r="G273" s="7">
        <v>127.4</v>
      </c>
      <c r="H273">
        <v>97.3</v>
      </c>
      <c r="J273" t="e">
        <v>#N/A</v>
      </c>
      <c r="K273">
        <v>7.1</v>
      </c>
      <c r="L273">
        <v>157.08000000000001</v>
      </c>
      <c r="O273">
        <v>-6.8118335731565297E-2</v>
      </c>
      <c r="P273">
        <v>-19.5</v>
      </c>
      <c r="Q273" t="str">
        <f t="shared" si="4"/>
        <v/>
      </c>
    </row>
    <row r="274" spans="1:17" x14ac:dyDescent="0.2">
      <c r="A274" s="4">
        <v>44805</v>
      </c>
      <c r="B274" s="5" t="e">
        <v>#N/A</v>
      </c>
      <c r="C274" t="e">
        <v>#N/A</v>
      </c>
      <c r="D274" t="e">
        <v>#N/A</v>
      </c>
      <c r="G274" s="7">
        <v>124.1</v>
      </c>
      <c r="H274">
        <v>96.6</v>
      </c>
      <c r="J274" t="e">
        <v>#N/A</v>
      </c>
      <c r="K274">
        <v>7.1</v>
      </c>
      <c r="L274">
        <v>146.6</v>
      </c>
      <c r="O274">
        <v>7.7005811941317504E-2</v>
      </c>
      <c r="P274">
        <v>-19.8</v>
      </c>
      <c r="Q274" t="str">
        <f t="shared" si="4"/>
        <v/>
      </c>
    </row>
    <row r="275" spans="1:17" x14ac:dyDescent="0.2">
      <c r="A275" s="4">
        <v>44835</v>
      </c>
      <c r="B275" s="5">
        <v>146476</v>
      </c>
      <c r="C275">
        <v>175148</v>
      </c>
      <c r="D275">
        <v>109.8</v>
      </c>
      <c r="G275" s="7">
        <v>123.6</v>
      </c>
      <c r="H275">
        <v>98.3</v>
      </c>
      <c r="J275">
        <v>194732</v>
      </c>
      <c r="K275">
        <v>7.1</v>
      </c>
      <c r="L275">
        <v>137.55000000000001</v>
      </c>
      <c r="O275">
        <v>4.9851947662217497E-2</v>
      </c>
      <c r="P275">
        <v>-18.5</v>
      </c>
      <c r="Q275" t="str">
        <f t="shared" si="4"/>
        <v>2022-Q4</v>
      </c>
    </row>
    <row r="276" spans="1:17" x14ac:dyDescent="0.2">
      <c r="A276" s="4">
        <v>44866</v>
      </c>
      <c r="B276" s="5" t="e">
        <v>#N/A</v>
      </c>
      <c r="C276" t="e">
        <v>#N/A</v>
      </c>
      <c r="D276" t="e">
        <v>#N/A</v>
      </c>
      <c r="G276" s="7">
        <v>123.2</v>
      </c>
      <c r="H276">
        <v>96.5</v>
      </c>
      <c r="J276" t="e">
        <v>#N/A</v>
      </c>
      <c r="K276">
        <v>6.9</v>
      </c>
      <c r="L276">
        <v>131.18</v>
      </c>
      <c r="O276">
        <v>-1.6164547104466499E-2</v>
      </c>
      <c r="P276">
        <v>-15.2</v>
      </c>
      <c r="Q276" t="str">
        <f t="shared" si="4"/>
        <v/>
      </c>
    </row>
    <row r="277" spans="1:17" x14ac:dyDescent="0.2">
      <c r="A277" s="4">
        <v>44896</v>
      </c>
      <c r="B277" s="5" t="e">
        <v>#N/A</v>
      </c>
      <c r="C277" t="e">
        <v>#N/A</v>
      </c>
      <c r="D277" t="e">
        <v>#N/A</v>
      </c>
      <c r="G277" s="7">
        <v>122.8</v>
      </c>
      <c r="H277">
        <v>98.5</v>
      </c>
      <c r="J277" t="e">
        <v>#N/A</v>
      </c>
      <c r="K277">
        <v>7.1</v>
      </c>
      <c r="L277">
        <v>123.98</v>
      </c>
      <c r="O277">
        <v>9.3318632006559099E-2</v>
      </c>
      <c r="P277">
        <v>-12.6</v>
      </c>
      <c r="Q277" t="str">
        <f t="shared" si="4"/>
        <v/>
      </c>
    </row>
    <row r="278" spans="1:17" x14ac:dyDescent="0.2">
      <c r="A278" s="4">
        <v>44927</v>
      </c>
      <c r="B278" s="5">
        <v>154028</v>
      </c>
      <c r="C278">
        <v>168322</v>
      </c>
      <c r="D278">
        <v>111.8</v>
      </c>
      <c r="G278" s="8">
        <v>122</v>
      </c>
      <c r="H278">
        <v>101.3</v>
      </c>
      <c r="J278">
        <v>198382</v>
      </c>
      <c r="K278">
        <v>7.8</v>
      </c>
      <c r="L278">
        <v>123.79</v>
      </c>
      <c r="O278">
        <v>3.9139777308690803E-2</v>
      </c>
      <c r="P278">
        <v>-10.199999999999999</v>
      </c>
      <c r="Q278" t="str">
        <f t="shared" si="4"/>
        <v>2023-Q1</v>
      </c>
    </row>
    <row r="279" spans="1:17" x14ac:dyDescent="0.2">
      <c r="A279" s="4">
        <v>44958</v>
      </c>
      <c r="B279" s="5" t="e">
        <v>#N/A</v>
      </c>
      <c r="C279" t="e">
        <v>#N/A</v>
      </c>
      <c r="D279" t="e">
        <v>#N/A</v>
      </c>
      <c r="G279" s="8">
        <v>120</v>
      </c>
      <c r="H279">
        <v>99.3</v>
      </c>
      <c r="J279" t="e">
        <v>#N/A</v>
      </c>
      <c r="K279">
        <v>8.1</v>
      </c>
      <c r="L279">
        <v>126.64</v>
      </c>
      <c r="O279">
        <v>-1.7405146796521699E-2</v>
      </c>
      <c r="P279">
        <v>-9</v>
      </c>
      <c r="Q279" t="str">
        <f t="shared" si="4"/>
        <v/>
      </c>
    </row>
    <row r="280" spans="1:17" x14ac:dyDescent="0.2">
      <c r="A280" s="4">
        <v>44986</v>
      </c>
      <c r="B280" s="5" t="e">
        <v>#N/A</v>
      </c>
      <c r="C280" t="e">
        <v>#N/A</v>
      </c>
      <c r="D280" t="e">
        <v>#N/A</v>
      </c>
      <c r="G280" s="7">
        <v>120.1</v>
      </c>
      <c r="H280">
        <v>99.5</v>
      </c>
      <c r="J280" t="e">
        <v>#N/A</v>
      </c>
      <c r="K280">
        <v>7.7</v>
      </c>
      <c r="L280">
        <v>122.3</v>
      </c>
      <c r="O280">
        <v>9.2023716132238998E-4</v>
      </c>
      <c r="P280">
        <v>-11.5</v>
      </c>
      <c r="Q280" t="str">
        <f t="shared" si="4"/>
        <v/>
      </c>
    </row>
    <row r="281" spans="1:17" x14ac:dyDescent="0.2">
      <c r="A281" s="4">
        <v>45017</v>
      </c>
      <c r="B281" s="5">
        <v>154453</v>
      </c>
      <c r="C281">
        <v>179164</v>
      </c>
      <c r="D281">
        <v>111.4</v>
      </c>
      <c r="G281" s="7">
        <v>119.4</v>
      </c>
      <c r="H281">
        <v>103.4</v>
      </c>
      <c r="J281">
        <v>200841</v>
      </c>
      <c r="K281">
        <v>6.4</v>
      </c>
      <c r="L281">
        <v>120.03</v>
      </c>
      <c r="O281">
        <v>-2.0863226409730401E-2</v>
      </c>
      <c r="P281">
        <v>-7.6</v>
      </c>
      <c r="Q281" t="str">
        <f t="shared" si="4"/>
        <v>2023-Q2</v>
      </c>
    </row>
    <row r="282" spans="1:17" x14ac:dyDescent="0.2">
      <c r="A282" s="4">
        <v>45047</v>
      </c>
      <c r="B282" s="5" t="e">
        <v>#N/A</v>
      </c>
      <c r="C282" t="e">
        <v>#N/A</v>
      </c>
      <c r="D282" t="e">
        <v>#N/A</v>
      </c>
      <c r="G282" s="7">
        <v>120.4</v>
      </c>
      <c r="H282">
        <v>100.7</v>
      </c>
      <c r="J282" t="e">
        <v>#N/A</v>
      </c>
      <c r="K282">
        <v>6</v>
      </c>
      <c r="L282">
        <v>116.35</v>
      </c>
      <c r="O282">
        <v>5.82467873396375E-2</v>
      </c>
      <c r="P282">
        <v>-8.1999999999999993</v>
      </c>
      <c r="Q282" t="str">
        <f t="shared" si="4"/>
        <v/>
      </c>
    </row>
    <row r="283" spans="1:17" x14ac:dyDescent="0.2">
      <c r="A283" s="4">
        <v>45078</v>
      </c>
      <c r="B283" s="5" t="e">
        <v>#N/A</v>
      </c>
      <c r="C283" t="e">
        <v>#N/A</v>
      </c>
      <c r="D283" t="e">
        <v>#N/A</v>
      </c>
      <c r="G283" s="7">
        <v>118.6</v>
      </c>
      <c r="H283">
        <v>99.8</v>
      </c>
      <c r="J283" t="e">
        <v>#N/A</v>
      </c>
      <c r="K283">
        <v>5.5</v>
      </c>
      <c r="L283">
        <v>118.15</v>
      </c>
      <c r="O283">
        <v>5.0430323417121102E-3</v>
      </c>
      <c r="P283">
        <v>-4.2</v>
      </c>
      <c r="Q283" t="str">
        <f t="shared" si="4"/>
        <v/>
      </c>
    </row>
    <row r="284" spans="1:17" x14ac:dyDescent="0.2">
      <c r="A284" s="4">
        <v>45108</v>
      </c>
      <c r="B284" s="5">
        <v>157615</v>
      </c>
      <c r="C284">
        <v>177404</v>
      </c>
      <c r="D284">
        <v>113.4</v>
      </c>
      <c r="G284" s="8">
        <v>119</v>
      </c>
      <c r="H284">
        <v>101</v>
      </c>
      <c r="J284">
        <v>204823</v>
      </c>
      <c r="K284">
        <v>6.1</v>
      </c>
      <c r="L284">
        <v>119.41</v>
      </c>
      <c r="O284">
        <v>-1.4163998619924499E-2</v>
      </c>
      <c r="P284">
        <v>0</v>
      </c>
      <c r="Q284" t="str">
        <f t="shared" si="4"/>
        <v>2023-Q3</v>
      </c>
    </row>
    <row r="285" spans="1:17" x14ac:dyDescent="0.2">
      <c r="A285" s="4">
        <v>45139</v>
      </c>
      <c r="B285" s="5" t="e">
        <v>#N/A</v>
      </c>
      <c r="C285" t="e">
        <v>#N/A</v>
      </c>
      <c r="D285" t="e">
        <v>#N/A</v>
      </c>
      <c r="G285" s="7">
        <v>120.2</v>
      </c>
      <c r="H285">
        <v>102.2</v>
      </c>
      <c r="J285" t="e">
        <v>#N/A</v>
      </c>
      <c r="K285">
        <v>5.9</v>
      </c>
      <c r="L285">
        <v>123.71</v>
      </c>
      <c r="O285">
        <v>-8.2287144837138709E-3</v>
      </c>
      <c r="P285">
        <v>-2.9</v>
      </c>
      <c r="Q285" t="str">
        <f t="shared" si="4"/>
        <v/>
      </c>
    </row>
    <row r="286" spans="1:17" x14ac:dyDescent="0.2">
      <c r="A286" s="4">
        <v>45170</v>
      </c>
      <c r="B286" s="5" t="e">
        <v>#N/A</v>
      </c>
      <c r="C286" t="e">
        <v>#N/A</v>
      </c>
      <c r="D286" t="e">
        <v>#N/A</v>
      </c>
      <c r="G286" s="7">
        <v>119.6</v>
      </c>
      <c r="H286">
        <v>98.7</v>
      </c>
      <c r="J286" t="e">
        <v>#N/A</v>
      </c>
      <c r="K286">
        <v>5.6</v>
      </c>
      <c r="L286">
        <v>126.42</v>
      </c>
      <c r="O286">
        <v>-4.45390522802427E-2</v>
      </c>
      <c r="P286">
        <v>-8.1</v>
      </c>
      <c r="Q286" t="str">
        <f t="shared" si="4"/>
        <v/>
      </c>
    </row>
    <row r="287" spans="1:17" x14ac:dyDescent="0.2">
      <c r="A287" s="4">
        <v>45200</v>
      </c>
      <c r="B287" s="5">
        <v>164102</v>
      </c>
      <c r="C287">
        <v>190717</v>
      </c>
      <c r="D287">
        <v>113.2</v>
      </c>
      <c r="G287" s="7">
        <v>120.2</v>
      </c>
      <c r="H287">
        <v>100.5</v>
      </c>
      <c r="J287">
        <v>209246</v>
      </c>
      <c r="K287">
        <v>5.2</v>
      </c>
      <c r="L287">
        <v>123.62</v>
      </c>
      <c r="O287">
        <v>0.10924330884559</v>
      </c>
      <c r="P287">
        <v>-7.1</v>
      </c>
      <c r="Q287" t="str">
        <f t="shared" si="4"/>
        <v>2023-Q4</v>
      </c>
    </row>
    <row r="288" spans="1:17" x14ac:dyDescent="0.2">
      <c r="A288" s="4">
        <v>45231</v>
      </c>
      <c r="B288" s="5" t="e">
        <v>#N/A</v>
      </c>
      <c r="C288" t="e">
        <v>#N/A</v>
      </c>
      <c r="D288" t="e">
        <v>#N/A</v>
      </c>
      <c r="G288" s="8">
        <v>121</v>
      </c>
      <c r="H288">
        <v>98.8</v>
      </c>
      <c r="J288" t="e">
        <v>#N/A</v>
      </c>
      <c r="K288">
        <v>4.8</v>
      </c>
      <c r="L288">
        <v>118.34</v>
      </c>
      <c r="O288">
        <v>4.3550427198262298E-3</v>
      </c>
      <c r="P288">
        <v>-6.9</v>
      </c>
      <c r="Q288" t="str">
        <f t="shared" si="4"/>
        <v/>
      </c>
    </row>
    <row r="289" spans="1:17" x14ac:dyDescent="0.2">
      <c r="A289" s="4">
        <v>45261</v>
      </c>
      <c r="B289" s="5" t="e">
        <v>#N/A</v>
      </c>
      <c r="C289" t="e">
        <v>#N/A</v>
      </c>
      <c r="D289" t="e">
        <v>#N/A</v>
      </c>
      <c r="G289" s="7">
        <v>119.3</v>
      </c>
      <c r="H289">
        <v>101.1</v>
      </c>
      <c r="J289" t="e">
        <v>#N/A</v>
      </c>
      <c r="K289">
        <v>4.3</v>
      </c>
      <c r="L289">
        <v>116.35</v>
      </c>
      <c r="O289">
        <v>-2.41820297413398E-3</v>
      </c>
      <c r="P289">
        <v>-6.2</v>
      </c>
      <c r="Q289" t="str">
        <f t="shared" si="4"/>
        <v/>
      </c>
    </row>
    <row r="290" spans="1:17" x14ac:dyDescent="0.2">
      <c r="A290" s="4">
        <v>45292</v>
      </c>
      <c r="B290" s="5">
        <v>163118</v>
      </c>
      <c r="C290">
        <v>182663</v>
      </c>
      <c r="D290">
        <v>113.6</v>
      </c>
      <c r="G290" s="7">
        <v>119.2</v>
      </c>
      <c r="H290">
        <v>102.4</v>
      </c>
      <c r="J290">
        <v>212278</v>
      </c>
      <c r="K290">
        <v>4.0999999999999996</v>
      </c>
      <c r="L290">
        <v>120.84</v>
      </c>
      <c r="O290">
        <v>-7.6100163688579397E-3</v>
      </c>
      <c r="P290">
        <v>-6.6</v>
      </c>
      <c r="Q290" t="str">
        <f t="shared" si="4"/>
        <v>2024-Q1</v>
      </c>
    </row>
    <row r="291" spans="1:17" x14ac:dyDescent="0.2">
      <c r="A291" s="4">
        <v>45323</v>
      </c>
      <c r="B291" s="5" t="e">
        <v>#N/A</v>
      </c>
      <c r="C291" t="e">
        <v>#N/A</v>
      </c>
      <c r="D291" t="e">
        <v>#N/A</v>
      </c>
      <c r="G291" s="7">
        <v>120.3</v>
      </c>
      <c r="H291">
        <v>102.4</v>
      </c>
      <c r="J291" t="e">
        <v>#N/A</v>
      </c>
      <c r="K291">
        <v>3.8</v>
      </c>
      <c r="L291">
        <v>120.85</v>
      </c>
      <c r="O291">
        <v>0.10193909760924</v>
      </c>
      <c r="P291">
        <v>-4.8</v>
      </c>
      <c r="Q291" t="str">
        <f t="shared" si="4"/>
        <v/>
      </c>
    </row>
    <row r="292" spans="1:17" x14ac:dyDescent="0.2">
      <c r="A292" s="4">
        <v>45352</v>
      </c>
      <c r="B292" s="5" t="e">
        <v>#N/A</v>
      </c>
      <c r="C292" t="e">
        <v>#N/A</v>
      </c>
      <c r="D292" t="e">
        <v>#N/A</v>
      </c>
      <c r="G292" s="7">
        <v>119.8</v>
      </c>
      <c r="H292">
        <v>102.1</v>
      </c>
      <c r="J292" t="e">
        <v>#N/A</v>
      </c>
      <c r="K292">
        <v>3.4</v>
      </c>
      <c r="L292">
        <v>124.25</v>
      </c>
      <c r="O292">
        <v>-2.0083598902259001E-2</v>
      </c>
      <c r="P292">
        <v>-3.2</v>
      </c>
      <c r="Q292" t="str">
        <f t="shared" si="4"/>
        <v/>
      </c>
    </row>
    <row r="293" spans="1:17" x14ac:dyDescent="0.2">
      <c r="A293" s="4">
        <v>45383</v>
      </c>
      <c r="B293" s="5">
        <v>166408</v>
      </c>
      <c r="C293">
        <v>192521</v>
      </c>
      <c r="D293">
        <v>114.7</v>
      </c>
      <c r="G293" s="7">
        <v>120.5</v>
      </c>
      <c r="H293">
        <v>104.3</v>
      </c>
      <c r="J293">
        <v>214683</v>
      </c>
      <c r="K293">
        <v>3.2</v>
      </c>
      <c r="L293">
        <v>126.01</v>
      </c>
      <c r="O293">
        <v>4.2177171891420798E-2</v>
      </c>
      <c r="P293">
        <v>-2</v>
      </c>
      <c r="Q293" t="str">
        <f t="shared" si="4"/>
        <v>2024-Q2</v>
      </c>
    </row>
    <row r="294" spans="1:17" x14ac:dyDescent="0.2">
      <c r="A294" s="4">
        <v>45413</v>
      </c>
      <c r="B294" s="5" t="e">
        <v>#N/A</v>
      </c>
      <c r="C294" t="e">
        <v>#N/A</v>
      </c>
      <c r="D294" t="e">
        <v>#N/A</v>
      </c>
      <c r="G294" s="7">
        <v>119.6</v>
      </c>
      <c r="H294">
        <v>101.4</v>
      </c>
      <c r="J294" t="e">
        <v>#N/A</v>
      </c>
      <c r="K294">
        <v>3.3</v>
      </c>
      <c r="L294">
        <v>125.52</v>
      </c>
      <c r="O294">
        <v>-3.3983769543672403E-2</v>
      </c>
      <c r="P294">
        <v>-2.1</v>
      </c>
      <c r="Q294" t="str">
        <f t="shared" si="4"/>
        <v/>
      </c>
    </row>
    <row r="295" spans="1:17" x14ac:dyDescent="0.2">
      <c r="A295" s="4">
        <v>45444</v>
      </c>
      <c r="B295" s="5" t="e">
        <v>#N/A</v>
      </c>
      <c r="C295" t="e">
        <v>#N/A</v>
      </c>
      <c r="D295" t="e">
        <v>#N/A</v>
      </c>
      <c r="G295" s="8">
        <v>119</v>
      </c>
      <c r="H295">
        <v>102.4</v>
      </c>
      <c r="J295" t="e">
        <v>#N/A</v>
      </c>
      <c r="K295">
        <v>3.3</v>
      </c>
      <c r="L295">
        <v>125.22</v>
      </c>
      <c r="O295">
        <v>1.10230074322182E-2</v>
      </c>
      <c r="P295">
        <v>-2</v>
      </c>
      <c r="Q295" t="str">
        <f t="shared" si="4"/>
        <v/>
      </c>
    </row>
    <row r="296" spans="1:17" x14ac:dyDescent="0.2">
      <c r="A296" s="4">
        <v>45474</v>
      </c>
      <c r="B296" s="5">
        <v>169755</v>
      </c>
      <c r="C296">
        <v>190579</v>
      </c>
      <c r="D296">
        <v>114.8</v>
      </c>
      <c r="G296" s="7">
        <v>118.2</v>
      </c>
      <c r="H296">
        <v>104.1</v>
      </c>
      <c r="J296">
        <v>216583</v>
      </c>
      <c r="K296">
        <v>2.9</v>
      </c>
      <c r="L296">
        <v>122.57</v>
      </c>
      <c r="O296">
        <v>2.9993068936397201E-2</v>
      </c>
      <c r="P296">
        <v>-1.1000000000000001</v>
      </c>
      <c r="Q296" t="str">
        <f t="shared" si="4"/>
        <v>2024-Q3</v>
      </c>
    </row>
    <row r="297" spans="1:17" x14ac:dyDescent="0.2">
      <c r="A297" s="4">
        <v>45505</v>
      </c>
      <c r="B297" s="5" t="e">
        <v>#N/A</v>
      </c>
      <c r="C297" t="e">
        <v>#N/A</v>
      </c>
      <c r="D297" t="e">
        <v>#N/A</v>
      </c>
      <c r="G297" s="7">
        <v>118.3</v>
      </c>
      <c r="H297">
        <v>105.2</v>
      </c>
      <c r="J297" t="e">
        <v>#N/A</v>
      </c>
      <c r="K297">
        <v>2.8</v>
      </c>
      <c r="L297">
        <v>121.63</v>
      </c>
      <c r="O297">
        <v>4.0848956493272602E-2</v>
      </c>
      <c r="P297">
        <v>-2.8</v>
      </c>
      <c r="Q297" t="str">
        <f t="shared" si="4"/>
        <v/>
      </c>
    </row>
    <row r="298" spans="1:17" x14ac:dyDescent="0.2">
      <c r="A298" s="4">
        <v>45536</v>
      </c>
      <c r="B298" s="5" t="e">
        <v>#N/A</v>
      </c>
      <c r="C298" t="e">
        <v>#N/A</v>
      </c>
      <c r="D298" t="e">
        <v>#N/A</v>
      </c>
      <c r="G298" s="8">
        <v>120</v>
      </c>
      <c r="H298">
        <v>107.3</v>
      </c>
      <c r="J298" t="e">
        <v>#N/A</v>
      </c>
      <c r="K298">
        <v>2.6</v>
      </c>
      <c r="L298">
        <v>117.9</v>
      </c>
      <c r="O298">
        <v>-1.7384817426551201E-2</v>
      </c>
      <c r="P298">
        <v>0.1</v>
      </c>
      <c r="Q298" t="str">
        <f t="shared" si="4"/>
        <v/>
      </c>
    </row>
    <row r="299" spans="1:17" x14ac:dyDescent="0.2">
      <c r="A299" s="4">
        <v>45566</v>
      </c>
      <c r="B299" s="5">
        <v>174453</v>
      </c>
      <c r="C299">
        <v>204717</v>
      </c>
      <c r="D299">
        <v>116.7</v>
      </c>
      <c r="G299" s="7">
        <v>118.2</v>
      </c>
      <c r="H299">
        <v>100.7</v>
      </c>
      <c r="J299">
        <v>221581</v>
      </c>
      <c r="K299">
        <v>2.4</v>
      </c>
      <c r="L299">
        <v>118.71</v>
      </c>
      <c r="O299">
        <v>-2.6850783677705402E-3</v>
      </c>
      <c r="P299">
        <v>-0.3</v>
      </c>
      <c r="Q299" t="str">
        <f t="shared" si="4"/>
        <v>2024-Q4</v>
      </c>
    </row>
    <row r="300" spans="1:17" x14ac:dyDescent="0.2">
      <c r="A300" s="4">
        <v>45597</v>
      </c>
      <c r="B300" s="5" t="e">
        <v>#N/A</v>
      </c>
      <c r="C300" t="e">
        <v>#N/A</v>
      </c>
      <c r="D300" t="e">
        <v>#N/A</v>
      </c>
      <c r="G300" s="7">
        <v>121.2</v>
      </c>
      <c r="H300">
        <v>102.7</v>
      </c>
      <c r="J300" t="e">
        <v>#N/A</v>
      </c>
      <c r="K300">
        <v>2.4</v>
      </c>
      <c r="L300">
        <v>121.4</v>
      </c>
      <c r="O300">
        <v>-3.9851324308663996E-3</v>
      </c>
      <c r="P300">
        <v>0.8</v>
      </c>
      <c r="Q300" t="str">
        <f t="shared" si="4"/>
        <v/>
      </c>
    </row>
    <row r="301" spans="1:17" x14ac:dyDescent="0.2">
      <c r="A301" s="4">
        <v>45627</v>
      </c>
      <c r="B301" s="5" t="e">
        <v>#N/A</v>
      </c>
      <c r="C301" t="e">
        <v>#N/A</v>
      </c>
      <c r="D301" t="e">
        <v>#N/A</v>
      </c>
      <c r="G301" s="7">
        <v>122.2</v>
      </c>
      <c r="H301">
        <v>103.6</v>
      </c>
      <c r="J301" t="e">
        <v>#N/A</v>
      </c>
      <c r="K301">
        <v>2.6</v>
      </c>
      <c r="L301">
        <v>122.76</v>
      </c>
      <c r="O301">
        <v>6.4611318505971099E-2</v>
      </c>
      <c r="P301">
        <v>1.9</v>
      </c>
      <c r="Q301" t="str">
        <f t="shared" si="4"/>
        <v/>
      </c>
    </row>
    <row r="302" spans="1:17" x14ac:dyDescent="0.2">
      <c r="A302" s="4">
        <v>45658</v>
      </c>
      <c r="B302" s="5">
        <v>173250</v>
      </c>
      <c r="C302" t="e">
        <v>#N/A</v>
      </c>
      <c r="D302">
        <v>115.9</v>
      </c>
      <c r="G302" s="7">
        <v>121.1</v>
      </c>
      <c r="H302">
        <v>104.3</v>
      </c>
      <c r="J302">
        <v>225300</v>
      </c>
      <c r="K302">
        <v>2.4</v>
      </c>
      <c r="L302">
        <v>130.28</v>
      </c>
      <c r="O302">
        <v>7.6128813353950206E-2</v>
      </c>
      <c r="P302">
        <v>0.6</v>
      </c>
      <c r="Q302" t="str">
        <f t="shared" si="4"/>
        <v>2025-Q1</v>
      </c>
    </row>
    <row r="303" spans="1:17" x14ac:dyDescent="0.2">
      <c r="A303" s="4">
        <v>45689</v>
      </c>
      <c r="B303" s="5" t="e">
        <v>#N/A</v>
      </c>
      <c r="C303" t="e">
        <v>#N/A</v>
      </c>
      <c r="D303" t="e">
        <v>#N/A</v>
      </c>
      <c r="G303" s="7">
        <v>121.4</v>
      </c>
      <c r="H303">
        <v>102.4</v>
      </c>
      <c r="J303" t="e">
        <v>#N/A</v>
      </c>
      <c r="K303">
        <v>2.2999999999999998</v>
      </c>
      <c r="L303">
        <v>131.22</v>
      </c>
      <c r="O303">
        <v>-1.6003197167055599E-2</v>
      </c>
      <c r="P303">
        <v>-1.1000000000000001</v>
      </c>
      <c r="Q303" t="str">
        <f t="shared" si="4"/>
        <v/>
      </c>
    </row>
    <row r="304" spans="1:17" x14ac:dyDescent="0.2">
      <c r="A304" s="4">
        <v>45717</v>
      </c>
      <c r="B304" s="5" t="e">
        <v>#N/A</v>
      </c>
      <c r="C304" t="e">
        <v>#N/A</v>
      </c>
      <c r="D304" t="e">
        <v>#N/A</v>
      </c>
      <c r="G304" s="7">
        <v>120.2</v>
      </c>
      <c r="H304">
        <v>102.9</v>
      </c>
      <c r="J304" t="e">
        <v>#N/A</v>
      </c>
      <c r="K304">
        <v>2.2999999999999998</v>
      </c>
      <c r="L304">
        <v>126.38</v>
      </c>
      <c r="O304">
        <v>1.15354009247373E-2</v>
      </c>
      <c r="P304">
        <v>-2</v>
      </c>
      <c r="Q304" t="str">
        <f t="shared" si="4"/>
        <v/>
      </c>
    </row>
    <row r="305" spans="1:17" x14ac:dyDescent="0.2">
      <c r="A305" s="4">
        <v>45748</v>
      </c>
      <c r="B305" s="5">
        <v>178001</v>
      </c>
      <c r="C305" t="e">
        <v>#N/A</v>
      </c>
      <c r="D305">
        <v>116.5</v>
      </c>
      <c r="G305" s="7">
        <v>119.2</v>
      </c>
      <c r="H305">
        <v>102.4</v>
      </c>
      <c r="J305">
        <v>227827</v>
      </c>
      <c r="K305">
        <v>2.8</v>
      </c>
      <c r="L305">
        <v>122.9</v>
      </c>
      <c r="O305">
        <v>6.3023796511506802E-2</v>
      </c>
      <c r="P305">
        <v>-4.5</v>
      </c>
      <c r="Q305" t="str">
        <f t="shared" si="4"/>
        <v>2025-Q2</v>
      </c>
    </row>
    <row r="306" spans="1:17" x14ac:dyDescent="0.2">
      <c r="A306" s="4">
        <v>45778</v>
      </c>
      <c r="B306" s="5" t="e">
        <v>#N/A</v>
      </c>
      <c r="C306" t="e">
        <v>#N/A</v>
      </c>
      <c r="D306" t="e">
        <v>#N/A</v>
      </c>
      <c r="G306" s="8">
        <v>120</v>
      </c>
      <c r="H306">
        <v>102.8</v>
      </c>
      <c r="J306" t="e">
        <v>#N/A</v>
      </c>
      <c r="K306">
        <v>2.5</v>
      </c>
      <c r="L306">
        <v>121.77</v>
      </c>
      <c r="O306">
        <v>-1.13914841690139E-2</v>
      </c>
      <c r="P306">
        <v>-2.5</v>
      </c>
      <c r="Q306" t="str">
        <f t="shared" si="4"/>
        <v/>
      </c>
    </row>
    <row r="307" spans="1:17" x14ac:dyDescent="0.2">
      <c r="A307" s="4">
        <v>45809</v>
      </c>
      <c r="B307" s="5" t="e">
        <v>#N/A</v>
      </c>
      <c r="C307" t="e">
        <v>#N/A</v>
      </c>
      <c r="D307" t="e">
        <v>#N/A</v>
      </c>
      <c r="G307" s="8">
        <v>121</v>
      </c>
      <c r="H307">
        <v>101.7</v>
      </c>
      <c r="J307" t="e">
        <v>#N/A</v>
      </c>
      <c r="K307">
        <v>2.6</v>
      </c>
      <c r="L307">
        <v>124.26</v>
      </c>
      <c r="O307">
        <v>2.8541232876627E-2</v>
      </c>
      <c r="P307">
        <v>-3.2</v>
      </c>
      <c r="Q307" t="str">
        <f t="shared" si="4"/>
        <v/>
      </c>
    </row>
    <row r="308" spans="1:17" x14ac:dyDescent="0.2">
      <c r="A308" s="4">
        <v>45839</v>
      </c>
      <c r="B308" s="5">
        <v>181793</v>
      </c>
      <c r="C308" t="e">
        <v>#N/A</v>
      </c>
      <c r="D308">
        <v>117.7</v>
      </c>
      <c r="G308" s="7">
        <v>120.2</v>
      </c>
      <c r="H308">
        <v>102.7</v>
      </c>
      <c r="J308">
        <v>230746</v>
      </c>
      <c r="K308">
        <v>2.7</v>
      </c>
      <c r="L308">
        <v>126.21</v>
      </c>
      <c r="O308">
        <v>3.6741151062759797E-2</v>
      </c>
      <c r="P308">
        <v>-4.5999999999999996</v>
      </c>
      <c r="Q308" t="str">
        <f t="shared" si="4"/>
        <v>2025-Q3</v>
      </c>
    </row>
    <row r="309" spans="1:17" x14ac:dyDescent="0.2">
      <c r="A309" s="4">
        <v>45870</v>
      </c>
      <c r="B309" s="5" t="e">
        <v>#N/A</v>
      </c>
      <c r="C309" t="e">
        <v>#N/A</v>
      </c>
      <c r="D309" t="e">
        <v>#N/A</v>
      </c>
      <c r="G309" s="7">
        <v>119.1</v>
      </c>
      <c r="H309">
        <v>101.6</v>
      </c>
      <c r="J309" t="e">
        <v>#N/A</v>
      </c>
      <c r="K309">
        <v>2.6</v>
      </c>
      <c r="L309">
        <v>125.5</v>
      </c>
      <c r="O309">
        <v>3.5464815963681701E-2</v>
      </c>
      <c r="P309">
        <v>-2.6</v>
      </c>
      <c r="Q309" t="str">
        <f t="shared" si="4"/>
        <v/>
      </c>
    </row>
    <row r="310" spans="1:17" x14ac:dyDescent="0.2">
      <c r="A310" s="4">
        <v>45901</v>
      </c>
      <c r="B310" s="5" t="e">
        <v>#N/A</v>
      </c>
      <c r="C310" t="e">
        <v>#N/A</v>
      </c>
      <c r="D310" t="e">
        <v>#N/A</v>
      </c>
      <c r="G310" s="7">
        <v>120.5</v>
      </c>
      <c r="H310">
        <v>104.4</v>
      </c>
      <c r="J310" t="e">
        <v>#N/A</v>
      </c>
      <c r="K310">
        <v>2.7</v>
      </c>
      <c r="L310">
        <v>125.26</v>
      </c>
      <c r="O310">
        <v>3.5398306416771802E-2</v>
      </c>
      <c r="P310">
        <v>-0.8</v>
      </c>
      <c r="Q310" t="str">
        <f t="shared" si="4"/>
        <v/>
      </c>
    </row>
    <row r="311" spans="1:17" x14ac:dyDescent="0.2">
      <c r="A311" s="4">
        <v>45931</v>
      </c>
      <c r="B311" s="5" t="e">
        <v>#N/A</v>
      </c>
      <c r="C311" t="e">
        <v>#N/A</v>
      </c>
      <c r="D311" t="e">
        <v>#N/A</v>
      </c>
      <c r="G311" s="7">
        <v>119.5</v>
      </c>
      <c r="H311">
        <v>103.8</v>
      </c>
      <c r="J311" t="e">
        <v>#N/A</v>
      </c>
      <c r="K311">
        <v>2.8</v>
      </c>
      <c r="L311">
        <v>126.19</v>
      </c>
      <c r="O311">
        <v>2.0923977527344199E-2</v>
      </c>
      <c r="P311">
        <v>0</v>
      </c>
      <c r="Q311" t="str">
        <f t="shared" si="4"/>
        <v>2025-Q4</v>
      </c>
    </row>
    <row r="312" spans="1:17" x14ac:dyDescent="0.2">
      <c r="A312" s="4">
        <v>45962</v>
      </c>
      <c r="B312" s="5" t="e">
        <v>#N/A</v>
      </c>
      <c r="C312" t="e">
        <v>#N/A</v>
      </c>
      <c r="D312" t="e">
        <v>#N/A</v>
      </c>
      <c r="G312" s="8">
        <v>119</v>
      </c>
      <c r="H312">
        <v>105.1</v>
      </c>
      <c r="J312" t="e">
        <v>#N/A</v>
      </c>
      <c r="K312">
        <v>3</v>
      </c>
      <c r="L312">
        <v>126.97</v>
      </c>
      <c r="O312">
        <v>5.5609209569579897E-2</v>
      </c>
      <c r="P312">
        <v>-0.7</v>
      </c>
      <c r="Q312" t="str">
        <f t="shared" si="4"/>
        <v/>
      </c>
    </row>
    <row r="313" spans="1:17" x14ac:dyDescent="0.2">
      <c r="A313" s="4">
        <v>45992</v>
      </c>
      <c r="B313" s="5" t="e">
        <v>#N/A</v>
      </c>
      <c r="C313" t="e">
        <v>#N/A</v>
      </c>
      <c r="D313" t="e">
        <v>#N/A</v>
      </c>
      <c r="G313" s="7">
        <v>119.3</v>
      </c>
      <c r="H313">
        <v>104.6</v>
      </c>
      <c r="J313" t="e">
        <v>#N/A</v>
      </c>
      <c r="K313">
        <v>3</v>
      </c>
      <c r="L313">
        <v>126.68</v>
      </c>
      <c r="O313">
        <v>1.9844680546508901E-2</v>
      </c>
      <c r="P313">
        <v>-1.7</v>
      </c>
      <c r="Q313" t="str">
        <f t="shared" si="4"/>
        <v/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9BF3C-99BE-B04B-9A3C-656750B962CB}">
  <dimension ref="A1:Q314"/>
  <sheetViews>
    <sheetView workbookViewId="0">
      <selection activeCell="A2" sqref="A2:Q313"/>
    </sheetView>
  </sheetViews>
  <sheetFormatPr baseColWidth="10" defaultRowHeight="16" x14ac:dyDescent="0.2"/>
  <sheetData>
    <row r="1" spans="1:17" ht="17" thickBot="1" x14ac:dyDescent="0.25">
      <c r="A1" s="1" t="s">
        <v>0</v>
      </c>
      <c r="B1" s="2" t="s">
        <v>16</v>
      </c>
      <c r="C1" s="2" t="s">
        <v>17</v>
      </c>
      <c r="D1" s="2" t="s">
        <v>10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5</v>
      </c>
      <c r="M1" s="2" t="s">
        <v>8</v>
      </c>
      <c r="N1" s="2" t="s">
        <v>3</v>
      </c>
      <c r="O1" s="2" t="s">
        <v>25</v>
      </c>
      <c r="P1" s="2" t="s">
        <v>11</v>
      </c>
      <c r="Q1" s="3" t="s">
        <v>26</v>
      </c>
    </row>
    <row r="2" spans="1:17" x14ac:dyDescent="0.2">
      <c r="A2" s="4">
        <v>36526</v>
      </c>
      <c r="B2" s="5">
        <v>62273</v>
      </c>
      <c r="C2">
        <v>5.7731000000000003</v>
      </c>
      <c r="E2">
        <v>50</v>
      </c>
      <c r="F2">
        <v>12.8</v>
      </c>
      <c r="G2" s="6">
        <v>1582</v>
      </c>
      <c r="H2" t="e">
        <v>#N/A</v>
      </c>
      <c r="I2">
        <v>6.2945865094661713E-2</v>
      </c>
      <c r="N2">
        <v>92.2</v>
      </c>
      <c r="O2">
        <v>73950</v>
      </c>
      <c r="P2">
        <v>56.19</v>
      </c>
      <c r="Q2" s="4" t="e">
        <v>#N/A</v>
      </c>
    </row>
    <row r="3" spans="1:17" x14ac:dyDescent="0.2">
      <c r="A3" s="4">
        <v>36557</v>
      </c>
      <c r="B3" s="5" t="e">
        <v>#N/A</v>
      </c>
      <c r="C3">
        <v>5.7382999999999997</v>
      </c>
      <c r="E3" t="e">
        <v>#N/A</v>
      </c>
      <c r="F3">
        <v>12.4</v>
      </c>
      <c r="G3" s="6">
        <v>1561</v>
      </c>
      <c r="H3" t="e">
        <v>#N/A</v>
      </c>
      <c r="I3">
        <v>5.159175768494606E-2</v>
      </c>
      <c r="N3" t="e">
        <v>#N/A</v>
      </c>
      <c r="O3" t="e">
        <v>#N/A</v>
      </c>
      <c r="P3">
        <v>57.25</v>
      </c>
      <c r="Q3" s="4" t="e">
        <v>#N/A</v>
      </c>
    </row>
    <row r="4" spans="1:17" x14ac:dyDescent="0.2">
      <c r="A4" s="4">
        <v>36586</v>
      </c>
      <c r="B4" s="5" t="e">
        <v>#N/A</v>
      </c>
      <c r="C4">
        <v>5.5526999999999997</v>
      </c>
      <c r="E4" t="e">
        <v>#N/A</v>
      </c>
      <c r="F4">
        <v>12.2</v>
      </c>
      <c r="G4" s="6">
        <v>1547</v>
      </c>
      <c r="H4" t="e">
        <v>#N/A</v>
      </c>
      <c r="I4">
        <v>3.5584267228841782E-2</v>
      </c>
      <c r="N4" t="e">
        <v>#N/A</v>
      </c>
      <c r="O4" t="e">
        <v>#N/A</v>
      </c>
      <c r="P4">
        <v>58.72</v>
      </c>
      <c r="Q4" s="4" t="e">
        <v>#N/A</v>
      </c>
    </row>
    <row r="5" spans="1:17" x14ac:dyDescent="0.2">
      <c r="A5" s="4">
        <v>36617</v>
      </c>
      <c r="B5" s="5">
        <v>62372</v>
      </c>
      <c r="C5">
        <v>5.4649999999999999</v>
      </c>
      <c r="E5">
        <v>49.3</v>
      </c>
      <c r="F5">
        <v>12</v>
      </c>
      <c r="G5" s="6">
        <v>1541</v>
      </c>
      <c r="H5" t="e">
        <v>#N/A</v>
      </c>
      <c r="I5">
        <v>3.8978170603513718E-2</v>
      </c>
      <c r="N5">
        <v>92.8</v>
      </c>
      <c r="O5">
        <v>79425</v>
      </c>
      <c r="P5">
        <v>59.06</v>
      </c>
      <c r="Q5" s="4" t="e">
        <v>#N/A</v>
      </c>
    </row>
    <row r="6" spans="1:17" x14ac:dyDescent="0.2">
      <c r="A6" s="4">
        <v>36647</v>
      </c>
      <c r="B6" s="5" t="e">
        <v>#N/A</v>
      </c>
      <c r="C6">
        <v>5.6306000000000003</v>
      </c>
      <c r="E6" t="e">
        <v>#N/A</v>
      </c>
      <c r="F6">
        <v>11.9</v>
      </c>
      <c r="G6" s="6">
        <v>1541</v>
      </c>
      <c r="H6" t="e">
        <v>#N/A</v>
      </c>
      <c r="I6">
        <v>5.1146533340215683E-2</v>
      </c>
      <c r="N6" t="e">
        <v>#N/A</v>
      </c>
      <c r="O6" t="e">
        <v>#N/A</v>
      </c>
      <c r="P6">
        <v>59.95</v>
      </c>
      <c r="Q6" s="4" t="e">
        <v>#N/A</v>
      </c>
    </row>
    <row r="7" spans="1:17" x14ac:dyDescent="0.2">
      <c r="A7" s="4">
        <v>36678</v>
      </c>
      <c r="B7" s="5" t="e">
        <v>#N/A</v>
      </c>
      <c r="C7">
        <v>5.4568000000000003</v>
      </c>
      <c r="E7" t="e">
        <v>#N/A</v>
      </c>
      <c r="F7">
        <v>11.9</v>
      </c>
      <c r="G7" s="6">
        <v>1537</v>
      </c>
      <c r="H7" t="e">
        <v>#N/A</v>
      </c>
      <c r="I7">
        <v>5.7260651141405106E-2</v>
      </c>
      <c r="N7" t="e">
        <v>#N/A</v>
      </c>
      <c r="O7" t="e">
        <v>#N/A</v>
      </c>
      <c r="P7">
        <v>61.05</v>
      </c>
      <c r="Q7" s="4" t="e">
        <v>#N/A</v>
      </c>
    </row>
    <row r="8" spans="1:17" x14ac:dyDescent="0.2">
      <c r="A8" s="4">
        <v>36708</v>
      </c>
      <c r="B8" s="5">
        <v>64353</v>
      </c>
      <c r="C8">
        <v>5.5442</v>
      </c>
      <c r="E8">
        <v>48.8</v>
      </c>
      <c r="F8">
        <v>11.9</v>
      </c>
      <c r="G8" s="6">
        <v>1545</v>
      </c>
      <c r="H8" t="e">
        <v>#N/A</v>
      </c>
      <c r="I8">
        <v>6.8202711641788483E-2</v>
      </c>
      <c r="N8">
        <v>93.3</v>
      </c>
      <c r="O8">
        <v>78583</v>
      </c>
      <c r="P8">
        <v>61.05</v>
      </c>
      <c r="Q8" s="4" t="e">
        <v>#N/A</v>
      </c>
    </row>
    <row r="9" spans="1:17" x14ac:dyDescent="0.2">
      <c r="A9" s="4">
        <v>36739</v>
      </c>
      <c r="B9" s="5" t="e">
        <v>#N/A</v>
      </c>
      <c r="C9">
        <v>5.5031999999999996</v>
      </c>
      <c r="E9" t="e">
        <v>#N/A</v>
      </c>
      <c r="F9">
        <v>11.8</v>
      </c>
      <c r="G9" s="6">
        <v>1523</v>
      </c>
      <c r="H9" t="e">
        <v>#N/A</v>
      </c>
      <c r="I9">
        <v>4.1449550539255142E-2</v>
      </c>
      <c r="N9" t="e">
        <v>#N/A</v>
      </c>
      <c r="O9" t="e">
        <v>#N/A</v>
      </c>
      <c r="P9">
        <v>61.12</v>
      </c>
      <c r="Q9" s="4" t="e">
        <v>#N/A</v>
      </c>
    </row>
    <row r="10" spans="1:17" x14ac:dyDescent="0.2">
      <c r="A10" s="4">
        <v>36770</v>
      </c>
      <c r="B10" s="5" t="e">
        <v>#N/A</v>
      </c>
      <c r="C10">
        <v>5.5625999999999998</v>
      </c>
      <c r="E10" t="e">
        <v>#N/A</v>
      </c>
      <c r="F10">
        <v>11.7</v>
      </c>
      <c r="G10" s="6">
        <v>1515</v>
      </c>
      <c r="H10" t="e">
        <v>#N/A</v>
      </c>
      <c r="I10">
        <v>5.8739617466926575E-2</v>
      </c>
      <c r="N10" t="e">
        <v>#N/A</v>
      </c>
      <c r="O10" t="e">
        <v>#N/A</v>
      </c>
      <c r="P10">
        <v>61.95</v>
      </c>
      <c r="Q10" s="4" t="s">
        <v>28</v>
      </c>
    </row>
    <row r="11" spans="1:17" x14ac:dyDescent="0.2">
      <c r="A11" s="4">
        <v>36800</v>
      </c>
      <c r="B11" s="5">
        <v>64269</v>
      </c>
      <c r="C11">
        <v>5.5045999999999999</v>
      </c>
      <c r="E11">
        <v>48.6</v>
      </c>
      <c r="F11">
        <v>11.7</v>
      </c>
      <c r="G11" s="6">
        <v>1498</v>
      </c>
      <c r="H11" t="e">
        <v>#N/A</v>
      </c>
      <c r="I11">
        <v>7.4241094291210175E-2</v>
      </c>
      <c r="N11">
        <v>94.6</v>
      </c>
      <c r="O11">
        <v>84205</v>
      </c>
      <c r="P11">
        <v>62.91</v>
      </c>
      <c r="Q11" s="4" t="e">
        <v>#N/A</v>
      </c>
    </row>
    <row r="12" spans="1:17" x14ac:dyDescent="0.2">
      <c r="A12" s="4">
        <v>36831</v>
      </c>
      <c r="B12" s="5" t="e">
        <v>#N/A</v>
      </c>
      <c r="C12">
        <v>5.4530000000000003</v>
      </c>
      <c r="E12" t="e">
        <v>#N/A</v>
      </c>
      <c r="F12">
        <v>11.5</v>
      </c>
      <c r="G12" s="6">
        <v>1476</v>
      </c>
      <c r="H12" t="e">
        <v>#N/A</v>
      </c>
      <c r="I12">
        <v>6.3961736857891083E-2</v>
      </c>
      <c r="N12" t="e">
        <v>#N/A</v>
      </c>
      <c r="O12" t="e">
        <v>#N/A</v>
      </c>
      <c r="P12">
        <v>63.8</v>
      </c>
      <c r="Q12" s="4" t="e">
        <v>#N/A</v>
      </c>
    </row>
    <row r="13" spans="1:17" x14ac:dyDescent="0.2">
      <c r="A13" s="4">
        <v>36861</v>
      </c>
      <c r="B13" s="5" t="e">
        <v>#N/A</v>
      </c>
      <c r="C13">
        <v>5.2035999999999998</v>
      </c>
      <c r="E13" t="e">
        <v>#N/A</v>
      </c>
      <c r="F13">
        <v>11.2</v>
      </c>
      <c r="G13" s="6">
        <v>1447</v>
      </c>
      <c r="H13" t="e">
        <v>#N/A</v>
      </c>
      <c r="I13">
        <v>5.8661893010139465E-2</v>
      </c>
      <c r="N13" t="e">
        <v>#N/A</v>
      </c>
      <c r="O13" t="e">
        <v>#N/A</v>
      </c>
      <c r="P13">
        <v>62.49</v>
      </c>
      <c r="Q13" s="4" t="e">
        <v>#N/A</v>
      </c>
    </row>
    <row r="14" spans="1:17" x14ac:dyDescent="0.2">
      <c r="A14" s="4">
        <v>36892</v>
      </c>
      <c r="B14" s="5">
        <v>65302</v>
      </c>
      <c r="C14">
        <v>5.0846999999999998</v>
      </c>
      <c r="E14">
        <v>47.3</v>
      </c>
      <c r="F14">
        <v>10.8</v>
      </c>
      <c r="G14" s="6">
        <v>1409</v>
      </c>
      <c r="H14" t="e">
        <v>#N/A</v>
      </c>
      <c r="I14">
        <v>4.6311035752296448E-2</v>
      </c>
      <c r="N14">
        <v>96</v>
      </c>
      <c r="O14">
        <v>79274</v>
      </c>
      <c r="P14">
        <v>59.91</v>
      </c>
      <c r="Q14" s="4" t="e">
        <v>#N/A</v>
      </c>
    </row>
    <row r="15" spans="1:17" x14ac:dyDescent="0.2">
      <c r="A15" s="4">
        <v>36923</v>
      </c>
      <c r="B15" s="5" t="e">
        <v>#N/A</v>
      </c>
      <c r="C15">
        <v>5.0715000000000003</v>
      </c>
      <c r="E15" t="e">
        <v>#N/A</v>
      </c>
      <c r="F15">
        <v>10.7</v>
      </c>
      <c r="G15" s="6">
        <v>1382</v>
      </c>
      <c r="H15" t="e">
        <v>#N/A</v>
      </c>
      <c r="I15">
        <v>6.0025904327630997E-2</v>
      </c>
      <c r="N15" t="e">
        <v>#N/A</v>
      </c>
      <c r="O15" t="e">
        <v>#N/A</v>
      </c>
      <c r="P15">
        <v>60.21</v>
      </c>
      <c r="Q15" s="4" t="e">
        <v>#N/A</v>
      </c>
    </row>
    <row r="16" spans="1:17" x14ac:dyDescent="0.2">
      <c r="A16" s="4">
        <v>36951</v>
      </c>
      <c r="B16" s="5" t="e">
        <v>#N/A</v>
      </c>
      <c r="C16">
        <v>4.9885000000000002</v>
      </c>
      <c r="E16" t="e">
        <v>#N/A</v>
      </c>
      <c r="F16">
        <v>10.5</v>
      </c>
      <c r="G16" s="6">
        <v>1374</v>
      </c>
      <c r="H16" t="e">
        <v>#N/A</v>
      </c>
      <c r="I16">
        <v>3.8332011550664902E-2</v>
      </c>
      <c r="N16" t="e">
        <v>#N/A</v>
      </c>
      <c r="O16" t="e">
        <v>#N/A</v>
      </c>
      <c r="P16">
        <v>60.15</v>
      </c>
      <c r="Q16" s="4" t="e">
        <v>#N/A</v>
      </c>
    </row>
    <row r="17" spans="1:17" x14ac:dyDescent="0.2">
      <c r="A17" s="4">
        <v>36982</v>
      </c>
      <c r="B17" s="5">
        <v>66912</v>
      </c>
      <c r="C17">
        <v>5.1841999999999997</v>
      </c>
      <c r="E17">
        <v>46.9</v>
      </c>
      <c r="F17">
        <v>10.4</v>
      </c>
      <c r="G17" s="6">
        <v>1367</v>
      </c>
      <c r="H17" t="e">
        <v>#N/A</v>
      </c>
      <c r="I17">
        <v>3.6184903234243393E-2</v>
      </c>
      <c r="N17">
        <v>96.3</v>
      </c>
      <c r="O17">
        <v>84380</v>
      </c>
      <c r="P17">
        <v>61.12</v>
      </c>
      <c r="Q17" s="4" t="e">
        <v>#N/A</v>
      </c>
    </row>
    <row r="18" spans="1:17" x14ac:dyDescent="0.2">
      <c r="A18" s="4">
        <v>37012</v>
      </c>
      <c r="B18" s="5" t="e">
        <v>#N/A</v>
      </c>
      <c r="C18">
        <v>5.3758999999999997</v>
      </c>
      <c r="E18" t="e">
        <v>#N/A</v>
      </c>
      <c r="F18">
        <v>10.6</v>
      </c>
      <c r="G18" s="6">
        <v>1391</v>
      </c>
      <c r="H18" t="e">
        <v>#N/A</v>
      </c>
      <c r="I18">
        <v>4.5558087527751923E-2</v>
      </c>
      <c r="N18" t="e">
        <v>#N/A</v>
      </c>
      <c r="O18" t="e">
        <v>#N/A</v>
      </c>
      <c r="P18">
        <v>62.21</v>
      </c>
      <c r="Q18" s="4" t="e">
        <v>#N/A</v>
      </c>
    </row>
    <row r="19" spans="1:17" x14ac:dyDescent="0.2">
      <c r="A19" s="4">
        <v>37043</v>
      </c>
      <c r="B19" s="5" t="e">
        <v>#N/A</v>
      </c>
      <c r="C19">
        <v>5.3285</v>
      </c>
      <c r="E19" t="e">
        <v>#N/A</v>
      </c>
      <c r="F19">
        <v>10.5</v>
      </c>
      <c r="G19" s="6">
        <v>1369</v>
      </c>
      <c r="H19" t="e">
        <v>#N/A</v>
      </c>
      <c r="I19">
        <v>0.14886268973350525</v>
      </c>
      <c r="N19" t="e">
        <v>#N/A</v>
      </c>
      <c r="O19" t="e">
        <v>#N/A</v>
      </c>
      <c r="P19">
        <v>62.63</v>
      </c>
      <c r="Q19" s="4" t="e">
        <v>#N/A</v>
      </c>
    </row>
    <row r="20" spans="1:17" x14ac:dyDescent="0.2">
      <c r="A20" s="4">
        <v>37073</v>
      </c>
      <c r="B20" s="5">
        <v>67349</v>
      </c>
      <c r="C20">
        <v>5.3346</v>
      </c>
      <c r="E20">
        <v>46.2</v>
      </c>
      <c r="F20">
        <v>10.5</v>
      </c>
      <c r="G20" s="6">
        <v>1380</v>
      </c>
      <c r="H20" t="e">
        <v>#N/A</v>
      </c>
      <c r="I20">
        <v>4.7049965709447861E-2</v>
      </c>
      <c r="N20">
        <v>97.4</v>
      </c>
      <c r="O20">
        <v>83457</v>
      </c>
      <c r="P20">
        <v>60.99</v>
      </c>
      <c r="Q20" s="4" t="e">
        <v>#N/A</v>
      </c>
    </row>
    <row r="21" spans="1:17" x14ac:dyDescent="0.2">
      <c r="A21" s="4">
        <v>37104</v>
      </c>
      <c r="B21" s="5" t="e">
        <v>#N/A</v>
      </c>
      <c r="C21">
        <v>5.1433</v>
      </c>
      <c r="E21" t="e">
        <v>#N/A</v>
      </c>
      <c r="F21">
        <v>10.6</v>
      </c>
      <c r="G21" s="6">
        <v>1388</v>
      </c>
      <c r="H21" t="e">
        <v>#N/A</v>
      </c>
      <c r="I21">
        <v>7.4794314801692963E-2</v>
      </c>
      <c r="N21" t="e">
        <v>#N/A</v>
      </c>
      <c r="O21" t="e">
        <v>#N/A</v>
      </c>
      <c r="P21">
        <v>60.1</v>
      </c>
      <c r="Q21" s="4" t="e">
        <v>#N/A</v>
      </c>
    </row>
    <row r="22" spans="1:17" x14ac:dyDescent="0.2">
      <c r="A22" s="4">
        <v>37135</v>
      </c>
      <c r="B22" s="5" t="e">
        <v>#N/A</v>
      </c>
      <c r="C22">
        <v>5.1268000000000002</v>
      </c>
      <c r="E22" t="e">
        <v>#N/A</v>
      </c>
      <c r="F22">
        <v>10.5</v>
      </c>
      <c r="G22" s="6">
        <v>1385</v>
      </c>
      <c r="H22" t="e">
        <v>#N/A</v>
      </c>
      <c r="I22">
        <v>0.39723142981529236</v>
      </c>
      <c r="N22" t="e">
        <v>#N/A</v>
      </c>
      <c r="O22" t="e">
        <v>#N/A</v>
      </c>
      <c r="P22">
        <v>60.21</v>
      </c>
      <c r="Q22" s="4" t="s">
        <v>29</v>
      </c>
    </row>
    <row r="23" spans="1:17" x14ac:dyDescent="0.2">
      <c r="A23" s="4">
        <v>37165</v>
      </c>
      <c r="B23" s="5">
        <v>69632</v>
      </c>
      <c r="C23">
        <v>4.8845000000000001</v>
      </c>
      <c r="E23">
        <v>45</v>
      </c>
      <c r="F23">
        <v>10.5</v>
      </c>
      <c r="G23" s="6">
        <v>1387</v>
      </c>
      <c r="H23" t="e">
        <v>#N/A</v>
      </c>
      <c r="I23">
        <v>0.34474200010299683</v>
      </c>
      <c r="N23">
        <v>97.8</v>
      </c>
      <c r="O23">
        <v>89785</v>
      </c>
      <c r="P23">
        <v>58.88</v>
      </c>
      <c r="Q23" s="4" t="e">
        <v>#N/A</v>
      </c>
    </row>
    <row r="24" spans="1:17" x14ac:dyDescent="0.2">
      <c r="A24" s="4">
        <v>37196</v>
      </c>
      <c r="B24" s="5" t="e">
        <v>#N/A</v>
      </c>
      <c r="C24">
        <v>4.7560000000000002</v>
      </c>
      <c r="E24" t="e">
        <v>#N/A</v>
      </c>
      <c r="F24">
        <v>10.6</v>
      </c>
      <c r="G24" s="6">
        <v>1409</v>
      </c>
      <c r="H24" t="e">
        <v>#N/A</v>
      </c>
      <c r="I24">
        <v>0.2675585150718689</v>
      </c>
      <c r="N24" t="e">
        <v>#N/A</v>
      </c>
      <c r="O24" t="e">
        <v>#N/A</v>
      </c>
      <c r="P24">
        <v>57.45</v>
      </c>
      <c r="Q24" s="4" t="e">
        <v>#N/A</v>
      </c>
    </row>
    <row r="25" spans="1:17" x14ac:dyDescent="0.2">
      <c r="A25" s="4">
        <v>37226</v>
      </c>
      <c r="B25" s="5" t="e">
        <v>#N/A</v>
      </c>
      <c r="C25">
        <v>5.0122999999999998</v>
      </c>
      <c r="D25">
        <v>3.7</v>
      </c>
      <c r="E25" t="e">
        <v>#N/A</v>
      </c>
      <c r="F25">
        <v>10.7</v>
      </c>
      <c r="G25" s="6">
        <v>1445</v>
      </c>
      <c r="H25" t="e">
        <v>#N/A</v>
      </c>
      <c r="I25">
        <v>0.14999201893806458</v>
      </c>
      <c r="N25" t="e">
        <v>#N/A</v>
      </c>
      <c r="O25" t="e">
        <v>#N/A</v>
      </c>
      <c r="P25">
        <v>56.75</v>
      </c>
      <c r="Q25" s="4" t="s">
        <v>30</v>
      </c>
    </row>
    <row r="26" spans="1:17" x14ac:dyDescent="0.2">
      <c r="A26" s="4">
        <v>37257</v>
      </c>
      <c r="B26" s="5">
        <v>69857</v>
      </c>
      <c r="C26">
        <v>5.0480999999999998</v>
      </c>
      <c r="D26">
        <v>3.7</v>
      </c>
      <c r="E26">
        <v>44.3</v>
      </c>
      <c r="F26">
        <v>11.1</v>
      </c>
      <c r="G26" s="6">
        <v>1510</v>
      </c>
      <c r="H26" t="e">
        <v>#N/A</v>
      </c>
      <c r="I26">
        <v>0.13701966404914856</v>
      </c>
      <c r="N26">
        <v>98.7</v>
      </c>
      <c r="O26">
        <v>83991</v>
      </c>
      <c r="P26">
        <v>58.17</v>
      </c>
      <c r="Q26" s="4" t="e">
        <v>#N/A</v>
      </c>
    </row>
    <row r="27" spans="1:17" x14ac:dyDescent="0.2">
      <c r="A27" s="4">
        <v>37288</v>
      </c>
      <c r="B27" s="5" t="e">
        <v>#N/A</v>
      </c>
      <c r="C27">
        <v>5.1067999999999998</v>
      </c>
      <c r="D27">
        <v>3.8</v>
      </c>
      <c r="E27" t="e">
        <v>#N/A</v>
      </c>
      <c r="F27">
        <v>11.5</v>
      </c>
      <c r="G27" s="6">
        <v>1599</v>
      </c>
      <c r="H27" t="e">
        <v>#N/A</v>
      </c>
      <c r="I27">
        <v>0.14751577377319336</v>
      </c>
      <c r="N27" t="e">
        <v>#N/A</v>
      </c>
      <c r="O27" t="e">
        <v>#N/A</v>
      </c>
      <c r="P27">
        <v>58.32</v>
      </c>
      <c r="Q27" s="4" t="e">
        <v>#N/A</v>
      </c>
    </row>
    <row r="28" spans="1:17" x14ac:dyDescent="0.2">
      <c r="A28" s="4">
        <v>37316</v>
      </c>
      <c r="B28" s="5" t="e">
        <v>#N/A</v>
      </c>
      <c r="C28">
        <v>5.3555999999999999</v>
      </c>
      <c r="D28">
        <v>3.7</v>
      </c>
      <c r="E28" t="e">
        <v>#N/A</v>
      </c>
      <c r="F28">
        <v>11.2</v>
      </c>
      <c r="G28" s="6">
        <v>1575</v>
      </c>
      <c r="H28" t="e">
        <v>#N/A</v>
      </c>
      <c r="I28">
        <v>0.13900955021381378</v>
      </c>
      <c r="N28" t="e">
        <v>#N/A</v>
      </c>
      <c r="O28" t="e">
        <v>#N/A</v>
      </c>
      <c r="P28">
        <v>59.43</v>
      </c>
      <c r="Q28" s="4" t="e">
        <v>#N/A</v>
      </c>
    </row>
    <row r="29" spans="1:17" x14ac:dyDescent="0.2">
      <c r="A29" s="4">
        <v>37347</v>
      </c>
      <c r="B29" s="5">
        <v>71254</v>
      </c>
      <c r="C29">
        <v>5.3348000000000004</v>
      </c>
      <c r="D29">
        <v>4.0999999999999996</v>
      </c>
      <c r="E29">
        <v>44.1</v>
      </c>
      <c r="F29">
        <v>11.2</v>
      </c>
      <c r="G29" s="6">
        <v>1586</v>
      </c>
      <c r="H29" t="e">
        <v>#N/A</v>
      </c>
      <c r="I29">
        <v>0.25460124015808105</v>
      </c>
      <c r="N29">
        <v>98.8</v>
      </c>
      <c r="O29">
        <v>90063</v>
      </c>
      <c r="P29">
        <v>60.9</v>
      </c>
      <c r="Q29" s="4" t="e">
        <v>#N/A</v>
      </c>
    </row>
    <row r="30" spans="1:17" x14ac:dyDescent="0.2">
      <c r="A30" s="4">
        <v>37377</v>
      </c>
      <c r="B30" s="5" t="e">
        <v>#N/A</v>
      </c>
      <c r="C30">
        <v>5.3395000000000001</v>
      </c>
      <c r="D30">
        <v>4.3</v>
      </c>
      <c r="E30" t="e">
        <v>#N/A</v>
      </c>
      <c r="F30">
        <v>11.2</v>
      </c>
      <c r="G30" s="6">
        <v>1592</v>
      </c>
      <c r="H30" t="e">
        <v>#N/A</v>
      </c>
      <c r="I30">
        <v>0.20832712948322296</v>
      </c>
      <c r="N30" t="e">
        <v>#N/A</v>
      </c>
      <c r="O30" t="e">
        <v>#N/A</v>
      </c>
      <c r="P30">
        <v>61.06</v>
      </c>
      <c r="Q30" s="4" t="e">
        <v>#N/A</v>
      </c>
    </row>
    <row r="31" spans="1:17" x14ac:dyDescent="0.2">
      <c r="A31" s="4">
        <v>37408</v>
      </c>
      <c r="B31" s="5" t="e">
        <v>#N/A</v>
      </c>
      <c r="C31">
        <v>5.1870000000000003</v>
      </c>
      <c r="D31">
        <v>4.2</v>
      </c>
      <c r="E31" t="e">
        <v>#N/A</v>
      </c>
      <c r="F31">
        <v>11.4</v>
      </c>
      <c r="G31" s="6">
        <v>1612</v>
      </c>
      <c r="H31" t="e">
        <v>#N/A</v>
      </c>
      <c r="I31">
        <v>0.14189647138118744</v>
      </c>
      <c r="N31" t="e">
        <v>#N/A</v>
      </c>
      <c r="O31" t="e">
        <v>#N/A</v>
      </c>
      <c r="P31">
        <v>59.87</v>
      </c>
      <c r="Q31" s="4" t="e">
        <v>#N/A</v>
      </c>
    </row>
    <row r="32" spans="1:17" x14ac:dyDescent="0.2">
      <c r="A32" s="4">
        <v>37438</v>
      </c>
      <c r="B32" s="5">
        <v>74062</v>
      </c>
      <c r="C32">
        <v>5.0289999999999999</v>
      </c>
      <c r="D32">
        <v>4</v>
      </c>
      <c r="E32">
        <v>43.4</v>
      </c>
      <c r="F32">
        <v>11.7</v>
      </c>
      <c r="G32" s="6">
        <v>1670</v>
      </c>
      <c r="H32" t="e">
        <v>#N/A</v>
      </c>
      <c r="I32">
        <v>0.16148950159549713</v>
      </c>
      <c r="N32">
        <v>99.2</v>
      </c>
      <c r="O32">
        <v>88845</v>
      </c>
      <c r="P32">
        <v>60.07</v>
      </c>
      <c r="Q32" s="4" t="e">
        <v>#N/A</v>
      </c>
    </row>
    <row r="33" spans="1:17" x14ac:dyDescent="0.2">
      <c r="A33" s="4">
        <v>37469</v>
      </c>
      <c r="B33" s="5" t="e">
        <v>#N/A</v>
      </c>
      <c r="C33">
        <v>4.7385999999999999</v>
      </c>
      <c r="D33">
        <v>4.0999999999999996</v>
      </c>
      <c r="E33" t="e">
        <v>#N/A</v>
      </c>
      <c r="F33">
        <v>11.8</v>
      </c>
      <c r="G33" s="6">
        <v>1689</v>
      </c>
      <c r="H33" t="e">
        <v>#N/A</v>
      </c>
      <c r="I33">
        <v>0.10649283230304718</v>
      </c>
      <c r="N33" t="e">
        <v>#N/A</v>
      </c>
      <c r="O33" t="e">
        <v>#N/A</v>
      </c>
      <c r="P33">
        <v>60.26</v>
      </c>
      <c r="Q33" s="4" t="e">
        <v>#N/A</v>
      </c>
    </row>
    <row r="34" spans="1:17" x14ac:dyDescent="0.2">
      <c r="A34" s="4">
        <v>37500</v>
      </c>
      <c r="B34" s="5" t="e">
        <v>#N/A</v>
      </c>
      <c r="C34">
        <v>4.5439999999999996</v>
      </c>
      <c r="D34">
        <v>3.9</v>
      </c>
      <c r="E34" t="e">
        <v>#N/A</v>
      </c>
      <c r="F34">
        <v>11.7</v>
      </c>
      <c r="G34" s="6">
        <v>1679</v>
      </c>
      <c r="H34" t="e">
        <v>#N/A</v>
      </c>
      <c r="I34">
        <v>0.1136433407664299</v>
      </c>
      <c r="N34" t="e">
        <v>#N/A</v>
      </c>
      <c r="O34" t="e">
        <v>#N/A</v>
      </c>
      <c r="P34">
        <v>60.77</v>
      </c>
      <c r="Q34" s="4" t="e">
        <v>#N/A</v>
      </c>
    </row>
    <row r="35" spans="1:17" x14ac:dyDescent="0.2">
      <c r="A35" s="4">
        <v>37530</v>
      </c>
      <c r="B35" s="5">
        <v>74354</v>
      </c>
      <c r="C35">
        <v>4.6330999999999998</v>
      </c>
      <c r="D35">
        <v>4.0999999999999996</v>
      </c>
      <c r="E35">
        <v>42.9</v>
      </c>
      <c r="F35">
        <v>11.6</v>
      </c>
      <c r="G35" s="6">
        <v>1649</v>
      </c>
      <c r="H35" t="e">
        <v>#N/A</v>
      </c>
      <c r="I35">
        <v>0.10930799692869186</v>
      </c>
      <c r="N35">
        <v>100.6</v>
      </c>
      <c r="O35">
        <v>95752</v>
      </c>
      <c r="P35">
        <v>61.08</v>
      </c>
      <c r="Q35" s="4" t="e">
        <v>#N/A</v>
      </c>
    </row>
    <row r="36" spans="1:17" x14ac:dyDescent="0.2">
      <c r="A36" s="4">
        <v>37561</v>
      </c>
      <c r="B36" s="5" t="e">
        <v>#N/A</v>
      </c>
      <c r="C36">
        <v>4.5999999999999996</v>
      </c>
      <c r="D36">
        <v>4.0999999999999996</v>
      </c>
      <c r="E36" t="e">
        <v>#N/A</v>
      </c>
      <c r="F36">
        <v>11.6</v>
      </c>
      <c r="G36" s="6">
        <v>1650</v>
      </c>
      <c r="H36" t="e">
        <v>#N/A</v>
      </c>
      <c r="I36">
        <v>9.1332271695137024E-2</v>
      </c>
      <c r="N36" t="e">
        <v>#N/A</v>
      </c>
      <c r="O36" t="e">
        <v>#N/A</v>
      </c>
      <c r="P36">
        <v>59.49</v>
      </c>
      <c r="Q36" s="4" t="e">
        <v>#N/A</v>
      </c>
    </row>
    <row r="37" spans="1:17" x14ac:dyDescent="0.2">
      <c r="A37" s="4">
        <v>37591</v>
      </c>
      <c r="B37" s="5" t="e">
        <v>#N/A</v>
      </c>
      <c r="C37">
        <v>4.4053000000000004</v>
      </c>
      <c r="D37">
        <v>3.9</v>
      </c>
      <c r="E37" t="e">
        <v>#N/A</v>
      </c>
      <c r="F37">
        <v>11.6</v>
      </c>
      <c r="G37" s="6">
        <v>1666</v>
      </c>
      <c r="H37" t="e">
        <v>#N/A</v>
      </c>
      <c r="I37">
        <v>0.16649056971073151</v>
      </c>
      <c r="N37" t="e">
        <v>#N/A</v>
      </c>
      <c r="O37" t="e">
        <v>#N/A</v>
      </c>
      <c r="P37">
        <v>60.04</v>
      </c>
      <c r="Q37" s="4" t="e">
        <v>#N/A</v>
      </c>
    </row>
    <row r="38" spans="1:17" x14ac:dyDescent="0.2">
      <c r="A38" s="4">
        <v>37622</v>
      </c>
      <c r="B38" s="5">
        <v>75783</v>
      </c>
      <c r="C38">
        <v>4.2294999999999998</v>
      </c>
      <c r="D38">
        <v>3.6</v>
      </c>
      <c r="E38">
        <v>41.8</v>
      </c>
      <c r="F38">
        <v>11.7</v>
      </c>
      <c r="G38" s="6">
        <v>1698</v>
      </c>
      <c r="H38" t="s">
        <v>27</v>
      </c>
      <c r="I38">
        <v>0.27982020378112793</v>
      </c>
      <c r="N38">
        <v>100.9</v>
      </c>
      <c r="O38">
        <v>89532</v>
      </c>
      <c r="P38">
        <v>61.35</v>
      </c>
      <c r="Q38" s="4" t="e">
        <v>#N/A</v>
      </c>
    </row>
    <row r="39" spans="1:17" x14ac:dyDescent="0.2">
      <c r="A39" s="4">
        <v>37653</v>
      </c>
      <c r="B39" s="5" t="e">
        <v>#N/A</v>
      </c>
      <c r="C39">
        <v>4.0049999999999999</v>
      </c>
      <c r="D39">
        <v>3.6</v>
      </c>
      <c r="E39" t="e">
        <v>#N/A</v>
      </c>
      <c r="F39">
        <v>11.7</v>
      </c>
      <c r="G39" s="6">
        <v>1712</v>
      </c>
      <c r="H39" t="e">
        <v>#N/A</v>
      </c>
      <c r="I39">
        <v>0.53614169359207153</v>
      </c>
      <c r="N39" t="e">
        <v>#N/A</v>
      </c>
      <c r="O39" t="e">
        <v>#N/A</v>
      </c>
      <c r="P39">
        <v>62.2</v>
      </c>
      <c r="Q39" s="4" t="e">
        <v>#N/A</v>
      </c>
    </row>
    <row r="40" spans="1:17" x14ac:dyDescent="0.2">
      <c r="A40" s="4">
        <v>37681</v>
      </c>
      <c r="B40" s="5" t="e">
        <v>#N/A</v>
      </c>
      <c r="C40">
        <v>4.0461</v>
      </c>
      <c r="D40">
        <v>3.5</v>
      </c>
      <c r="E40" t="e">
        <v>#N/A</v>
      </c>
      <c r="F40">
        <v>11.6</v>
      </c>
      <c r="G40" s="6">
        <v>1713</v>
      </c>
      <c r="H40" t="e">
        <v>#N/A</v>
      </c>
      <c r="I40">
        <v>0.79543250799179077</v>
      </c>
      <c r="N40" t="e">
        <v>#N/A</v>
      </c>
      <c r="O40" t="e">
        <v>#N/A</v>
      </c>
      <c r="P40">
        <v>63.05</v>
      </c>
      <c r="Q40" s="4" t="e">
        <v>#N/A</v>
      </c>
    </row>
    <row r="41" spans="1:17" x14ac:dyDescent="0.2">
      <c r="A41" s="4">
        <v>37712</v>
      </c>
      <c r="B41" s="5">
        <v>77494</v>
      </c>
      <c r="C41">
        <v>4.1779999999999999</v>
      </c>
      <c r="D41">
        <v>3.4</v>
      </c>
      <c r="E41">
        <v>41.9</v>
      </c>
      <c r="F41">
        <v>11.4</v>
      </c>
      <c r="G41" s="6">
        <v>1689</v>
      </c>
      <c r="H41" t="s">
        <v>27</v>
      </c>
      <c r="I41">
        <v>0.25941470265388489</v>
      </c>
      <c r="N41">
        <v>101.2</v>
      </c>
      <c r="O41">
        <v>95262</v>
      </c>
      <c r="P41">
        <v>61.39</v>
      </c>
      <c r="Q41" s="4" t="e">
        <v>#N/A</v>
      </c>
    </row>
    <row r="42" spans="1:17" x14ac:dyDescent="0.2">
      <c r="A42" s="4">
        <v>37742</v>
      </c>
      <c r="B42" s="5" t="e">
        <v>#N/A</v>
      </c>
      <c r="C42">
        <v>3.9199000000000002</v>
      </c>
      <c r="D42">
        <v>3.2</v>
      </c>
      <c r="E42" t="e">
        <v>#N/A</v>
      </c>
      <c r="F42">
        <v>11.3</v>
      </c>
      <c r="G42" s="6">
        <v>1681</v>
      </c>
      <c r="H42" t="e">
        <v>#N/A</v>
      </c>
      <c r="I42">
        <v>0.25127062201499939</v>
      </c>
      <c r="N42" t="e">
        <v>#N/A</v>
      </c>
      <c r="O42" t="e">
        <v>#N/A</v>
      </c>
      <c r="P42">
        <v>59.86</v>
      </c>
      <c r="Q42" s="4" t="e">
        <v>#N/A</v>
      </c>
    </row>
    <row r="43" spans="1:17" x14ac:dyDescent="0.2">
      <c r="A43" s="4">
        <v>37773</v>
      </c>
      <c r="B43" s="5" t="e">
        <v>#N/A</v>
      </c>
      <c r="C43">
        <v>3.7233000000000001</v>
      </c>
      <c r="D43">
        <v>3.1</v>
      </c>
      <c r="E43" t="e">
        <v>#N/A</v>
      </c>
      <c r="F43">
        <v>11.5</v>
      </c>
      <c r="G43" s="6">
        <v>1702</v>
      </c>
      <c r="H43" t="e">
        <v>#N/A</v>
      </c>
      <c r="I43">
        <v>0.1506614089012146</v>
      </c>
      <c r="N43" t="e">
        <v>#N/A</v>
      </c>
      <c r="O43" t="e">
        <v>#N/A</v>
      </c>
      <c r="P43">
        <v>59.52</v>
      </c>
      <c r="Q43" s="4" t="e">
        <v>#N/A</v>
      </c>
    </row>
    <row r="44" spans="1:17" x14ac:dyDescent="0.2">
      <c r="A44" s="4">
        <v>37803</v>
      </c>
      <c r="B44" s="5">
        <v>77270</v>
      </c>
      <c r="C44">
        <v>4.0407000000000002</v>
      </c>
      <c r="D44">
        <v>3.1</v>
      </c>
      <c r="E44">
        <v>40.799999999999997</v>
      </c>
      <c r="F44">
        <v>11.6</v>
      </c>
      <c r="G44" s="6">
        <v>1728</v>
      </c>
      <c r="H44" t="s">
        <v>27</v>
      </c>
      <c r="I44">
        <v>9.8162516951560974E-2</v>
      </c>
      <c r="N44">
        <v>102</v>
      </c>
      <c r="O44">
        <v>93612</v>
      </c>
      <c r="P44">
        <v>60.06</v>
      </c>
      <c r="Q44" s="4" t="s">
        <v>31</v>
      </c>
    </row>
    <row r="45" spans="1:17" x14ac:dyDescent="0.2">
      <c r="A45" s="4">
        <v>37834</v>
      </c>
      <c r="B45" s="5" t="e">
        <v>#N/A</v>
      </c>
      <c r="C45">
        <v>4.1893000000000002</v>
      </c>
      <c r="D45">
        <v>3.2</v>
      </c>
      <c r="E45" t="e">
        <v>#N/A</v>
      </c>
      <c r="F45">
        <v>11.5</v>
      </c>
      <c r="G45" s="6">
        <v>1735</v>
      </c>
      <c r="H45" t="e">
        <v>#N/A</v>
      </c>
      <c r="I45">
        <v>0.12121212482452393</v>
      </c>
      <c r="N45" t="e">
        <v>#N/A</v>
      </c>
      <c r="O45" t="e">
        <v>#N/A</v>
      </c>
      <c r="P45">
        <v>60.88</v>
      </c>
      <c r="Q45" s="4" t="e">
        <v>#N/A</v>
      </c>
    </row>
    <row r="46" spans="1:17" x14ac:dyDescent="0.2">
      <c r="A46" s="4">
        <v>37865</v>
      </c>
      <c r="B46" s="5" t="e">
        <v>#N/A</v>
      </c>
      <c r="C46">
        <v>4.2050999999999998</v>
      </c>
      <c r="D46">
        <v>3.3</v>
      </c>
      <c r="E46" t="e">
        <v>#N/A</v>
      </c>
      <c r="F46">
        <v>11.5</v>
      </c>
      <c r="G46" s="6">
        <v>1727</v>
      </c>
      <c r="H46" t="e">
        <v>#N/A</v>
      </c>
      <c r="I46">
        <v>0.14416004717350006</v>
      </c>
      <c r="N46" t="e">
        <v>#N/A</v>
      </c>
      <c r="O46" t="e">
        <v>#N/A</v>
      </c>
      <c r="P46">
        <v>60.63</v>
      </c>
      <c r="Q46" s="4" t="e">
        <v>#N/A</v>
      </c>
    </row>
    <row r="47" spans="1:17" x14ac:dyDescent="0.2">
      <c r="A47" s="4">
        <v>37895</v>
      </c>
      <c r="B47" s="5">
        <v>77249</v>
      </c>
      <c r="C47">
        <v>4.2675999999999998</v>
      </c>
      <c r="D47">
        <v>3.1</v>
      </c>
      <c r="E47">
        <v>39.9</v>
      </c>
      <c r="F47">
        <v>11.4</v>
      </c>
      <c r="G47" s="6">
        <v>1709</v>
      </c>
      <c r="H47" t="s">
        <v>27</v>
      </c>
      <c r="I47">
        <v>0.20221084356307983</v>
      </c>
      <c r="N47">
        <v>103.8</v>
      </c>
      <c r="O47">
        <v>101605</v>
      </c>
      <c r="P47">
        <v>59.96</v>
      </c>
      <c r="Q47" s="4" t="e">
        <v>#N/A</v>
      </c>
    </row>
    <row r="48" spans="1:17" x14ac:dyDescent="0.2">
      <c r="A48" s="4">
        <v>37926</v>
      </c>
      <c r="B48" s="5" t="e">
        <v>#N/A</v>
      </c>
      <c r="C48">
        <v>4.3973000000000004</v>
      </c>
      <c r="D48">
        <v>3</v>
      </c>
      <c r="E48" t="e">
        <v>#N/A</v>
      </c>
      <c r="F48">
        <v>11.3</v>
      </c>
      <c r="G48" s="6">
        <v>1700</v>
      </c>
      <c r="H48" t="e">
        <v>#N/A</v>
      </c>
      <c r="I48">
        <v>0.14745268225669861</v>
      </c>
      <c r="N48" t="e">
        <v>#N/A</v>
      </c>
      <c r="O48" t="e">
        <v>#N/A</v>
      </c>
      <c r="P48">
        <v>60.14</v>
      </c>
      <c r="Q48" s="4" t="e">
        <v>#N/A</v>
      </c>
    </row>
    <row r="49" spans="1:17" x14ac:dyDescent="0.2">
      <c r="A49" s="4">
        <v>37956</v>
      </c>
      <c r="B49" s="5" t="e">
        <v>#N/A</v>
      </c>
      <c r="C49">
        <v>4.3364000000000003</v>
      </c>
      <c r="D49">
        <v>2.9</v>
      </c>
      <c r="E49" t="e">
        <v>#N/A</v>
      </c>
      <c r="F49">
        <v>11.4</v>
      </c>
      <c r="G49" s="6">
        <v>1725</v>
      </c>
      <c r="H49" t="e">
        <v>#N/A</v>
      </c>
      <c r="I49">
        <v>0.14971967041492462</v>
      </c>
      <c r="N49" t="e">
        <v>#N/A</v>
      </c>
      <c r="O49" t="e">
        <v>#N/A</v>
      </c>
      <c r="P49">
        <v>59.96</v>
      </c>
      <c r="Q49" s="4" t="s">
        <v>32</v>
      </c>
    </row>
    <row r="50" spans="1:17" x14ac:dyDescent="0.2">
      <c r="A50" s="4">
        <v>37987</v>
      </c>
      <c r="B50" s="5">
        <v>81699</v>
      </c>
      <c r="C50">
        <v>4.1798000000000002</v>
      </c>
      <c r="D50">
        <v>2.8</v>
      </c>
      <c r="E50">
        <v>40.299999999999997</v>
      </c>
      <c r="F50">
        <v>11.3</v>
      </c>
      <c r="G50" s="6">
        <v>1718</v>
      </c>
      <c r="H50" t="s">
        <v>27</v>
      </c>
      <c r="I50">
        <v>0.10141383111476898</v>
      </c>
      <c r="N50">
        <v>103.7</v>
      </c>
      <c r="O50">
        <v>95651</v>
      </c>
      <c r="P50">
        <v>60.34</v>
      </c>
      <c r="Q50" s="4" t="e">
        <v>#N/A</v>
      </c>
    </row>
    <row r="51" spans="1:17" x14ac:dyDescent="0.2">
      <c r="A51" s="4">
        <v>38018</v>
      </c>
      <c r="B51" s="5" t="e">
        <v>#N/A</v>
      </c>
      <c r="C51">
        <v>4.1243999999999996</v>
      </c>
      <c r="D51">
        <v>2.7</v>
      </c>
      <c r="E51" t="e">
        <v>#N/A</v>
      </c>
      <c r="F51">
        <v>11.2</v>
      </c>
      <c r="G51" s="6">
        <v>1712</v>
      </c>
      <c r="H51" t="e">
        <v>#N/A</v>
      </c>
      <c r="I51">
        <v>8.3207495510578156E-2</v>
      </c>
      <c r="N51" t="e">
        <v>#N/A</v>
      </c>
      <c r="O51" t="e">
        <v>#N/A</v>
      </c>
      <c r="P51">
        <v>60.6</v>
      </c>
      <c r="Q51" s="4" t="e">
        <v>#N/A</v>
      </c>
    </row>
    <row r="52" spans="1:17" x14ac:dyDescent="0.2">
      <c r="A52" s="4">
        <v>38047</v>
      </c>
      <c r="B52" s="5" t="e">
        <v>#N/A</v>
      </c>
      <c r="C52">
        <v>3.9643000000000002</v>
      </c>
      <c r="D52">
        <v>2.7</v>
      </c>
      <c r="E52" t="e">
        <v>#N/A</v>
      </c>
      <c r="F52">
        <v>11.1</v>
      </c>
      <c r="G52" s="6">
        <v>1707</v>
      </c>
      <c r="H52" t="e">
        <v>#N/A</v>
      </c>
      <c r="I52">
        <v>1.1495896577835083</v>
      </c>
      <c r="N52" t="e">
        <v>#N/A</v>
      </c>
      <c r="O52" t="e">
        <v>#N/A</v>
      </c>
      <c r="P52">
        <v>61.49</v>
      </c>
      <c r="Q52" s="4" t="e">
        <v>#N/A</v>
      </c>
    </row>
    <row r="53" spans="1:17" x14ac:dyDescent="0.2">
      <c r="A53" s="4">
        <v>38078</v>
      </c>
      <c r="B53" s="5">
        <v>81841</v>
      </c>
      <c r="C53">
        <v>4.2072000000000003</v>
      </c>
      <c r="D53">
        <v>2.9</v>
      </c>
      <c r="E53">
        <v>39.9</v>
      </c>
      <c r="F53">
        <v>11.2</v>
      </c>
      <c r="G53" s="6">
        <v>1727</v>
      </c>
      <c r="H53" t="s">
        <v>27</v>
      </c>
      <c r="I53">
        <v>0.66158062219619751</v>
      </c>
      <c r="N53">
        <v>104.7</v>
      </c>
      <c r="O53">
        <v>101625</v>
      </c>
      <c r="P53">
        <v>62.29</v>
      </c>
      <c r="Q53" s="4" t="e">
        <v>#N/A</v>
      </c>
    </row>
    <row r="54" spans="1:17" x14ac:dyDescent="0.2">
      <c r="A54" s="4">
        <v>38108</v>
      </c>
      <c r="B54" s="5" t="e">
        <v>#N/A</v>
      </c>
      <c r="C54">
        <v>4.3422999999999998</v>
      </c>
      <c r="D54">
        <v>3.1</v>
      </c>
      <c r="E54" t="e">
        <v>#N/A</v>
      </c>
      <c r="F54">
        <v>11.2</v>
      </c>
      <c r="G54" s="6">
        <v>1724</v>
      </c>
      <c r="H54" t="e">
        <v>#N/A</v>
      </c>
      <c r="I54">
        <v>0.27577304840087891</v>
      </c>
      <c r="N54" t="e">
        <v>#N/A</v>
      </c>
      <c r="O54" t="e">
        <v>#N/A</v>
      </c>
      <c r="P54">
        <v>63.8</v>
      </c>
      <c r="Q54" s="4" t="e">
        <v>#N/A</v>
      </c>
    </row>
    <row r="55" spans="1:17" x14ac:dyDescent="0.2">
      <c r="A55" s="4">
        <v>38139</v>
      </c>
      <c r="B55" s="5" t="e">
        <v>#N/A</v>
      </c>
      <c r="C55">
        <v>4.3914</v>
      </c>
      <c r="D55">
        <v>3.2</v>
      </c>
      <c r="E55" t="e">
        <v>#N/A</v>
      </c>
      <c r="F55">
        <v>11.2</v>
      </c>
      <c r="G55" s="6">
        <v>1720</v>
      </c>
      <c r="H55" t="e">
        <v>#N/A</v>
      </c>
      <c r="I55">
        <v>0.18506358563899994</v>
      </c>
      <c r="N55" t="e">
        <v>#N/A</v>
      </c>
      <c r="O55" t="e">
        <v>#N/A</v>
      </c>
      <c r="P55">
        <v>63.79</v>
      </c>
      <c r="Q55" s="4" t="e">
        <v>#N/A</v>
      </c>
    </row>
    <row r="56" spans="1:17" x14ac:dyDescent="0.2">
      <c r="A56" s="4">
        <v>38169</v>
      </c>
      <c r="B56" s="5">
        <v>83790</v>
      </c>
      <c r="C56">
        <v>4.2770000000000001</v>
      </c>
      <c r="D56">
        <v>3.1</v>
      </c>
      <c r="E56">
        <v>39</v>
      </c>
      <c r="F56">
        <v>11</v>
      </c>
      <c r="G56" s="6">
        <v>1705</v>
      </c>
      <c r="H56" t="s">
        <v>27</v>
      </c>
      <c r="I56">
        <v>0.17190940678119659</v>
      </c>
      <c r="N56">
        <v>104.8</v>
      </c>
      <c r="O56">
        <v>99798</v>
      </c>
      <c r="P56">
        <v>64</v>
      </c>
      <c r="Q56" s="4" t="e">
        <v>#N/A</v>
      </c>
    </row>
    <row r="57" spans="1:17" x14ac:dyDescent="0.2">
      <c r="A57" s="4">
        <v>38200</v>
      </c>
      <c r="B57" s="5" t="e">
        <v>#N/A</v>
      </c>
      <c r="C57">
        <v>4.1162999999999998</v>
      </c>
      <c r="D57">
        <v>3</v>
      </c>
      <c r="E57" t="e">
        <v>#N/A</v>
      </c>
      <c r="F57">
        <v>11</v>
      </c>
      <c r="G57" s="6">
        <v>1713</v>
      </c>
      <c r="H57" t="e">
        <v>#N/A</v>
      </c>
      <c r="I57">
        <v>0.16414870321750641</v>
      </c>
      <c r="N57" t="e">
        <v>#N/A</v>
      </c>
      <c r="O57" t="e">
        <v>#N/A</v>
      </c>
      <c r="P57">
        <v>65.14</v>
      </c>
      <c r="Q57" s="4" t="e">
        <v>#N/A</v>
      </c>
    </row>
    <row r="58" spans="1:17" x14ac:dyDescent="0.2">
      <c r="A58" s="4">
        <v>38231</v>
      </c>
      <c r="B58" s="5" t="e">
        <v>#N/A</v>
      </c>
      <c r="C58">
        <v>4.0583</v>
      </c>
      <c r="D58">
        <v>2.8</v>
      </c>
      <c r="E58" t="e">
        <v>#N/A</v>
      </c>
      <c r="F58">
        <v>10.9</v>
      </c>
      <c r="G58" s="6">
        <v>1699</v>
      </c>
      <c r="H58" t="e">
        <v>#N/A</v>
      </c>
      <c r="I58">
        <v>0.18245446681976318</v>
      </c>
      <c r="N58" t="e">
        <v>#N/A</v>
      </c>
      <c r="O58" t="e">
        <v>#N/A</v>
      </c>
      <c r="P58">
        <v>65.180000000000007</v>
      </c>
      <c r="Q58" s="4" t="e">
        <v>#N/A</v>
      </c>
    </row>
    <row r="59" spans="1:17" x14ac:dyDescent="0.2">
      <c r="A59" s="4">
        <v>38261</v>
      </c>
      <c r="B59" s="5">
        <v>86336</v>
      </c>
      <c r="C59">
        <v>3.9296000000000002</v>
      </c>
      <c r="D59">
        <v>2.8</v>
      </c>
      <c r="E59">
        <v>38.6</v>
      </c>
      <c r="F59">
        <v>10.7</v>
      </c>
      <c r="G59" s="6">
        <v>1689</v>
      </c>
      <c r="H59" t="s">
        <v>27</v>
      </c>
      <c r="I59">
        <v>0.16315548121929169</v>
      </c>
      <c r="N59">
        <v>106</v>
      </c>
      <c r="O59">
        <v>108602</v>
      </c>
      <c r="P59">
        <v>66.92</v>
      </c>
      <c r="Q59" s="4" t="e">
        <v>#N/A</v>
      </c>
    </row>
    <row r="60" spans="1:17" x14ac:dyDescent="0.2">
      <c r="A60" s="4">
        <v>38292</v>
      </c>
      <c r="B60" s="5" t="e">
        <v>#N/A</v>
      </c>
      <c r="C60">
        <v>3.8054000000000001</v>
      </c>
      <c r="D60">
        <v>2.9</v>
      </c>
      <c r="E60" t="e">
        <v>#N/A</v>
      </c>
      <c r="F60">
        <v>10.6</v>
      </c>
      <c r="G60" s="6">
        <v>1674</v>
      </c>
      <c r="H60" t="e">
        <v>#N/A</v>
      </c>
      <c r="I60">
        <v>0.15610459446907043</v>
      </c>
      <c r="N60" t="e">
        <v>#N/A</v>
      </c>
      <c r="O60" t="e">
        <v>#N/A</v>
      </c>
      <c r="P60">
        <v>66.12</v>
      </c>
      <c r="Q60" s="4" t="e">
        <v>#N/A</v>
      </c>
    </row>
    <row r="61" spans="1:17" x14ac:dyDescent="0.2">
      <c r="A61" s="4">
        <v>38322</v>
      </c>
      <c r="B61" s="5" t="e">
        <v>#N/A</v>
      </c>
      <c r="C61">
        <v>3.6507000000000001</v>
      </c>
      <c r="D61">
        <v>2.8</v>
      </c>
      <c r="E61" t="e">
        <v>#N/A</v>
      </c>
      <c r="F61">
        <v>10.3</v>
      </c>
      <c r="G61" s="6">
        <v>1628</v>
      </c>
      <c r="H61" t="e">
        <v>#N/A</v>
      </c>
      <c r="I61">
        <v>8.8914290070533752E-2</v>
      </c>
      <c r="N61" t="e">
        <v>#N/A</v>
      </c>
      <c r="O61" t="e">
        <v>#N/A</v>
      </c>
      <c r="P61">
        <v>64.5</v>
      </c>
      <c r="Q61" s="4" t="s">
        <v>32</v>
      </c>
    </row>
    <row r="62" spans="1:17" x14ac:dyDescent="0.2">
      <c r="A62" s="4">
        <v>38353</v>
      </c>
      <c r="B62" s="5">
        <v>86323</v>
      </c>
      <c r="C62">
        <v>3.6008</v>
      </c>
      <c r="D62">
        <v>2.8</v>
      </c>
      <c r="E62">
        <v>38.1</v>
      </c>
      <c r="F62">
        <v>10.1</v>
      </c>
      <c r="G62" s="6">
        <v>1569</v>
      </c>
      <c r="H62" t="s">
        <v>27</v>
      </c>
      <c r="I62">
        <v>0.13274602591991425</v>
      </c>
      <c r="N62">
        <v>106.1</v>
      </c>
      <c r="O62">
        <v>101453</v>
      </c>
      <c r="P62">
        <v>63.99</v>
      </c>
      <c r="Q62" s="4" t="e">
        <v>#N/A</v>
      </c>
    </row>
    <row r="63" spans="1:17" x14ac:dyDescent="0.2">
      <c r="A63" s="4">
        <v>38384</v>
      </c>
      <c r="B63" s="5" t="e">
        <v>#N/A</v>
      </c>
      <c r="C63">
        <v>3.5882000000000001</v>
      </c>
      <c r="D63">
        <v>2.9</v>
      </c>
      <c r="E63" t="e">
        <v>#N/A</v>
      </c>
      <c r="F63">
        <v>9.9</v>
      </c>
      <c r="G63" s="6">
        <v>1524</v>
      </c>
      <c r="H63" t="e">
        <v>#N/A</v>
      </c>
      <c r="I63">
        <v>9.6515782177448273E-2</v>
      </c>
      <c r="N63" t="e">
        <v>#N/A</v>
      </c>
      <c r="O63" t="e">
        <v>#N/A</v>
      </c>
      <c r="P63">
        <v>65.23</v>
      </c>
      <c r="Q63" s="4" t="e">
        <v>#N/A</v>
      </c>
    </row>
    <row r="64" spans="1:17" x14ac:dyDescent="0.2">
      <c r="A64" s="4">
        <v>38412</v>
      </c>
      <c r="B64" s="5" t="e">
        <v>#N/A</v>
      </c>
      <c r="C64">
        <v>3.7282999999999999</v>
      </c>
      <c r="D64">
        <v>3</v>
      </c>
      <c r="E64" t="e">
        <v>#N/A</v>
      </c>
      <c r="F64">
        <v>9.6999999999999993</v>
      </c>
      <c r="G64" s="6">
        <v>1509</v>
      </c>
      <c r="H64" t="e">
        <v>#N/A</v>
      </c>
      <c r="I64">
        <v>8.5905730724334717E-2</v>
      </c>
      <c r="N64" t="e">
        <v>#N/A</v>
      </c>
      <c r="O64" t="e">
        <v>#N/A</v>
      </c>
      <c r="P64">
        <v>66.53</v>
      </c>
      <c r="Q64" s="4" t="e">
        <v>#N/A</v>
      </c>
    </row>
    <row r="65" spans="1:17" x14ac:dyDescent="0.2">
      <c r="A65" s="4">
        <v>38443</v>
      </c>
      <c r="B65" s="5">
        <v>88919</v>
      </c>
      <c r="C65">
        <v>3.5234000000000001</v>
      </c>
      <c r="D65">
        <v>2.9</v>
      </c>
      <c r="E65">
        <v>37.4</v>
      </c>
      <c r="F65">
        <v>9.6999999999999993</v>
      </c>
      <c r="G65" s="6">
        <v>1511</v>
      </c>
      <c r="H65" t="s">
        <v>27</v>
      </c>
      <c r="I65">
        <v>0.11477677524089813</v>
      </c>
      <c r="N65">
        <v>108.5</v>
      </c>
      <c r="O65">
        <v>109418</v>
      </c>
      <c r="P65">
        <v>68.290000000000006</v>
      </c>
      <c r="Q65" s="4" t="e">
        <v>#N/A</v>
      </c>
    </row>
    <row r="66" spans="1:17" x14ac:dyDescent="0.2">
      <c r="A66" s="4">
        <v>38473</v>
      </c>
      <c r="B66" s="5" t="e">
        <v>#N/A</v>
      </c>
      <c r="C66">
        <v>3.3578000000000001</v>
      </c>
      <c r="D66">
        <v>2.7</v>
      </c>
      <c r="E66" t="e">
        <v>#N/A</v>
      </c>
      <c r="F66">
        <v>9.4</v>
      </c>
      <c r="G66" s="6">
        <v>1469</v>
      </c>
      <c r="H66" t="e">
        <v>#N/A</v>
      </c>
      <c r="I66">
        <v>8.9712917804718018E-2</v>
      </c>
      <c r="N66" t="e">
        <v>#N/A</v>
      </c>
      <c r="O66" t="e">
        <v>#N/A</v>
      </c>
      <c r="P66">
        <v>68.150000000000006</v>
      </c>
      <c r="Q66" s="4" t="e">
        <v>#N/A</v>
      </c>
    </row>
    <row r="67" spans="1:17" x14ac:dyDescent="0.2">
      <c r="A67" s="4">
        <v>38504</v>
      </c>
      <c r="B67" s="5" t="e">
        <v>#N/A</v>
      </c>
      <c r="C67">
        <v>3.1798999999999999</v>
      </c>
      <c r="D67">
        <v>2.7</v>
      </c>
      <c r="E67" t="e">
        <v>#N/A</v>
      </c>
      <c r="F67">
        <v>9.1</v>
      </c>
      <c r="G67" s="6">
        <v>1422</v>
      </c>
      <c r="H67" t="e">
        <v>#N/A</v>
      </c>
      <c r="I67">
        <v>7.5285330414772034E-2</v>
      </c>
      <c r="N67" t="e">
        <v>#N/A</v>
      </c>
      <c r="O67" t="e">
        <v>#N/A</v>
      </c>
      <c r="P67">
        <v>69.069999999999993</v>
      </c>
      <c r="Q67" s="4" t="e">
        <v>#N/A</v>
      </c>
    </row>
    <row r="68" spans="1:17" x14ac:dyDescent="0.2">
      <c r="A68" s="4">
        <v>38534</v>
      </c>
      <c r="B68" s="5">
        <v>89458</v>
      </c>
      <c r="C68">
        <v>3.2238000000000002</v>
      </c>
      <c r="D68">
        <v>2.5</v>
      </c>
      <c r="E68">
        <v>36.5</v>
      </c>
      <c r="F68">
        <v>8.8000000000000007</v>
      </c>
      <c r="G68" s="6">
        <v>1379</v>
      </c>
      <c r="H68" t="s">
        <v>27</v>
      </c>
      <c r="I68">
        <v>0.7265622615814209</v>
      </c>
      <c r="N68">
        <v>108.5</v>
      </c>
      <c r="O68">
        <v>107353</v>
      </c>
      <c r="P68">
        <v>71.34</v>
      </c>
      <c r="Q68" s="4" t="e">
        <v>#N/A</v>
      </c>
    </row>
    <row r="69" spans="1:17" x14ac:dyDescent="0.2">
      <c r="A69" s="4">
        <v>38565</v>
      </c>
      <c r="B69" s="5" t="e">
        <v>#N/A</v>
      </c>
      <c r="C69">
        <v>3.2296999999999998</v>
      </c>
      <c r="D69">
        <v>2.5</v>
      </c>
      <c r="E69" t="e">
        <v>#N/A</v>
      </c>
      <c r="F69">
        <v>8.6</v>
      </c>
      <c r="G69" s="6">
        <v>1346</v>
      </c>
      <c r="H69" t="e">
        <v>#N/A</v>
      </c>
      <c r="I69">
        <v>0.11329060792922974</v>
      </c>
      <c r="N69" t="e">
        <v>#N/A</v>
      </c>
      <c r="O69" t="e">
        <v>#N/A</v>
      </c>
      <c r="P69">
        <v>72.72</v>
      </c>
      <c r="Q69" s="4" t="e">
        <v>#N/A</v>
      </c>
    </row>
    <row r="70" spans="1:17" x14ac:dyDescent="0.2">
      <c r="A70" s="4">
        <v>38596</v>
      </c>
      <c r="B70" s="5" t="e">
        <v>#N/A</v>
      </c>
      <c r="C70">
        <v>3.0706000000000002</v>
      </c>
      <c r="D70">
        <v>2.6</v>
      </c>
      <c r="E70" t="e">
        <v>#N/A</v>
      </c>
      <c r="F70">
        <v>8.5</v>
      </c>
      <c r="G70" s="6">
        <v>1334</v>
      </c>
      <c r="H70" t="e">
        <v>#N/A</v>
      </c>
      <c r="I70">
        <v>9.6386946737766266E-2</v>
      </c>
      <c r="N70" t="e">
        <v>#N/A</v>
      </c>
      <c r="O70" t="e">
        <v>#N/A</v>
      </c>
      <c r="P70">
        <v>75.010000000000005</v>
      </c>
      <c r="Q70" s="4" t="e">
        <v>#N/A</v>
      </c>
    </row>
    <row r="71" spans="1:17" x14ac:dyDescent="0.2">
      <c r="A71" s="4">
        <v>38626</v>
      </c>
      <c r="B71" s="5">
        <v>92085</v>
      </c>
      <c r="C71">
        <v>3.242</v>
      </c>
      <c r="D71">
        <v>2.8</v>
      </c>
      <c r="E71">
        <v>35.700000000000003</v>
      </c>
      <c r="F71">
        <v>8.6</v>
      </c>
      <c r="G71" s="6">
        <v>1364</v>
      </c>
      <c r="H71" t="s">
        <v>27</v>
      </c>
      <c r="I71">
        <v>8.9054867625236511E-2</v>
      </c>
      <c r="N71">
        <v>109.6</v>
      </c>
      <c r="O71">
        <v>117221</v>
      </c>
      <c r="P71">
        <v>74.48</v>
      </c>
      <c r="Q71" s="4" t="e">
        <v>#N/A</v>
      </c>
    </row>
    <row r="72" spans="1:17" x14ac:dyDescent="0.2">
      <c r="A72" s="4">
        <v>38657</v>
      </c>
      <c r="B72" s="5" t="e">
        <v>#N/A</v>
      </c>
      <c r="C72">
        <v>3.4775</v>
      </c>
      <c r="D72">
        <v>2.9</v>
      </c>
      <c r="E72" t="e">
        <v>#N/A</v>
      </c>
      <c r="F72">
        <v>8.6999999999999993</v>
      </c>
      <c r="G72" s="6">
        <v>1399</v>
      </c>
      <c r="H72" t="e">
        <v>#N/A</v>
      </c>
      <c r="I72">
        <v>8.2344688475131989E-2</v>
      </c>
      <c r="N72" t="e">
        <v>#N/A</v>
      </c>
      <c r="O72" t="e">
        <v>#N/A</v>
      </c>
      <c r="P72">
        <v>72.28</v>
      </c>
      <c r="Q72" s="4" t="s">
        <v>32</v>
      </c>
    </row>
    <row r="73" spans="1:17" x14ac:dyDescent="0.2">
      <c r="A73" s="4">
        <v>38687</v>
      </c>
      <c r="B73" s="5" t="e">
        <v>#N/A</v>
      </c>
      <c r="C73">
        <v>3.3852000000000002</v>
      </c>
      <c r="D73">
        <v>3.2</v>
      </c>
      <c r="E73" t="e">
        <v>#N/A</v>
      </c>
      <c r="F73">
        <v>8.8000000000000007</v>
      </c>
      <c r="G73" s="6">
        <v>1421</v>
      </c>
      <c r="H73" t="e">
        <v>#N/A</v>
      </c>
      <c r="I73">
        <v>8.780457079410553E-2</v>
      </c>
      <c r="N73" t="e">
        <v>#N/A</v>
      </c>
      <c r="O73" t="e">
        <v>#N/A</v>
      </c>
      <c r="P73">
        <v>70.94</v>
      </c>
      <c r="Q73" s="4" t="e">
        <v>#N/A</v>
      </c>
    </row>
    <row r="74" spans="1:17" x14ac:dyDescent="0.2">
      <c r="A74" s="4">
        <v>38718</v>
      </c>
      <c r="B74" s="5">
        <v>93149</v>
      </c>
      <c r="C74">
        <v>3.3544999999999998</v>
      </c>
      <c r="D74">
        <v>3.2</v>
      </c>
      <c r="E74">
        <v>35.1</v>
      </c>
      <c r="F74">
        <v>8.8000000000000007</v>
      </c>
      <c r="G74" s="6">
        <v>1438</v>
      </c>
      <c r="H74" t="s">
        <v>27</v>
      </c>
      <c r="I74">
        <v>8.3102494478225708E-2</v>
      </c>
      <c r="N74">
        <v>111.3</v>
      </c>
      <c r="O74">
        <v>110498</v>
      </c>
      <c r="P74">
        <v>73.459999999999994</v>
      </c>
      <c r="Q74" s="4" t="e">
        <v>#N/A</v>
      </c>
    </row>
    <row r="75" spans="1:17" x14ac:dyDescent="0.2">
      <c r="A75" s="4">
        <v>38749</v>
      </c>
      <c r="B75" s="5" t="e">
        <v>#N/A</v>
      </c>
      <c r="C75">
        <v>3.4973999999999998</v>
      </c>
      <c r="D75">
        <v>3.1</v>
      </c>
      <c r="E75" t="e">
        <v>#N/A</v>
      </c>
      <c r="F75">
        <v>8.6999999999999993</v>
      </c>
      <c r="G75" s="6">
        <v>1438</v>
      </c>
      <c r="H75" t="e">
        <v>#N/A</v>
      </c>
      <c r="I75">
        <v>0.10825612396001816</v>
      </c>
      <c r="N75" t="e">
        <v>#N/A</v>
      </c>
      <c r="O75" t="e">
        <v>#N/A</v>
      </c>
      <c r="P75">
        <v>73.95</v>
      </c>
      <c r="Q75" s="4" t="e">
        <v>#N/A</v>
      </c>
    </row>
    <row r="76" spans="1:17" x14ac:dyDescent="0.2">
      <c r="A76" s="4">
        <v>38777</v>
      </c>
      <c r="B76" s="5" t="e">
        <v>#N/A</v>
      </c>
      <c r="C76">
        <v>3.6791</v>
      </c>
      <c r="D76">
        <v>3.1</v>
      </c>
      <c r="E76" t="e">
        <v>#N/A</v>
      </c>
      <c r="F76">
        <v>8.6999999999999993</v>
      </c>
      <c r="G76" s="6">
        <v>1432</v>
      </c>
      <c r="H76" t="e">
        <v>#N/A</v>
      </c>
      <c r="I76">
        <v>0.10616929829120636</v>
      </c>
      <c r="N76" t="e">
        <v>#N/A</v>
      </c>
      <c r="O76" t="e">
        <v>#N/A</v>
      </c>
      <c r="P76">
        <v>74.36</v>
      </c>
      <c r="Q76" s="4" t="e">
        <v>#N/A</v>
      </c>
    </row>
    <row r="77" spans="1:17" x14ac:dyDescent="0.2">
      <c r="A77" s="4">
        <v>38808</v>
      </c>
      <c r="B77" s="5">
        <v>94861</v>
      </c>
      <c r="C77">
        <v>3.9405999999999999</v>
      </c>
      <c r="D77">
        <v>3.1</v>
      </c>
      <c r="E77">
        <v>33.799999999999997</v>
      </c>
      <c r="F77">
        <v>8.6</v>
      </c>
      <c r="G77" s="6">
        <v>1407</v>
      </c>
      <c r="H77" t="s">
        <v>27</v>
      </c>
      <c r="I77">
        <v>8.1476606428623199E-2</v>
      </c>
      <c r="N77">
        <v>111.2</v>
      </c>
      <c r="O77">
        <v>118594</v>
      </c>
      <c r="P77">
        <v>76.64</v>
      </c>
      <c r="Q77" s="4" t="e">
        <v>#N/A</v>
      </c>
    </row>
    <row r="78" spans="1:17" x14ac:dyDescent="0.2">
      <c r="A78" s="4">
        <v>38838</v>
      </c>
      <c r="B78" s="5" t="e">
        <v>#N/A</v>
      </c>
      <c r="C78">
        <v>3.9916</v>
      </c>
      <c r="D78">
        <v>3.1</v>
      </c>
      <c r="E78" t="e">
        <v>#N/A</v>
      </c>
      <c r="F78">
        <v>8.5</v>
      </c>
      <c r="G78" s="6">
        <v>1389</v>
      </c>
      <c r="H78" t="e">
        <v>#N/A</v>
      </c>
      <c r="I78">
        <v>6.2846027314662933E-2</v>
      </c>
      <c r="N78" t="e">
        <v>#N/A</v>
      </c>
      <c r="O78" t="e">
        <v>#N/A</v>
      </c>
      <c r="P78">
        <v>77.92</v>
      </c>
      <c r="Q78" s="4" t="e">
        <v>#N/A</v>
      </c>
    </row>
    <row r="79" spans="1:17" x14ac:dyDescent="0.2">
      <c r="A79" s="4">
        <v>38869</v>
      </c>
      <c r="B79" s="5" t="e">
        <v>#N/A</v>
      </c>
      <c r="C79">
        <v>3.9927999999999999</v>
      </c>
      <c r="D79">
        <v>3.2</v>
      </c>
      <c r="E79" t="e">
        <v>#N/A</v>
      </c>
      <c r="F79">
        <v>8.4</v>
      </c>
      <c r="G79" s="6">
        <v>1378</v>
      </c>
      <c r="H79" t="e">
        <v>#N/A</v>
      </c>
      <c r="I79">
        <v>9.6708878874778748E-2</v>
      </c>
      <c r="N79" t="e">
        <v>#N/A</v>
      </c>
      <c r="O79" t="e">
        <v>#N/A</v>
      </c>
      <c r="P79">
        <v>77.36</v>
      </c>
      <c r="Q79" s="4" t="e">
        <v>#N/A</v>
      </c>
    </row>
    <row r="80" spans="1:17" x14ac:dyDescent="0.2">
      <c r="A80" s="4">
        <v>38899</v>
      </c>
      <c r="B80" s="5">
        <v>98131</v>
      </c>
      <c r="C80">
        <v>4.0129000000000001</v>
      </c>
      <c r="D80">
        <v>3.4</v>
      </c>
      <c r="E80">
        <v>33.700000000000003</v>
      </c>
      <c r="F80">
        <v>8.3000000000000007</v>
      </c>
      <c r="G80" s="6">
        <v>1379</v>
      </c>
      <c r="H80" t="s">
        <v>27</v>
      </c>
      <c r="I80">
        <v>0.1143437922000885</v>
      </c>
      <c r="N80">
        <v>112.7</v>
      </c>
      <c r="O80">
        <v>115954</v>
      </c>
      <c r="P80">
        <v>78.489999999999995</v>
      </c>
      <c r="Q80" s="4" t="e">
        <v>#N/A</v>
      </c>
    </row>
    <row r="81" spans="1:17" x14ac:dyDescent="0.2">
      <c r="A81" s="4">
        <v>38930</v>
      </c>
      <c r="B81" s="5" t="e">
        <v>#N/A</v>
      </c>
      <c r="C81">
        <v>3.8816000000000002</v>
      </c>
      <c r="D81">
        <v>3.3</v>
      </c>
      <c r="E81" t="e">
        <v>#N/A</v>
      </c>
      <c r="F81">
        <v>8.3000000000000007</v>
      </c>
      <c r="G81" s="6">
        <v>1379</v>
      </c>
      <c r="H81" t="e">
        <v>#N/A</v>
      </c>
      <c r="I81">
        <v>0.16458514332771301</v>
      </c>
      <c r="N81" t="e">
        <v>#N/A</v>
      </c>
      <c r="O81" t="e">
        <v>#N/A</v>
      </c>
      <c r="P81">
        <v>78.650000000000006</v>
      </c>
      <c r="Q81" s="4" t="e">
        <v>#N/A</v>
      </c>
    </row>
    <row r="82" spans="1:17" x14ac:dyDescent="0.2">
      <c r="A82" s="4">
        <v>38961</v>
      </c>
      <c r="B82" s="5" t="e">
        <v>#N/A</v>
      </c>
      <c r="C82">
        <v>3.7572000000000001</v>
      </c>
      <c r="D82">
        <v>3.2</v>
      </c>
      <c r="E82" t="e">
        <v>#N/A</v>
      </c>
      <c r="F82">
        <v>8.1999999999999993</v>
      </c>
      <c r="G82" s="6">
        <v>1366</v>
      </c>
      <c r="H82" t="e">
        <v>#N/A</v>
      </c>
      <c r="I82">
        <v>0.12748520076274872</v>
      </c>
      <c r="N82" t="e">
        <v>#N/A</v>
      </c>
      <c r="O82" t="e">
        <v>#N/A</v>
      </c>
      <c r="P82">
        <v>75.66</v>
      </c>
      <c r="Q82" s="4" t="e">
        <v>#N/A</v>
      </c>
    </row>
    <row r="83" spans="1:17" x14ac:dyDescent="0.2">
      <c r="A83" s="4">
        <v>38991</v>
      </c>
      <c r="B83" s="5">
        <v>99616</v>
      </c>
      <c r="C83">
        <v>3.8220000000000001</v>
      </c>
      <c r="D83">
        <v>3.1</v>
      </c>
      <c r="E83">
        <v>32.5</v>
      </c>
      <c r="F83">
        <v>8.1999999999999993</v>
      </c>
      <c r="G83" s="6">
        <v>1367</v>
      </c>
      <c r="H83" t="s">
        <v>27</v>
      </c>
      <c r="I83">
        <v>8.334573358297348E-2</v>
      </c>
      <c r="N83">
        <v>112.5</v>
      </c>
      <c r="O83">
        <v>126912</v>
      </c>
      <c r="P83">
        <v>73.040000000000006</v>
      </c>
      <c r="Q83" s="4" t="e">
        <v>#N/A</v>
      </c>
    </row>
    <row r="84" spans="1:17" x14ac:dyDescent="0.2">
      <c r="A84" s="4">
        <v>39022</v>
      </c>
      <c r="B84" s="5" t="e">
        <v>#N/A</v>
      </c>
      <c r="C84">
        <v>3.7692000000000001</v>
      </c>
      <c r="D84">
        <v>2.9</v>
      </c>
      <c r="E84" t="e">
        <v>#N/A</v>
      </c>
      <c r="F84">
        <v>8.3000000000000007</v>
      </c>
      <c r="G84" s="6">
        <v>1380</v>
      </c>
      <c r="H84" t="e">
        <v>#N/A</v>
      </c>
      <c r="I84">
        <v>9.4124794006347656E-2</v>
      </c>
      <c r="N84" t="e">
        <v>#N/A</v>
      </c>
      <c r="O84" t="e">
        <v>#N/A</v>
      </c>
      <c r="P84">
        <v>72.5</v>
      </c>
      <c r="Q84" s="4" t="e">
        <v>#N/A</v>
      </c>
    </row>
    <row r="85" spans="1:17" x14ac:dyDescent="0.2">
      <c r="A85" s="4">
        <v>39052</v>
      </c>
      <c r="B85" s="5" t="e">
        <v>#N/A</v>
      </c>
      <c r="C85">
        <v>3.8441999999999998</v>
      </c>
      <c r="D85">
        <v>2.7</v>
      </c>
      <c r="E85" t="e">
        <v>#N/A</v>
      </c>
      <c r="F85">
        <v>8.3000000000000007</v>
      </c>
      <c r="G85" s="6">
        <v>1393</v>
      </c>
      <c r="H85" t="e">
        <v>#N/A</v>
      </c>
      <c r="I85">
        <v>8.1269100308418274E-2</v>
      </c>
      <c r="N85" t="e">
        <v>#N/A</v>
      </c>
      <c r="O85" t="e">
        <v>#N/A</v>
      </c>
      <c r="P85">
        <v>72.78</v>
      </c>
      <c r="Q85" s="4" t="e">
        <v>#N/A</v>
      </c>
    </row>
    <row r="86" spans="1:17" x14ac:dyDescent="0.2">
      <c r="A86" s="4">
        <v>39083</v>
      </c>
      <c r="B86" s="5">
        <v>101900</v>
      </c>
      <c r="C86">
        <v>4.077</v>
      </c>
      <c r="D86">
        <v>2.8</v>
      </c>
      <c r="E86">
        <v>32.6</v>
      </c>
      <c r="F86">
        <v>8.3000000000000007</v>
      </c>
      <c r="G86" s="6">
        <v>1403</v>
      </c>
      <c r="H86" t="s">
        <v>27</v>
      </c>
      <c r="I86">
        <v>7.103150337934494E-2</v>
      </c>
      <c r="N86">
        <v>113.8</v>
      </c>
      <c r="O86">
        <v>119538</v>
      </c>
      <c r="P86">
        <v>72.56</v>
      </c>
      <c r="Q86" s="4" t="e">
        <v>#N/A</v>
      </c>
    </row>
    <row r="87" spans="1:17" x14ac:dyDescent="0.2">
      <c r="A87" s="4">
        <v>39114</v>
      </c>
      <c r="B87" s="5" t="e">
        <v>#N/A</v>
      </c>
      <c r="C87">
        <v>4.0964</v>
      </c>
      <c r="D87">
        <v>2.9</v>
      </c>
      <c r="E87" t="e">
        <v>#N/A</v>
      </c>
      <c r="F87">
        <v>8.1999999999999993</v>
      </c>
      <c r="G87" s="6">
        <v>1391</v>
      </c>
      <c r="H87" t="e">
        <v>#N/A</v>
      </c>
      <c r="I87">
        <v>0.11881188303232193</v>
      </c>
      <c r="N87" t="e">
        <v>#N/A</v>
      </c>
      <c r="O87" t="e">
        <v>#N/A</v>
      </c>
      <c r="P87">
        <v>72.680000000000007</v>
      </c>
      <c r="Q87" s="4" t="e">
        <v>#N/A</v>
      </c>
    </row>
    <row r="88" spans="1:17" x14ac:dyDescent="0.2">
      <c r="A88" s="4">
        <v>39142</v>
      </c>
      <c r="B88" s="5" t="e">
        <v>#N/A</v>
      </c>
      <c r="C88">
        <v>4.0041000000000002</v>
      </c>
      <c r="D88">
        <v>2.8</v>
      </c>
      <c r="E88" t="e">
        <v>#N/A</v>
      </c>
      <c r="F88">
        <v>8.1</v>
      </c>
      <c r="G88" s="6">
        <v>1372</v>
      </c>
      <c r="H88" t="e">
        <v>#N/A</v>
      </c>
      <c r="I88">
        <v>7.8066267073154449E-2</v>
      </c>
      <c r="N88" t="e">
        <v>#N/A</v>
      </c>
      <c r="O88" t="e">
        <v>#N/A</v>
      </c>
      <c r="P88">
        <v>74.14</v>
      </c>
      <c r="Q88" s="4" t="e">
        <v>#N/A</v>
      </c>
    </row>
    <row r="89" spans="1:17" x14ac:dyDescent="0.2">
      <c r="A89" s="4">
        <v>39173</v>
      </c>
      <c r="B89" s="5">
        <v>103926</v>
      </c>
      <c r="C89">
        <v>4.2133000000000003</v>
      </c>
      <c r="D89">
        <v>2.9</v>
      </c>
      <c r="E89">
        <v>32.200000000000003</v>
      </c>
      <c r="F89">
        <v>8</v>
      </c>
      <c r="G89" s="6">
        <v>1345</v>
      </c>
      <c r="H89" t="s">
        <v>27</v>
      </c>
      <c r="I89">
        <v>5.448368564248085E-2</v>
      </c>
      <c r="N89">
        <v>114.4</v>
      </c>
      <c r="O89">
        <v>128098</v>
      </c>
      <c r="P89">
        <v>75.53</v>
      </c>
      <c r="Q89" s="4" t="e">
        <v>#N/A</v>
      </c>
    </row>
    <row r="90" spans="1:17" x14ac:dyDescent="0.2">
      <c r="A90" s="4">
        <v>39203</v>
      </c>
      <c r="B90" s="5" t="e">
        <v>#N/A</v>
      </c>
      <c r="C90">
        <v>4.3460999999999999</v>
      </c>
      <c r="D90">
        <v>2.9</v>
      </c>
      <c r="E90" t="e">
        <v>#N/A</v>
      </c>
      <c r="F90">
        <v>7.9</v>
      </c>
      <c r="G90" s="6">
        <v>1330</v>
      </c>
      <c r="H90" t="e">
        <v>#N/A</v>
      </c>
      <c r="I90">
        <v>6.8137571215629578E-2</v>
      </c>
      <c r="N90" t="e">
        <v>#N/A</v>
      </c>
      <c r="O90" t="e">
        <v>#N/A</v>
      </c>
      <c r="P90">
        <v>76.650000000000006</v>
      </c>
      <c r="Q90" s="4" t="e">
        <v>#N/A</v>
      </c>
    </row>
    <row r="91" spans="1:17" x14ac:dyDescent="0.2">
      <c r="A91" s="4">
        <v>39234</v>
      </c>
      <c r="B91" s="5" t="e">
        <v>#N/A</v>
      </c>
      <c r="C91">
        <v>4.6246</v>
      </c>
      <c r="D91">
        <v>2.7</v>
      </c>
      <c r="E91" t="e">
        <v>#N/A</v>
      </c>
      <c r="F91">
        <v>8</v>
      </c>
      <c r="G91" s="6">
        <v>1337</v>
      </c>
      <c r="H91" t="e">
        <v>#N/A</v>
      </c>
      <c r="I91">
        <v>0.13947886228561401</v>
      </c>
      <c r="N91" t="e">
        <v>#N/A</v>
      </c>
      <c r="O91" t="e">
        <v>#N/A</v>
      </c>
      <c r="P91">
        <v>77.22</v>
      </c>
      <c r="Q91" s="4" t="e">
        <v>#N/A</v>
      </c>
    </row>
    <row r="92" spans="1:17" x14ac:dyDescent="0.2">
      <c r="A92" s="4">
        <v>39264</v>
      </c>
      <c r="B92" s="5">
        <v>105391</v>
      </c>
      <c r="C92">
        <v>4.5896999999999997</v>
      </c>
      <c r="D92">
        <v>2.7</v>
      </c>
      <c r="E92">
        <v>31.2</v>
      </c>
      <c r="F92">
        <v>8.1</v>
      </c>
      <c r="G92" s="6">
        <v>1361</v>
      </c>
      <c r="H92" t="s">
        <v>27</v>
      </c>
      <c r="I92">
        <v>0.13271614909172058</v>
      </c>
      <c r="N92">
        <v>115.3</v>
      </c>
      <c r="O92">
        <v>124754</v>
      </c>
      <c r="P92">
        <v>77.569999999999993</v>
      </c>
      <c r="Q92" s="4" t="e">
        <v>#N/A</v>
      </c>
    </row>
    <row r="93" spans="1:17" x14ac:dyDescent="0.2">
      <c r="A93" s="4">
        <v>39295</v>
      </c>
      <c r="B93" s="5" t="e">
        <v>#N/A</v>
      </c>
      <c r="C93">
        <v>4.3959999999999999</v>
      </c>
      <c r="D93">
        <v>2.7</v>
      </c>
      <c r="E93" t="e">
        <v>#N/A</v>
      </c>
      <c r="F93">
        <v>8.3000000000000007</v>
      </c>
      <c r="G93" s="6">
        <v>1396</v>
      </c>
      <c r="H93" t="e">
        <v>#N/A</v>
      </c>
      <c r="I93">
        <v>6.6651858389377594E-2</v>
      </c>
      <c r="N93" t="e">
        <v>#N/A</v>
      </c>
      <c r="O93" t="e">
        <v>#N/A</v>
      </c>
      <c r="P93">
        <v>76.959999999999994</v>
      </c>
      <c r="Q93" s="4" t="e">
        <v>#N/A</v>
      </c>
    </row>
    <row r="94" spans="1:17" x14ac:dyDescent="0.2">
      <c r="A94" s="4">
        <v>39326</v>
      </c>
      <c r="B94" s="5" t="e">
        <v>#N/A</v>
      </c>
      <c r="C94">
        <v>4.3502000000000001</v>
      </c>
      <c r="D94">
        <v>2.8</v>
      </c>
      <c r="E94" t="e">
        <v>#N/A</v>
      </c>
      <c r="F94">
        <v>8.3000000000000007</v>
      </c>
      <c r="G94" s="6">
        <v>1412</v>
      </c>
      <c r="H94" t="e">
        <v>#N/A</v>
      </c>
      <c r="I94">
        <v>9.6971973776817322E-2</v>
      </c>
      <c r="N94" t="e">
        <v>#N/A</v>
      </c>
      <c r="O94" t="e">
        <v>#N/A</v>
      </c>
      <c r="P94">
        <v>77.39</v>
      </c>
      <c r="Q94" s="4" t="e">
        <v>#N/A</v>
      </c>
    </row>
    <row r="95" spans="1:17" x14ac:dyDescent="0.2">
      <c r="A95" s="4">
        <v>39356</v>
      </c>
      <c r="B95" s="5">
        <v>110947</v>
      </c>
      <c r="C95">
        <v>4.3753000000000002</v>
      </c>
      <c r="D95">
        <v>3.3</v>
      </c>
      <c r="E95">
        <v>29.6</v>
      </c>
      <c r="F95">
        <v>8.4</v>
      </c>
      <c r="G95" s="6">
        <v>1448</v>
      </c>
      <c r="H95" t="s">
        <v>27</v>
      </c>
      <c r="I95">
        <v>6.5791353583335876E-2</v>
      </c>
      <c r="N95">
        <v>115.4</v>
      </c>
      <c r="O95">
        <v>136717</v>
      </c>
      <c r="P95">
        <v>78.13</v>
      </c>
      <c r="Q95" s="4" t="e">
        <v>#N/A</v>
      </c>
    </row>
    <row r="96" spans="1:17" x14ac:dyDescent="0.2">
      <c r="A96" s="4">
        <v>39387</v>
      </c>
      <c r="B96" s="5" t="e">
        <v>#N/A</v>
      </c>
      <c r="C96">
        <v>4.2419000000000002</v>
      </c>
      <c r="D96">
        <v>3.4</v>
      </c>
      <c r="E96" t="e">
        <v>#N/A</v>
      </c>
      <c r="F96">
        <v>8.6</v>
      </c>
      <c r="G96" s="6">
        <v>1489</v>
      </c>
      <c r="H96" t="e">
        <v>#N/A</v>
      </c>
      <c r="I96">
        <v>9.5868661999702454E-2</v>
      </c>
      <c r="N96" t="e">
        <v>#N/A</v>
      </c>
      <c r="O96" t="e">
        <v>#N/A</v>
      </c>
      <c r="P96">
        <v>80.209999999999994</v>
      </c>
      <c r="Q96" s="4" t="e">
        <v>#N/A</v>
      </c>
    </row>
    <row r="97" spans="1:17" x14ac:dyDescent="0.2">
      <c r="A97" s="4">
        <v>39417</v>
      </c>
      <c r="B97" s="5" t="e">
        <v>#N/A</v>
      </c>
      <c r="C97">
        <v>4.3604000000000003</v>
      </c>
      <c r="D97">
        <v>3.5</v>
      </c>
      <c r="E97" t="e">
        <v>#N/A</v>
      </c>
      <c r="F97">
        <v>8.8000000000000007</v>
      </c>
      <c r="G97" s="6">
        <v>1531</v>
      </c>
      <c r="H97" t="e">
        <v>#N/A</v>
      </c>
      <c r="I97">
        <v>0.11017855256795883</v>
      </c>
      <c r="N97" t="e">
        <v>#N/A</v>
      </c>
      <c r="O97" t="e">
        <v>#N/A</v>
      </c>
      <c r="P97">
        <v>81.08</v>
      </c>
      <c r="Q97" s="4" t="e">
        <v>#N/A</v>
      </c>
    </row>
    <row r="98" spans="1:17" x14ac:dyDescent="0.2">
      <c r="A98" s="4">
        <v>39448</v>
      </c>
      <c r="B98" s="5">
        <v>111883</v>
      </c>
      <c r="C98">
        <v>4.1734</v>
      </c>
      <c r="D98">
        <v>3.4</v>
      </c>
      <c r="E98">
        <v>29</v>
      </c>
      <c r="F98">
        <v>9.1</v>
      </c>
      <c r="G98" s="6">
        <v>1589</v>
      </c>
      <c r="H98" t="s">
        <v>27</v>
      </c>
      <c r="I98">
        <v>8.7192103266716003E-2</v>
      </c>
      <c r="N98">
        <v>116.2</v>
      </c>
      <c r="O98">
        <v>131025</v>
      </c>
      <c r="P98">
        <v>82.26</v>
      </c>
      <c r="Q98" s="4" t="e">
        <v>#N/A</v>
      </c>
    </row>
    <row r="99" spans="1:17" x14ac:dyDescent="0.2">
      <c r="A99" s="4">
        <v>39479</v>
      </c>
      <c r="B99" s="5" t="e">
        <v>#N/A</v>
      </c>
      <c r="C99">
        <v>4.1534000000000004</v>
      </c>
      <c r="D99">
        <v>3.5</v>
      </c>
      <c r="E99" t="e">
        <v>#N/A</v>
      </c>
      <c r="F99">
        <v>9.3000000000000007</v>
      </c>
      <c r="G99" s="6">
        <v>1637</v>
      </c>
      <c r="H99" t="e">
        <v>#N/A</v>
      </c>
      <c r="I99">
        <v>9.5356158912181854E-2</v>
      </c>
      <c r="N99" t="e">
        <v>#N/A</v>
      </c>
      <c r="O99" t="e">
        <v>#N/A</v>
      </c>
      <c r="P99">
        <v>82.29</v>
      </c>
      <c r="Q99" s="4" t="e">
        <v>#N/A</v>
      </c>
    </row>
    <row r="100" spans="1:17" x14ac:dyDescent="0.2">
      <c r="A100" s="4">
        <v>39508</v>
      </c>
      <c r="B100" s="5" t="e">
        <v>#N/A</v>
      </c>
      <c r="C100">
        <v>4.1821000000000002</v>
      </c>
      <c r="D100">
        <v>3.6</v>
      </c>
      <c r="E100" t="e">
        <v>#N/A</v>
      </c>
      <c r="F100">
        <v>9.5</v>
      </c>
      <c r="G100" s="6">
        <v>1659</v>
      </c>
      <c r="H100" t="e">
        <v>#N/A</v>
      </c>
      <c r="I100">
        <v>8.6703412234783173E-2</v>
      </c>
      <c r="N100" t="e">
        <v>#N/A</v>
      </c>
      <c r="O100" t="e">
        <v>#N/A</v>
      </c>
      <c r="P100">
        <v>84.57</v>
      </c>
      <c r="Q100" s="4" t="e">
        <v>#N/A</v>
      </c>
    </row>
    <row r="101" spans="1:17" x14ac:dyDescent="0.2">
      <c r="A101" s="4">
        <v>39539</v>
      </c>
      <c r="B101" s="5">
        <v>113877</v>
      </c>
      <c r="C101">
        <v>4.3539000000000003</v>
      </c>
      <c r="D101">
        <v>3.3</v>
      </c>
      <c r="E101">
        <v>29.3</v>
      </c>
      <c r="F101">
        <v>10</v>
      </c>
      <c r="G101" s="6">
        <v>1746</v>
      </c>
      <c r="H101" t="s">
        <v>27</v>
      </c>
      <c r="I101">
        <v>3.1669624149799347E-2</v>
      </c>
      <c r="N101">
        <v>116.3</v>
      </c>
      <c r="O101">
        <v>139117</v>
      </c>
      <c r="P101">
        <v>85.58</v>
      </c>
      <c r="Q101" s="4" t="e">
        <v>#N/A</v>
      </c>
    </row>
    <row r="102" spans="1:17" x14ac:dyDescent="0.2">
      <c r="A102" s="4">
        <v>39569</v>
      </c>
      <c r="B102" s="5" t="e">
        <v>#N/A</v>
      </c>
      <c r="C102">
        <v>4.4576000000000002</v>
      </c>
      <c r="D102">
        <v>3.4</v>
      </c>
      <c r="E102" t="e">
        <v>#N/A</v>
      </c>
      <c r="F102">
        <v>10.4</v>
      </c>
      <c r="G102" s="6">
        <v>1825</v>
      </c>
      <c r="H102" t="e">
        <v>#N/A</v>
      </c>
      <c r="I102">
        <v>7.0218287408351898E-2</v>
      </c>
      <c r="N102" t="e">
        <v>#N/A</v>
      </c>
      <c r="O102" t="e">
        <v>#N/A</v>
      </c>
      <c r="P102">
        <v>89.27</v>
      </c>
      <c r="Q102" s="4" t="e">
        <v>#N/A</v>
      </c>
    </row>
    <row r="103" spans="1:17" x14ac:dyDescent="0.2">
      <c r="A103" s="4">
        <v>39600</v>
      </c>
      <c r="B103" s="5" t="e">
        <v>#N/A</v>
      </c>
      <c r="C103">
        <v>4.8127000000000004</v>
      </c>
      <c r="D103">
        <v>3.6</v>
      </c>
      <c r="E103" t="e">
        <v>#N/A</v>
      </c>
      <c r="F103">
        <v>10.8</v>
      </c>
      <c r="G103" s="6">
        <v>1903</v>
      </c>
      <c r="H103" t="e">
        <v>#N/A</v>
      </c>
      <c r="I103">
        <v>7.828810065984726E-2</v>
      </c>
      <c r="N103" t="e">
        <v>#N/A</v>
      </c>
      <c r="O103" t="e">
        <v>#N/A</v>
      </c>
      <c r="P103">
        <v>91.99</v>
      </c>
      <c r="Q103" s="4" t="e">
        <v>#N/A</v>
      </c>
    </row>
    <row r="104" spans="1:17" x14ac:dyDescent="0.2">
      <c r="A104" s="4">
        <v>39630</v>
      </c>
      <c r="B104" s="5">
        <v>116275</v>
      </c>
      <c r="C104">
        <v>4.7937000000000003</v>
      </c>
      <c r="D104">
        <v>3.6</v>
      </c>
      <c r="E104">
        <v>30.6</v>
      </c>
      <c r="F104">
        <v>11.1</v>
      </c>
      <c r="G104" s="6">
        <v>1962</v>
      </c>
      <c r="H104" t="s">
        <v>27</v>
      </c>
      <c r="I104">
        <v>8.5868090391159058E-2</v>
      </c>
      <c r="N104">
        <v>114.9</v>
      </c>
      <c r="O104">
        <v>133582</v>
      </c>
      <c r="P104">
        <v>94.12</v>
      </c>
      <c r="Q104" s="4" t="e">
        <v>#N/A</v>
      </c>
    </row>
    <row r="105" spans="1:17" x14ac:dyDescent="0.2">
      <c r="A105" s="4">
        <v>39661</v>
      </c>
      <c r="B105" s="5" t="e">
        <v>#N/A</v>
      </c>
      <c r="C105">
        <v>4.5583</v>
      </c>
      <c r="D105">
        <v>3.6</v>
      </c>
      <c r="E105" t="e">
        <v>#N/A</v>
      </c>
      <c r="F105">
        <v>11.5</v>
      </c>
      <c r="G105" s="6">
        <v>2044</v>
      </c>
      <c r="H105" t="e">
        <v>#N/A</v>
      </c>
      <c r="I105">
        <v>5.6725282222032547E-2</v>
      </c>
      <c r="N105" t="e">
        <v>#N/A</v>
      </c>
      <c r="O105" t="e">
        <v>#N/A</v>
      </c>
      <c r="P105">
        <v>90.45</v>
      </c>
      <c r="Q105" s="4" t="e">
        <v>#N/A</v>
      </c>
    </row>
    <row r="106" spans="1:17" x14ac:dyDescent="0.2">
      <c r="A106" s="4">
        <v>39692</v>
      </c>
      <c r="B106" s="5" t="e">
        <v>#N/A</v>
      </c>
      <c r="C106">
        <v>4.5690999999999997</v>
      </c>
      <c r="D106">
        <v>3.5</v>
      </c>
      <c r="E106" t="e">
        <v>#N/A</v>
      </c>
      <c r="F106">
        <v>12</v>
      </c>
      <c r="G106" s="6">
        <v>2154</v>
      </c>
      <c r="H106" t="e">
        <v>#N/A</v>
      </c>
      <c r="I106">
        <v>8.7873458862304688E-2</v>
      </c>
      <c r="N106" t="e">
        <v>#N/A</v>
      </c>
      <c r="O106" t="e">
        <v>#N/A</v>
      </c>
      <c r="P106">
        <v>88.81</v>
      </c>
      <c r="Q106" s="4" t="e">
        <v>#N/A</v>
      </c>
    </row>
    <row r="107" spans="1:17" x14ac:dyDescent="0.2">
      <c r="A107" s="4">
        <v>39722</v>
      </c>
      <c r="B107" s="5">
        <v>117778</v>
      </c>
      <c r="C107">
        <v>4.468</v>
      </c>
      <c r="D107">
        <v>3</v>
      </c>
      <c r="E107">
        <v>33.200000000000003</v>
      </c>
      <c r="F107">
        <v>12.9</v>
      </c>
      <c r="G107" s="6">
        <v>2325</v>
      </c>
      <c r="H107" t="s">
        <v>27</v>
      </c>
      <c r="I107">
        <v>8.4348641335964203E-2</v>
      </c>
      <c r="N107">
        <v>114.6</v>
      </c>
      <c r="O107">
        <v>141502</v>
      </c>
      <c r="P107">
        <v>85.42</v>
      </c>
      <c r="Q107" s="4" t="e">
        <v>#N/A</v>
      </c>
    </row>
    <row r="108" spans="1:17" x14ac:dyDescent="0.2">
      <c r="A108" s="4">
        <v>39753</v>
      </c>
      <c r="B108" s="5" t="e">
        <v>#N/A</v>
      </c>
      <c r="C108">
        <v>4.1375999999999999</v>
      </c>
      <c r="D108">
        <v>2.7</v>
      </c>
      <c r="E108" t="e">
        <v>#N/A</v>
      </c>
      <c r="F108">
        <v>13.8</v>
      </c>
      <c r="G108" s="6">
        <v>2511</v>
      </c>
      <c r="H108" t="e">
        <v>#N/A</v>
      </c>
      <c r="I108">
        <v>8.4470875561237335E-2</v>
      </c>
      <c r="N108" t="e">
        <v>#N/A</v>
      </c>
      <c r="O108" t="e">
        <v>#N/A</v>
      </c>
      <c r="P108">
        <v>79.87</v>
      </c>
      <c r="Q108" s="4" t="e">
        <v>#N/A</v>
      </c>
    </row>
    <row r="109" spans="1:17" x14ac:dyDescent="0.2">
      <c r="A109" s="4">
        <v>39783</v>
      </c>
      <c r="B109" s="5" t="e">
        <v>#N/A</v>
      </c>
      <c r="C109">
        <v>3.8791000000000002</v>
      </c>
      <c r="D109">
        <v>2.4</v>
      </c>
      <c r="E109" t="e">
        <v>#N/A</v>
      </c>
      <c r="F109">
        <v>14.8</v>
      </c>
      <c r="G109" s="6">
        <v>2714</v>
      </c>
      <c r="H109" t="e">
        <v>#N/A</v>
      </c>
      <c r="I109">
        <v>5.9659197926521301E-2</v>
      </c>
      <c r="N109" t="e">
        <v>#N/A</v>
      </c>
      <c r="O109" t="e">
        <v>#N/A</v>
      </c>
      <c r="P109">
        <v>75.31</v>
      </c>
      <c r="Q109" s="4" t="e">
        <v>#N/A</v>
      </c>
    </row>
    <row r="110" spans="1:17" x14ac:dyDescent="0.2">
      <c r="A110" s="4">
        <v>39814</v>
      </c>
      <c r="B110" s="5">
        <v>121067</v>
      </c>
      <c r="C110">
        <v>4.1247999999999996</v>
      </c>
      <c r="D110">
        <v>1.9</v>
      </c>
      <c r="E110">
        <v>36.200000000000003</v>
      </c>
      <c r="F110">
        <v>15.9</v>
      </c>
      <c r="G110" s="6">
        <v>2918</v>
      </c>
      <c r="H110">
        <v>18.8</v>
      </c>
      <c r="I110">
        <v>7.9477518796920776E-2</v>
      </c>
      <c r="N110">
        <v>110.1</v>
      </c>
      <c r="O110">
        <v>128552</v>
      </c>
      <c r="P110">
        <v>74.709999999999994</v>
      </c>
      <c r="Q110" s="4" t="s">
        <v>33</v>
      </c>
    </row>
    <row r="111" spans="1:17" x14ac:dyDescent="0.2">
      <c r="A111" s="4">
        <v>39845</v>
      </c>
      <c r="B111" s="5" t="e">
        <v>#N/A</v>
      </c>
      <c r="C111">
        <v>4.2866999999999997</v>
      </c>
      <c r="D111">
        <v>1.6</v>
      </c>
      <c r="E111" t="e">
        <v>#N/A</v>
      </c>
      <c r="F111">
        <v>16.8</v>
      </c>
      <c r="G111" s="6">
        <v>3098</v>
      </c>
      <c r="H111" t="e">
        <v>#N/A</v>
      </c>
      <c r="I111">
        <v>6.7689530551433563E-2</v>
      </c>
      <c r="N111" t="e">
        <v>#N/A</v>
      </c>
      <c r="O111" t="e">
        <v>#N/A</v>
      </c>
      <c r="P111">
        <v>75.69</v>
      </c>
      <c r="Q111" s="4" t="e">
        <v>#N/A</v>
      </c>
    </row>
    <row r="112" spans="1:17" x14ac:dyDescent="0.2">
      <c r="A112" s="4">
        <v>39873</v>
      </c>
      <c r="B112" s="5" t="e">
        <v>#N/A</v>
      </c>
      <c r="C112">
        <v>4.0979999999999999</v>
      </c>
      <c r="D112">
        <v>1.2</v>
      </c>
      <c r="E112" t="e">
        <v>#N/A</v>
      </c>
      <c r="F112">
        <v>17.5</v>
      </c>
      <c r="G112" s="6">
        <v>3226</v>
      </c>
      <c r="H112" t="e">
        <v>#N/A</v>
      </c>
      <c r="I112">
        <v>4.8574004322290421E-2</v>
      </c>
      <c r="N112" t="e">
        <v>#N/A</v>
      </c>
      <c r="O112" t="e">
        <v>#N/A</v>
      </c>
      <c r="P112">
        <v>74.88</v>
      </c>
      <c r="Q112" s="4" t="e">
        <v>#N/A</v>
      </c>
    </row>
    <row r="113" spans="1:17" x14ac:dyDescent="0.2">
      <c r="A113" s="4">
        <v>39904</v>
      </c>
      <c r="B113" s="5">
        <v>123882</v>
      </c>
      <c r="C113">
        <v>4.0537999999999998</v>
      </c>
      <c r="D113">
        <v>1.2</v>
      </c>
      <c r="E113">
        <v>39.6</v>
      </c>
      <c r="F113">
        <v>17.8</v>
      </c>
      <c r="G113" s="6">
        <v>3281</v>
      </c>
      <c r="H113">
        <v>21.7</v>
      </c>
      <c r="I113">
        <v>7.5910933315753937E-2</v>
      </c>
      <c r="N113">
        <v>108.7</v>
      </c>
      <c r="O113">
        <v>135363</v>
      </c>
      <c r="P113">
        <v>75.069999999999993</v>
      </c>
      <c r="Q113" s="4" t="e">
        <v>#N/A</v>
      </c>
    </row>
    <row r="114" spans="1:17" x14ac:dyDescent="0.2">
      <c r="A114" s="4">
        <v>39934</v>
      </c>
      <c r="B114" s="5" t="e">
        <v>#N/A</v>
      </c>
      <c r="C114">
        <v>4.1059999999999999</v>
      </c>
      <c r="D114">
        <v>0.8</v>
      </c>
      <c r="E114" t="e">
        <v>#N/A</v>
      </c>
      <c r="F114">
        <v>17.899999999999999</v>
      </c>
      <c r="G114" s="6">
        <v>3303</v>
      </c>
      <c r="H114" t="e">
        <v>#N/A</v>
      </c>
      <c r="I114">
        <v>6.1133485287427902E-2</v>
      </c>
      <c r="N114" t="e">
        <v>#N/A</v>
      </c>
      <c r="O114" t="e">
        <v>#N/A</v>
      </c>
      <c r="P114">
        <v>75.739999999999995</v>
      </c>
      <c r="Q114" s="4" t="e">
        <v>#N/A</v>
      </c>
    </row>
    <row r="115" spans="1:17" x14ac:dyDescent="0.2">
      <c r="A115" s="4">
        <v>39965</v>
      </c>
      <c r="B115" s="5" t="e">
        <v>#N/A</v>
      </c>
      <c r="C115">
        <v>4.3182</v>
      </c>
      <c r="D115">
        <v>0.6</v>
      </c>
      <c r="E115" t="e">
        <v>#N/A</v>
      </c>
      <c r="F115">
        <v>17.899999999999999</v>
      </c>
      <c r="G115" s="6">
        <v>3300</v>
      </c>
      <c r="H115" t="e">
        <v>#N/A</v>
      </c>
      <c r="I115">
        <v>7.5202107429504395E-2</v>
      </c>
      <c r="N115" t="e">
        <v>#N/A</v>
      </c>
      <c r="O115" t="e">
        <v>#N/A</v>
      </c>
      <c r="P115">
        <v>79.06</v>
      </c>
      <c r="Q115" s="4" t="e">
        <v>#N/A</v>
      </c>
    </row>
    <row r="116" spans="1:17" x14ac:dyDescent="0.2">
      <c r="A116" s="4">
        <v>39995</v>
      </c>
      <c r="B116" s="5">
        <v>124816</v>
      </c>
      <c r="C116">
        <v>4.0518000000000001</v>
      </c>
      <c r="D116">
        <v>0.4</v>
      </c>
      <c r="E116">
        <v>42.1</v>
      </c>
      <c r="F116">
        <v>18</v>
      </c>
      <c r="G116" s="6">
        <v>3290</v>
      </c>
      <c r="H116">
        <v>25.2</v>
      </c>
      <c r="I116">
        <v>5.3492281585931778E-2</v>
      </c>
      <c r="N116">
        <v>108.1</v>
      </c>
      <c r="O116">
        <v>129117</v>
      </c>
      <c r="P116">
        <v>79.28</v>
      </c>
      <c r="Q116" s="4" t="e">
        <v>#N/A</v>
      </c>
    </row>
    <row r="117" spans="1:17" x14ac:dyDescent="0.2">
      <c r="A117" s="4">
        <v>40026</v>
      </c>
      <c r="B117" s="5" t="e">
        <v>#N/A</v>
      </c>
      <c r="C117">
        <v>3.8448000000000002</v>
      </c>
      <c r="D117">
        <v>0.3</v>
      </c>
      <c r="E117" t="e">
        <v>#N/A</v>
      </c>
      <c r="F117">
        <v>18.2</v>
      </c>
      <c r="G117" s="6">
        <v>3334</v>
      </c>
      <c r="H117" t="e">
        <v>#N/A</v>
      </c>
      <c r="I117">
        <v>2.8008962050080299E-2</v>
      </c>
      <c r="N117" t="e">
        <v>#N/A</v>
      </c>
      <c r="O117" t="e">
        <v>#N/A</v>
      </c>
      <c r="P117">
        <v>81.260000000000005</v>
      </c>
      <c r="Q117" s="4" t="e">
        <v>#N/A</v>
      </c>
    </row>
    <row r="118" spans="1:17" x14ac:dyDescent="0.2">
      <c r="A118" s="4">
        <v>40057</v>
      </c>
      <c r="B118" s="5" t="e">
        <v>#N/A</v>
      </c>
      <c r="C118">
        <v>3.8599000000000001</v>
      </c>
      <c r="D118">
        <v>0.1</v>
      </c>
      <c r="E118" t="e">
        <v>#N/A</v>
      </c>
      <c r="F118">
        <v>18.399999999999999</v>
      </c>
      <c r="G118" s="6">
        <v>3399</v>
      </c>
      <c r="H118" t="e">
        <v>#N/A</v>
      </c>
      <c r="I118">
        <v>6.8287871778011322E-2</v>
      </c>
      <c r="N118" t="e">
        <v>#N/A</v>
      </c>
      <c r="O118" t="e">
        <v>#N/A</v>
      </c>
      <c r="P118">
        <v>79.86</v>
      </c>
      <c r="Q118" s="4" t="e">
        <v>#N/A</v>
      </c>
    </row>
    <row r="119" spans="1:17" x14ac:dyDescent="0.2">
      <c r="A119" s="4">
        <v>40087</v>
      </c>
      <c r="B119" s="5">
        <v>124588</v>
      </c>
      <c r="C119">
        <v>3.8182999999999998</v>
      </c>
      <c r="D119">
        <v>0</v>
      </c>
      <c r="E119">
        <v>45.4</v>
      </c>
      <c r="F119">
        <v>18.600000000000001</v>
      </c>
      <c r="G119" s="6">
        <v>3469</v>
      </c>
      <c r="H119">
        <v>28.8</v>
      </c>
      <c r="I119">
        <v>5.3339023143053055E-2</v>
      </c>
      <c r="N119">
        <v>107.6</v>
      </c>
      <c r="O119">
        <v>138621</v>
      </c>
      <c r="P119">
        <v>79.849999999999994</v>
      </c>
      <c r="Q119" s="4" t="e">
        <v>#N/A</v>
      </c>
    </row>
    <row r="120" spans="1:17" x14ac:dyDescent="0.2">
      <c r="A120" s="4">
        <v>40118</v>
      </c>
      <c r="B120" s="5" t="e">
        <v>#N/A</v>
      </c>
      <c r="C120">
        <v>3.8249</v>
      </c>
      <c r="D120">
        <v>0.1</v>
      </c>
      <c r="E120" t="e">
        <v>#N/A</v>
      </c>
      <c r="F120">
        <v>18.7</v>
      </c>
      <c r="G120" s="6">
        <v>3515</v>
      </c>
      <c r="H120" t="e">
        <v>#N/A</v>
      </c>
      <c r="I120">
        <v>4.5743908733129501E-2</v>
      </c>
      <c r="N120" t="e">
        <v>#N/A</v>
      </c>
      <c r="O120" t="e">
        <v>#N/A</v>
      </c>
      <c r="P120">
        <v>81.400000000000006</v>
      </c>
      <c r="Q120" s="4" t="e">
        <v>#N/A</v>
      </c>
    </row>
    <row r="121" spans="1:17" x14ac:dyDescent="0.2">
      <c r="A121" s="4">
        <v>40148</v>
      </c>
      <c r="B121" s="5" t="e">
        <v>#N/A</v>
      </c>
      <c r="C121">
        <v>3.8408000000000002</v>
      </c>
      <c r="D121">
        <v>0.1</v>
      </c>
      <c r="E121" t="e">
        <v>#N/A</v>
      </c>
      <c r="F121">
        <v>18.899999999999999</v>
      </c>
      <c r="G121" s="6">
        <v>3566</v>
      </c>
      <c r="H121" t="e">
        <v>#N/A</v>
      </c>
      <c r="I121">
        <v>8.0456994473934174E-2</v>
      </c>
      <c r="N121" t="e">
        <v>#N/A</v>
      </c>
      <c r="O121" t="e">
        <v>#N/A</v>
      </c>
      <c r="P121">
        <v>80.89</v>
      </c>
      <c r="Q121" s="4" t="s">
        <v>34</v>
      </c>
    </row>
    <row r="122" spans="1:17" x14ac:dyDescent="0.2">
      <c r="A122" s="4">
        <v>40179</v>
      </c>
      <c r="B122" s="5">
        <v>124858</v>
      </c>
      <c r="C122">
        <v>4.032</v>
      </c>
      <c r="D122">
        <v>-0.5</v>
      </c>
      <c r="E122">
        <v>46.5</v>
      </c>
      <c r="F122">
        <v>19.100000000000001</v>
      </c>
      <c r="G122" s="6">
        <v>3599</v>
      </c>
      <c r="H122">
        <v>32.9</v>
      </c>
      <c r="I122">
        <v>3.3272948116064072E-2</v>
      </c>
      <c r="N122">
        <v>106.2</v>
      </c>
      <c r="O122">
        <v>126810</v>
      </c>
      <c r="P122">
        <v>83.13</v>
      </c>
      <c r="Q122" s="4" t="e">
        <v>#N/A</v>
      </c>
    </row>
    <row r="123" spans="1:17" x14ac:dyDescent="0.2">
      <c r="A123" s="4">
        <v>40210</v>
      </c>
      <c r="B123" s="5" t="e">
        <v>#N/A</v>
      </c>
      <c r="C123">
        <v>4.0251999999999999</v>
      </c>
      <c r="D123">
        <v>-0.6</v>
      </c>
      <c r="E123" t="e">
        <v>#N/A</v>
      </c>
      <c r="F123">
        <v>19.2</v>
      </c>
      <c r="G123" s="6">
        <v>3639</v>
      </c>
      <c r="H123" t="e">
        <v>#N/A</v>
      </c>
      <c r="I123">
        <v>6.1896961182355881E-2</v>
      </c>
      <c r="N123" t="e">
        <v>#N/A</v>
      </c>
      <c r="O123" t="e">
        <v>#N/A</v>
      </c>
      <c r="P123">
        <v>83.13</v>
      </c>
      <c r="Q123" s="4" t="e">
        <v>#N/A</v>
      </c>
    </row>
    <row r="124" spans="1:17" x14ac:dyDescent="0.2">
      <c r="A124" s="4">
        <v>40238</v>
      </c>
      <c r="B124" s="5" t="e">
        <v>#N/A</v>
      </c>
      <c r="C124">
        <v>3.8559000000000001</v>
      </c>
      <c r="D124">
        <v>1.4</v>
      </c>
      <c r="E124" t="e">
        <v>#N/A</v>
      </c>
      <c r="F124">
        <v>19.399999999999999</v>
      </c>
      <c r="G124" s="6">
        <v>3693</v>
      </c>
      <c r="H124" t="e">
        <v>#N/A</v>
      </c>
      <c r="I124">
        <v>4.0727667510509491E-2</v>
      </c>
      <c r="N124" t="e">
        <v>#N/A</v>
      </c>
      <c r="O124" t="e">
        <v>#N/A</v>
      </c>
      <c r="P124">
        <v>85.19</v>
      </c>
      <c r="Q124" s="4" t="e">
        <v>#N/A</v>
      </c>
    </row>
    <row r="125" spans="1:17" x14ac:dyDescent="0.2">
      <c r="A125" s="4">
        <v>40269</v>
      </c>
      <c r="B125" s="5">
        <v>123844</v>
      </c>
      <c r="C125">
        <v>3.9249999999999998</v>
      </c>
      <c r="D125">
        <v>0.8</v>
      </c>
      <c r="E125">
        <v>48</v>
      </c>
      <c r="F125">
        <v>19.8</v>
      </c>
      <c r="G125" s="6">
        <v>3764</v>
      </c>
      <c r="H125">
        <v>36.1</v>
      </c>
      <c r="I125">
        <v>9.6099086105823517E-2</v>
      </c>
      <c r="N125">
        <v>107.4</v>
      </c>
      <c r="O125">
        <v>135675</v>
      </c>
      <c r="P125">
        <v>87.52</v>
      </c>
      <c r="Q125" s="4" t="s">
        <v>35</v>
      </c>
    </row>
    <row r="126" spans="1:17" x14ac:dyDescent="0.2">
      <c r="A126" s="4">
        <v>40299</v>
      </c>
      <c r="B126" s="5" t="e">
        <v>#N/A</v>
      </c>
      <c r="C126">
        <v>4.1220999999999997</v>
      </c>
      <c r="D126">
        <v>0.9</v>
      </c>
      <c r="E126" t="e">
        <v>#N/A</v>
      </c>
      <c r="F126">
        <v>20</v>
      </c>
      <c r="G126" s="6">
        <v>3801</v>
      </c>
      <c r="H126" t="e">
        <v>#N/A</v>
      </c>
      <c r="I126">
        <v>0.12283335626125336</v>
      </c>
      <c r="N126" t="e">
        <v>#N/A</v>
      </c>
      <c r="O126" t="e">
        <v>#N/A</v>
      </c>
      <c r="P126">
        <v>88.09</v>
      </c>
      <c r="Q126" s="4" t="s">
        <v>28</v>
      </c>
    </row>
    <row r="127" spans="1:17" x14ac:dyDescent="0.2">
      <c r="A127" s="4">
        <v>40330</v>
      </c>
      <c r="B127" s="5" t="e">
        <v>#N/A</v>
      </c>
      <c r="C127">
        <v>4.5934999999999997</v>
      </c>
      <c r="D127">
        <v>1.1000000000000001</v>
      </c>
      <c r="E127" t="e">
        <v>#N/A</v>
      </c>
      <c r="F127">
        <v>20.100000000000001</v>
      </c>
      <c r="G127" s="6">
        <v>3822</v>
      </c>
      <c r="H127" t="e">
        <v>#N/A</v>
      </c>
      <c r="I127">
        <v>7.9119369387626648E-2</v>
      </c>
      <c r="N127" t="e">
        <v>#N/A</v>
      </c>
      <c r="O127" t="e">
        <v>#N/A</v>
      </c>
      <c r="P127">
        <v>87.63</v>
      </c>
      <c r="Q127" s="4" t="s">
        <v>36</v>
      </c>
    </row>
    <row r="128" spans="1:17" x14ac:dyDescent="0.2">
      <c r="A128" s="4">
        <v>40360</v>
      </c>
      <c r="B128" s="5">
        <v>123661</v>
      </c>
      <c r="C128">
        <v>4.4743000000000004</v>
      </c>
      <c r="D128">
        <v>0.6</v>
      </c>
      <c r="E128">
        <v>49.2</v>
      </c>
      <c r="F128">
        <v>19.899999999999999</v>
      </c>
      <c r="G128" s="6">
        <v>3808</v>
      </c>
      <c r="H128">
        <v>37.700000000000003</v>
      </c>
      <c r="I128">
        <v>9.1439828276634216E-2</v>
      </c>
      <c r="N128">
        <v>106.1</v>
      </c>
      <c r="O128">
        <v>128668</v>
      </c>
      <c r="P128">
        <v>88.6</v>
      </c>
      <c r="Q128" s="4" t="e">
        <v>#N/A</v>
      </c>
    </row>
    <row r="129" spans="1:17" x14ac:dyDescent="0.2">
      <c r="A129" s="4">
        <v>40391</v>
      </c>
      <c r="B129" s="5" t="e">
        <v>#N/A</v>
      </c>
      <c r="C129">
        <v>4.1036999999999999</v>
      </c>
      <c r="D129">
        <v>0.7</v>
      </c>
      <c r="E129" t="e">
        <v>#N/A</v>
      </c>
      <c r="F129">
        <v>20</v>
      </c>
      <c r="G129" s="6">
        <v>3831</v>
      </c>
      <c r="H129" t="e">
        <v>#N/A</v>
      </c>
      <c r="I129">
        <v>6.3830584287643433E-2</v>
      </c>
      <c r="N129" t="e">
        <v>#N/A</v>
      </c>
      <c r="O129" t="e">
        <v>#N/A</v>
      </c>
      <c r="P129">
        <v>88.46</v>
      </c>
      <c r="Q129" s="4" t="e">
        <v>#N/A</v>
      </c>
    </row>
    <row r="130" spans="1:17" x14ac:dyDescent="0.2">
      <c r="A130" s="4">
        <v>40422</v>
      </c>
      <c r="B130" s="5" t="e">
        <v>#N/A</v>
      </c>
      <c r="C130">
        <v>4.1327999999999996</v>
      </c>
      <c r="D130">
        <v>1.8</v>
      </c>
      <c r="E130" t="e">
        <v>#N/A</v>
      </c>
      <c r="F130">
        <v>20.100000000000001</v>
      </c>
      <c r="G130" s="6">
        <v>3841</v>
      </c>
      <c r="H130" t="e">
        <v>#N/A</v>
      </c>
      <c r="I130">
        <v>7.3850050568580627E-2</v>
      </c>
      <c r="N130" t="e">
        <v>#N/A</v>
      </c>
      <c r="O130" t="e">
        <v>#N/A</v>
      </c>
      <c r="P130">
        <v>88.67</v>
      </c>
      <c r="Q130" s="4" t="s">
        <v>37</v>
      </c>
    </row>
    <row r="131" spans="1:17" x14ac:dyDescent="0.2">
      <c r="A131" s="4">
        <v>40452</v>
      </c>
      <c r="B131" s="5">
        <v>121454</v>
      </c>
      <c r="C131">
        <v>4.0685000000000002</v>
      </c>
      <c r="D131">
        <v>1.4</v>
      </c>
      <c r="E131">
        <v>51.2</v>
      </c>
      <c r="F131">
        <v>20.100000000000001</v>
      </c>
      <c r="G131" s="6">
        <v>3836</v>
      </c>
      <c r="H131">
        <v>39.799999999999997</v>
      </c>
      <c r="I131">
        <v>3.9455514401197433E-2</v>
      </c>
      <c r="N131">
        <v>104.9</v>
      </c>
      <c r="O131">
        <v>137662</v>
      </c>
      <c r="P131">
        <v>89.87</v>
      </c>
      <c r="Q131" s="4" t="e">
        <v>#N/A</v>
      </c>
    </row>
    <row r="132" spans="1:17" x14ac:dyDescent="0.2">
      <c r="A132" s="4">
        <v>40483</v>
      </c>
      <c r="B132" s="5" t="e">
        <v>#N/A</v>
      </c>
      <c r="C132">
        <v>4.7038000000000002</v>
      </c>
      <c r="D132">
        <v>1.2</v>
      </c>
      <c r="E132" t="e">
        <v>#N/A</v>
      </c>
      <c r="F132">
        <v>20.2</v>
      </c>
      <c r="G132" s="6">
        <v>3852</v>
      </c>
      <c r="H132" t="e">
        <v>#N/A</v>
      </c>
      <c r="I132">
        <v>0.11529995501041412</v>
      </c>
      <c r="N132" t="e">
        <v>#N/A</v>
      </c>
      <c r="O132" t="e">
        <v>#N/A</v>
      </c>
      <c r="P132">
        <v>90.93</v>
      </c>
      <c r="Q132" s="4" t="e">
        <v>#N/A</v>
      </c>
    </row>
    <row r="133" spans="1:17" x14ac:dyDescent="0.2">
      <c r="A133" s="4">
        <v>40513</v>
      </c>
      <c r="B133" s="5" t="e">
        <v>#N/A</v>
      </c>
      <c r="C133">
        <v>5.4160000000000004</v>
      </c>
      <c r="D133">
        <v>1.4</v>
      </c>
      <c r="E133" t="e">
        <v>#N/A</v>
      </c>
      <c r="F133">
        <v>20.399999999999999</v>
      </c>
      <c r="G133" s="6">
        <v>3890</v>
      </c>
      <c r="H133" t="e">
        <v>#N/A</v>
      </c>
      <c r="I133">
        <v>9.4414442777633667E-2</v>
      </c>
      <c r="N133" t="e">
        <v>#N/A</v>
      </c>
      <c r="O133" t="e">
        <v>#N/A</v>
      </c>
      <c r="P133">
        <v>93.48</v>
      </c>
      <c r="Q133" s="4" t="s">
        <v>38</v>
      </c>
    </row>
    <row r="134" spans="1:17" x14ac:dyDescent="0.2">
      <c r="A134" s="4">
        <v>40544</v>
      </c>
      <c r="B134" s="5">
        <v>123624</v>
      </c>
      <c r="C134">
        <v>5.3963999999999999</v>
      </c>
      <c r="D134">
        <v>1.3</v>
      </c>
      <c r="E134">
        <v>54.1</v>
      </c>
      <c r="F134">
        <v>20.399999999999999</v>
      </c>
      <c r="G134" s="6">
        <v>3896</v>
      </c>
      <c r="H134">
        <v>40.799999999999997</v>
      </c>
      <c r="I134">
        <v>5.7924844324588776E-2</v>
      </c>
      <c r="N134">
        <v>105.7</v>
      </c>
      <c r="O134">
        <v>124554</v>
      </c>
      <c r="P134">
        <v>97.76</v>
      </c>
      <c r="Q134" s="4" t="e">
        <v>#N/A</v>
      </c>
    </row>
    <row r="135" spans="1:17" x14ac:dyDescent="0.2">
      <c r="A135" s="4">
        <v>40575</v>
      </c>
      <c r="B135" s="5" t="e">
        <v>#N/A</v>
      </c>
      <c r="C135">
        <v>5.3164999999999996</v>
      </c>
      <c r="D135">
        <v>1.6</v>
      </c>
      <c r="E135" t="e">
        <v>#N/A</v>
      </c>
      <c r="F135">
        <v>20.5</v>
      </c>
      <c r="G135" s="6">
        <v>3909</v>
      </c>
      <c r="H135" t="e">
        <v>#N/A</v>
      </c>
      <c r="I135">
        <v>7.3492437601089478E-2</v>
      </c>
      <c r="N135" t="e">
        <v>#N/A</v>
      </c>
      <c r="O135" t="e">
        <v>#N/A</v>
      </c>
      <c r="P135">
        <v>98.91</v>
      </c>
      <c r="Q135" s="4" t="e">
        <v>#N/A</v>
      </c>
    </row>
    <row r="136" spans="1:17" x14ac:dyDescent="0.2">
      <c r="A136" s="4">
        <v>40603</v>
      </c>
      <c r="B136" s="5" t="e">
        <v>#N/A</v>
      </c>
      <c r="C136">
        <v>5.2858999999999998</v>
      </c>
      <c r="D136">
        <v>1.5</v>
      </c>
      <c r="E136" t="e">
        <v>#N/A</v>
      </c>
      <c r="F136">
        <v>20.6</v>
      </c>
      <c r="G136" s="6">
        <v>3934</v>
      </c>
      <c r="H136" t="e">
        <v>#N/A</v>
      </c>
      <c r="I136">
        <v>0.13974380493164062</v>
      </c>
      <c r="N136" t="e">
        <v>#N/A</v>
      </c>
      <c r="O136" t="e">
        <v>#N/A</v>
      </c>
      <c r="P136">
        <v>101.26</v>
      </c>
      <c r="Q136" s="4" t="s">
        <v>39</v>
      </c>
    </row>
    <row r="137" spans="1:17" x14ac:dyDescent="0.2">
      <c r="A137" s="4">
        <v>40634</v>
      </c>
      <c r="B137" s="5">
        <v>121989</v>
      </c>
      <c r="C137">
        <v>5.3552999999999997</v>
      </c>
      <c r="D137">
        <v>1.9</v>
      </c>
      <c r="E137">
        <v>55.3</v>
      </c>
      <c r="F137">
        <v>20.6</v>
      </c>
      <c r="G137" s="6">
        <v>3937</v>
      </c>
      <c r="H137">
        <v>40.700000000000003</v>
      </c>
      <c r="I137">
        <v>7.8714802861213684E-2</v>
      </c>
      <c r="N137">
        <v>104.1</v>
      </c>
      <c r="O137">
        <v>132861</v>
      </c>
      <c r="P137">
        <v>102.96</v>
      </c>
      <c r="Q137" s="4" t="e">
        <v>#N/A</v>
      </c>
    </row>
    <row r="138" spans="1:17" x14ac:dyDescent="0.2">
      <c r="A138" s="4">
        <v>40664</v>
      </c>
      <c r="B138" s="5" t="e">
        <v>#N/A</v>
      </c>
      <c r="C138">
        <v>5.3278999999999996</v>
      </c>
      <c r="D138">
        <v>2</v>
      </c>
      <c r="E138" t="e">
        <v>#N/A</v>
      </c>
      <c r="F138">
        <v>20.7</v>
      </c>
      <c r="G138" s="6">
        <v>3968</v>
      </c>
      <c r="H138" t="e">
        <v>#N/A</v>
      </c>
      <c r="I138">
        <v>7.8546181321144104E-2</v>
      </c>
      <c r="N138" t="e">
        <v>#N/A</v>
      </c>
      <c r="O138" t="e">
        <v>#N/A</v>
      </c>
      <c r="P138">
        <v>101.58</v>
      </c>
      <c r="Q138" s="4" t="e">
        <v>#N/A</v>
      </c>
    </row>
    <row r="139" spans="1:17" x14ac:dyDescent="0.2">
      <c r="A139" s="4">
        <v>40695</v>
      </c>
      <c r="B139" s="5" t="e">
        <v>#N/A</v>
      </c>
      <c r="C139">
        <v>5.4962</v>
      </c>
      <c r="D139">
        <v>1.6</v>
      </c>
      <c r="E139" t="e">
        <v>#N/A</v>
      </c>
      <c r="F139">
        <v>21</v>
      </c>
      <c r="G139" s="6">
        <v>4037</v>
      </c>
      <c r="H139" t="e">
        <v>#N/A</v>
      </c>
      <c r="I139">
        <v>6.1210528016090393E-2</v>
      </c>
      <c r="N139" t="e">
        <v>#N/A</v>
      </c>
      <c r="O139" t="e">
        <v>#N/A</v>
      </c>
      <c r="P139">
        <v>101.07</v>
      </c>
      <c r="Q139" s="4" t="e">
        <v>#N/A</v>
      </c>
    </row>
    <row r="140" spans="1:17" x14ac:dyDescent="0.2">
      <c r="A140" s="4">
        <v>40725</v>
      </c>
      <c r="B140" s="5">
        <v>121396</v>
      </c>
      <c r="C140">
        <v>5.8634000000000004</v>
      </c>
      <c r="D140">
        <v>1.5</v>
      </c>
      <c r="E140">
        <v>55.7</v>
      </c>
      <c r="F140">
        <v>21.4</v>
      </c>
      <c r="G140" s="6">
        <v>4110</v>
      </c>
      <c r="H140">
        <v>41.7</v>
      </c>
      <c r="I140">
        <v>4.0560472756624222E-2</v>
      </c>
      <c r="N140">
        <v>103.5</v>
      </c>
      <c r="O140">
        <v>125139</v>
      </c>
      <c r="P140">
        <v>102.72</v>
      </c>
      <c r="Q140" s="4" t="s">
        <v>40</v>
      </c>
    </row>
    <row r="141" spans="1:17" x14ac:dyDescent="0.2">
      <c r="A141" s="4">
        <v>40756</v>
      </c>
      <c r="B141" s="5" t="e">
        <v>#N/A</v>
      </c>
      <c r="C141">
        <v>5.2880000000000003</v>
      </c>
      <c r="D141">
        <v>1.3</v>
      </c>
      <c r="E141" t="e">
        <v>#N/A</v>
      </c>
      <c r="F141">
        <v>21.7</v>
      </c>
      <c r="G141" s="6">
        <v>4180</v>
      </c>
      <c r="H141" t="e">
        <v>#N/A</v>
      </c>
      <c r="I141">
        <v>4.8712857067584991E-2</v>
      </c>
      <c r="N141" t="e">
        <v>#N/A</v>
      </c>
      <c r="O141" t="e">
        <v>#N/A</v>
      </c>
      <c r="P141">
        <v>101.96</v>
      </c>
      <c r="Q141" s="4" t="e">
        <v>#N/A</v>
      </c>
    </row>
    <row r="142" spans="1:17" x14ac:dyDescent="0.2">
      <c r="A142" s="4">
        <v>40787</v>
      </c>
      <c r="B142" s="5" t="e">
        <v>#N/A</v>
      </c>
      <c r="C142">
        <v>5.2481999999999998</v>
      </c>
      <c r="D142">
        <v>1.5</v>
      </c>
      <c r="E142" t="e">
        <v>#N/A</v>
      </c>
      <c r="F142">
        <v>22.1</v>
      </c>
      <c r="G142" s="6">
        <v>4261</v>
      </c>
      <c r="H142" t="e">
        <v>#N/A</v>
      </c>
      <c r="I142">
        <v>4.2613636702299118E-2</v>
      </c>
      <c r="N142" t="e">
        <v>#N/A</v>
      </c>
      <c r="O142" t="e">
        <v>#N/A</v>
      </c>
      <c r="P142">
        <v>102.75</v>
      </c>
      <c r="Q142" s="4" t="e">
        <v>#N/A</v>
      </c>
    </row>
    <row r="143" spans="1:17" x14ac:dyDescent="0.2">
      <c r="A143" s="4">
        <v>40817</v>
      </c>
      <c r="B143" s="5">
        <v>123899</v>
      </c>
      <c r="C143">
        <v>5.2942999999999998</v>
      </c>
      <c r="D143">
        <v>1.6</v>
      </c>
      <c r="E143">
        <v>58.4</v>
      </c>
      <c r="F143">
        <v>22.4</v>
      </c>
      <c r="G143" s="6">
        <v>4337</v>
      </c>
      <c r="H143">
        <v>42.8</v>
      </c>
      <c r="I143">
        <v>5.6189641356468201E-2</v>
      </c>
      <c r="N143">
        <v>102.3</v>
      </c>
      <c r="O143">
        <v>133186</v>
      </c>
      <c r="P143">
        <v>102.87</v>
      </c>
      <c r="Q143" s="4" t="s">
        <v>41</v>
      </c>
    </row>
    <row r="144" spans="1:17" x14ac:dyDescent="0.2">
      <c r="A144" s="4">
        <v>40848</v>
      </c>
      <c r="B144" s="5" t="e">
        <v>#N/A</v>
      </c>
      <c r="C144">
        <v>6.1890999999999998</v>
      </c>
      <c r="D144">
        <v>1.6</v>
      </c>
      <c r="E144" t="e">
        <v>#N/A</v>
      </c>
      <c r="F144">
        <v>22.7</v>
      </c>
      <c r="G144" s="6">
        <v>4398</v>
      </c>
      <c r="H144" t="e">
        <v>#N/A</v>
      </c>
      <c r="I144">
        <v>6.4045540988445282E-2</v>
      </c>
      <c r="N144" t="e">
        <v>#N/A</v>
      </c>
      <c r="O144" t="e">
        <v>#N/A</v>
      </c>
      <c r="P144">
        <v>103.43</v>
      </c>
      <c r="Q144" s="4" t="s">
        <v>41</v>
      </c>
    </row>
    <row r="145" spans="1:17" x14ac:dyDescent="0.2">
      <c r="A145" s="4">
        <v>40878</v>
      </c>
      <c r="B145" s="5" t="e">
        <v>#N/A</v>
      </c>
      <c r="C145">
        <v>5.4531999999999998</v>
      </c>
      <c r="D145">
        <v>1.4</v>
      </c>
      <c r="E145" t="e">
        <v>#N/A</v>
      </c>
      <c r="F145">
        <v>22.9</v>
      </c>
      <c r="G145" s="6">
        <v>4461</v>
      </c>
      <c r="H145" t="e">
        <v>#N/A</v>
      </c>
      <c r="I145">
        <v>0.14453065395355225</v>
      </c>
      <c r="N145" t="e">
        <v>#N/A</v>
      </c>
      <c r="O145" t="e">
        <v>#N/A</v>
      </c>
      <c r="P145">
        <v>103.13</v>
      </c>
      <c r="Q145" s="4" t="s">
        <v>42</v>
      </c>
    </row>
    <row r="146" spans="1:17" x14ac:dyDescent="0.2">
      <c r="A146" s="4">
        <v>40909</v>
      </c>
      <c r="B146" s="5">
        <v>122506</v>
      </c>
      <c r="C146">
        <v>5.4013999999999998</v>
      </c>
      <c r="D146">
        <v>1.2</v>
      </c>
      <c r="E146">
        <v>61.8</v>
      </c>
      <c r="F146">
        <v>23.2</v>
      </c>
      <c r="G146" s="6">
        <v>4531</v>
      </c>
      <c r="H146">
        <v>42.5</v>
      </c>
      <c r="I146">
        <v>0.15230311453342438</v>
      </c>
      <c r="N146">
        <v>100.8</v>
      </c>
      <c r="O146">
        <v>119367</v>
      </c>
      <c r="P146">
        <v>105.52</v>
      </c>
      <c r="Q146" s="4" t="s">
        <v>43</v>
      </c>
    </row>
    <row r="147" spans="1:17" x14ac:dyDescent="0.2">
      <c r="A147" s="4">
        <v>40940</v>
      </c>
      <c r="B147" s="5" t="e">
        <v>#N/A</v>
      </c>
      <c r="C147">
        <v>5.1375999999999999</v>
      </c>
      <c r="D147">
        <v>1.1000000000000001</v>
      </c>
      <c r="E147" t="e">
        <v>#N/A</v>
      </c>
      <c r="F147">
        <v>23.6</v>
      </c>
      <c r="G147" s="6">
        <v>4605</v>
      </c>
      <c r="H147" t="e">
        <v>#N/A</v>
      </c>
      <c r="I147">
        <v>8.7602362036705017E-2</v>
      </c>
      <c r="N147" t="e">
        <v>#N/A</v>
      </c>
      <c r="O147" t="e">
        <v>#N/A</v>
      </c>
      <c r="P147">
        <v>106.66</v>
      </c>
      <c r="Q147" s="4" t="s">
        <v>44</v>
      </c>
    </row>
    <row r="148" spans="1:17" x14ac:dyDescent="0.2">
      <c r="A148" s="4">
        <v>40969</v>
      </c>
      <c r="B148" s="5" t="e">
        <v>#N/A</v>
      </c>
      <c r="C148">
        <v>5.1917999999999997</v>
      </c>
      <c r="D148">
        <v>1</v>
      </c>
      <c r="E148" t="e">
        <v>#N/A</v>
      </c>
      <c r="F148">
        <v>23.9</v>
      </c>
      <c r="G148" s="6">
        <v>4660</v>
      </c>
      <c r="H148" t="e">
        <v>#N/A</v>
      </c>
      <c r="I148">
        <v>7.9315811395645142E-2</v>
      </c>
      <c r="N148" t="e">
        <v>#N/A</v>
      </c>
      <c r="O148" t="e">
        <v>#N/A</v>
      </c>
      <c r="P148">
        <v>108.88</v>
      </c>
      <c r="Q148" s="4" t="e">
        <v>#N/A</v>
      </c>
    </row>
    <row r="149" spans="1:17" x14ac:dyDescent="0.2">
      <c r="A149" s="4">
        <v>41000</v>
      </c>
      <c r="B149" s="5">
        <v>123866</v>
      </c>
      <c r="C149">
        <v>5.8228999999999997</v>
      </c>
      <c r="D149">
        <v>1.1000000000000001</v>
      </c>
      <c r="E149">
        <v>64.8</v>
      </c>
      <c r="F149">
        <v>24.2</v>
      </c>
      <c r="G149" s="6">
        <v>4729</v>
      </c>
      <c r="H149">
        <v>43.9</v>
      </c>
      <c r="I149">
        <v>7.5886927545070648E-2</v>
      </c>
      <c r="N149">
        <v>99.3</v>
      </c>
      <c r="O149">
        <v>125813</v>
      </c>
      <c r="P149">
        <v>112.07</v>
      </c>
      <c r="Q149" s="4" t="s">
        <v>45</v>
      </c>
    </row>
    <row r="150" spans="1:17" x14ac:dyDescent="0.2">
      <c r="A150" s="4">
        <v>41030</v>
      </c>
      <c r="B150" s="5" t="e">
        <v>#N/A</v>
      </c>
      <c r="C150">
        <v>6.16</v>
      </c>
      <c r="D150">
        <v>1.1000000000000001</v>
      </c>
      <c r="E150" t="e">
        <v>#N/A</v>
      </c>
      <c r="F150">
        <v>24.6</v>
      </c>
      <c r="G150" s="6">
        <v>4805</v>
      </c>
      <c r="H150" t="e">
        <v>#N/A</v>
      </c>
      <c r="I150">
        <v>4.6965319663286209E-2</v>
      </c>
      <c r="N150" t="e">
        <v>#N/A</v>
      </c>
      <c r="O150" t="e">
        <v>#N/A</v>
      </c>
      <c r="P150">
        <v>109.95</v>
      </c>
      <c r="Q150" s="4" t="e">
        <v>#N/A</v>
      </c>
    </row>
    <row r="151" spans="1:17" x14ac:dyDescent="0.2">
      <c r="A151" s="4">
        <v>41061</v>
      </c>
      <c r="B151" s="5" t="e">
        <v>#N/A</v>
      </c>
      <c r="C151">
        <v>6.6380999999999997</v>
      </c>
      <c r="D151">
        <v>1.3</v>
      </c>
      <c r="E151" t="e">
        <v>#N/A</v>
      </c>
      <c r="F151">
        <v>24.8</v>
      </c>
      <c r="G151" s="6">
        <v>4847</v>
      </c>
      <c r="H151" t="e">
        <v>#N/A</v>
      </c>
      <c r="I151">
        <v>5.6110426783561707E-2</v>
      </c>
      <c r="N151" t="e">
        <v>#N/A</v>
      </c>
      <c r="O151" t="e">
        <v>#N/A</v>
      </c>
      <c r="P151">
        <v>107.36</v>
      </c>
      <c r="Q151" s="4" t="s">
        <v>46</v>
      </c>
    </row>
    <row r="152" spans="1:17" x14ac:dyDescent="0.2">
      <c r="A152" s="4">
        <v>41091</v>
      </c>
      <c r="B152" s="5">
        <v>123550</v>
      </c>
      <c r="C152">
        <v>6.8650000000000002</v>
      </c>
      <c r="D152">
        <v>1.4</v>
      </c>
      <c r="E152">
        <v>66.599999999999994</v>
      </c>
      <c r="F152">
        <v>25</v>
      </c>
      <c r="G152" s="6">
        <v>4915</v>
      </c>
      <c r="H152">
        <v>44.6</v>
      </c>
      <c r="I152">
        <v>5.3910430520772934E-2</v>
      </c>
      <c r="N152">
        <v>98.5</v>
      </c>
      <c r="O152">
        <v>117780</v>
      </c>
      <c r="P152">
        <v>110.76</v>
      </c>
      <c r="Q152" s="4" t="e">
        <v>#N/A</v>
      </c>
    </row>
    <row r="153" spans="1:17" x14ac:dyDescent="0.2">
      <c r="A153" s="4">
        <v>41122</v>
      </c>
      <c r="B153" s="5" t="e">
        <v>#N/A</v>
      </c>
      <c r="C153">
        <v>6.6612999999999998</v>
      </c>
      <c r="D153">
        <v>1.5</v>
      </c>
      <c r="E153" t="e">
        <v>#N/A</v>
      </c>
      <c r="F153">
        <v>25.2</v>
      </c>
      <c r="G153" s="6">
        <v>4953</v>
      </c>
      <c r="H153" t="e">
        <v>#N/A</v>
      </c>
      <c r="I153">
        <v>4.8579968512058258E-2</v>
      </c>
      <c r="N153" t="e">
        <v>#N/A</v>
      </c>
      <c r="O153" t="e">
        <v>#N/A</v>
      </c>
      <c r="P153">
        <v>114.07</v>
      </c>
      <c r="Q153" s="4" t="e">
        <v>#N/A</v>
      </c>
    </row>
    <row r="154" spans="1:17" x14ac:dyDescent="0.2">
      <c r="A154" s="4">
        <v>41153</v>
      </c>
      <c r="B154" s="5" t="e">
        <v>#N/A</v>
      </c>
      <c r="C154">
        <v>5.9467999999999996</v>
      </c>
      <c r="D154">
        <v>2.1</v>
      </c>
      <c r="E154" t="e">
        <v>#N/A</v>
      </c>
      <c r="F154">
        <v>25.4</v>
      </c>
      <c r="G154" s="6">
        <v>4997</v>
      </c>
      <c r="H154" t="e">
        <v>#N/A</v>
      </c>
      <c r="I154">
        <v>4.7643478959798813E-2</v>
      </c>
      <c r="N154" t="e">
        <v>#N/A</v>
      </c>
      <c r="O154" t="e">
        <v>#N/A</v>
      </c>
      <c r="P154">
        <v>116.47</v>
      </c>
      <c r="Q154" s="4" t="e">
        <v>#N/A</v>
      </c>
    </row>
    <row r="155" spans="1:17" x14ac:dyDescent="0.2">
      <c r="A155" s="4">
        <v>41183</v>
      </c>
      <c r="B155" s="5">
        <v>140014</v>
      </c>
      <c r="C155">
        <v>5.6811999999999996</v>
      </c>
      <c r="D155">
        <v>2.5</v>
      </c>
      <c r="E155">
        <v>77.099999999999994</v>
      </c>
      <c r="F155">
        <v>25.7</v>
      </c>
      <c r="G155" s="6">
        <v>5030</v>
      </c>
      <c r="H155">
        <v>46.5</v>
      </c>
      <c r="I155">
        <v>5.931612104177475E-2</v>
      </c>
      <c r="N155">
        <v>97</v>
      </c>
      <c r="O155">
        <v>120991</v>
      </c>
      <c r="P155">
        <v>114.38</v>
      </c>
      <c r="Q155" s="4" t="s">
        <v>47</v>
      </c>
    </row>
    <row r="156" spans="1:17" x14ac:dyDescent="0.2">
      <c r="A156" s="4">
        <v>41214</v>
      </c>
      <c r="B156" s="5" t="e">
        <v>#N/A</v>
      </c>
      <c r="C156">
        <v>5.7084999999999999</v>
      </c>
      <c r="D156">
        <v>2.4</v>
      </c>
      <c r="E156" t="e">
        <v>#N/A</v>
      </c>
      <c r="F156">
        <v>25.9</v>
      </c>
      <c r="G156" s="6">
        <v>5095</v>
      </c>
      <c r="H156" t="e">
        <v>#N/A</v>
      </c>
      <c r="I156">
        <v>3.5482384264469147E-2</v>
      </c>
      <c r="N156" t="e">
        <v>#N/A</v>
      </c>
      <c r="O156" t="e">
        <v>#N/A</v>
      </c>
      <c r="P156">
        <v>111.24</v>
      </c>
      <c r="Q156" s="4" t="e">
        <v>#N/A</v>
      </c>
    </row>
    <row r="157" spans="1:17" x14ac:dyDescent="0.2">
      <c r="A157" s="4">
        <v>41244</v>
      </c>
      <c r="B157" s="5" t="e">
        <v>#N/A</v>
      </c>
      <c r="C157">
        <v>5.3601000000000001</v>
      </c>
      <c r="D157">
        <v>2.4</v>
      </c>
      <c r="E157" t="e">
        <v>#N/A</v>
      </c>
      <c r="F157">
        <v>26</v>
      </c>
      <c r="G157" s="6">
        <v>5093</v>
      </c>
      <c r="H157" t="e">
        <v>#N/A</v>
      </c>
      <c r="I157">
        <v>4.6598322689533234E-2</v>
      </c>
      <c r="N157" t="e">
        <v>#N/A</v>
      </c>
      <c r="O157" t="e">
        <v>#N/A</v>
      </c>
      <c r="P157">
        <v>110.93</v>
      </c>
      <c r="Q157" s="4" t="e">
        <v>#N/A</v>
      </c>
    </row>
    <row r="158" spans="1:17" x14ac:dyDescent="0.2">
      <c r="A158" s="4">
        <v>41275</v>
      </c>
      <c r="B158" s="5">
        <v>118720</v>
      </c>
      <c r="C158">
        <v>5.0857000000000001</v>
      </c>
      <c r="D158">
        <v>2.5</v>
      </c>
      <c r="E158">
        <v>84.3</v>
      </c>
      <c r="F158">
        <v>26.2</v>
      </c>
      <c r="G158" s="6">
        <v>5141</v>
      </c>
      <c r="H158">
        <v>47.7</v>
      </c>
      <c r="I158">
        <v>4.7704670578241348E-2</v>
      </c>
      <c r="N158">
        <v>96.5</v>
      </c>
      <c r="O158">
        <v>113512</v>
      </c>
      <c r="P158">
        <v>111.07</v>
      </c>
      <c r="Q158" s="4" t="e">
        <v>#N/A</v>
      </c>
    </row>
    <row r="159" spans="1:17" x14ac:dyDescent="0.2">
      <c r="A159" s="4">
        <v>41306</v>
      </c>
      <c r="B159" s="5" t="e">
        <v>#N/A</v>
      </c>
      <c r="C159">
        <v>5.2716000000000003</v>
      </c>
      <c r="D159">
        <v>2.5</v>
      </c>
      <c r="E159" t="e">
        <v>#N/A</v>
      </c>
      <c r="F159">
        <v>26.4</v>
      </c>
      <c r="G159" s="6">
        <v>5168</v>
      </c>
      <c r="H159" t="e">
        <v>#N/A</v>
      </c>
      <c r="I159">
        <v>5.9206631034612656E-2</v>
      </c>
      <c r="N159" t="e">
        <v>#N/A</v>
      </c>
      <c r="O159" t="e">
        <v>#N/A</v>
      </c>
      <c r="P159">
        <v>112.98</v>
      </c>
      <c r="Q159" s="4" t="e">
        <v>#N/A</v>
      </c>
    </row>
    <row r="160" spans="1:17" x14ac:dyDescent="0.2">
      <c r="A160" s="4">
        <v>41334</v>
      </c>
      <c r="B160" s="5" t="e">
        <v>#N/A</v>
      </c>
      <c r="C160">
        <v>4.9345999999999997</v>
      </c>
      <c r="D160">
        <v>2.5</v>
      </c>
      <c r="E160" t="e">
        <v>#N/A</v>
      </c>
      <c r="F160">
        <v>26.3</v>
      </c>
      <c r="G160" s="6">
        <v>5159</v>
      </c>
      <c r="H160" t="e">
        <v>#N/A</v>
      </c>
      <c r="I160">
        <v>2.4820934981107712E-2</v>
      </c>
      <c r="N160" t="e">
        <v>#N/A</v>
      </c>
      <c r="O160" t="e">
        <v>#N/A</v>
      </c>
      <c r="P160">
        <v>112.32</v>
      </c>
      <c r="Q160" s="4" t="s">
        <v>48</v>
      </c>
    </row>
    <row r="161" spans="1:17" x14ac:dyDescent="0.2">
      <c r="A161" s="4">
        <v>41365</v>
      </c>
      <c r="B161" s="5">
        <v>118661</v>
      </c>
      <c r="C161">
        <v>4.59</v>
      </c>
      <c r="D161">
        <v>2.1</v>
      </c>
      <c r="E161">
        <v>86.2</v>
      </c>
      <c r="F161">
        <v>26.3</v>
      </c>
      <c r="G161" s="6">
        <v>5140</v>
      </c>
      <c r="H161">
        <v>49.1</v>
      </c>
      <c r="I161">
        <v>5.9898171573877335E-2</v>
      </c>
      <c r="N161">
        <v>95.9</v>
      </c>
      <c r="O161">
        <v>119845</v>
      </c>
      <c r="P161">
        <v>109.27</v>
      </c>
      <c r="Q161" s="4" t="e">
        <v>#N/A</v>
      </c>
    </row>
    <row r="162" spans="1:17" x14ac:dyDescent="0.2">
      <c r="A162" s="4">
        <v>41395</v>
      </c>
      <c r="B162" s="5" t="e">
        <v>#N/A</v>
      </c>
      <c r="C162">
        <v>4.2465000000000002</v>
      </c>
      <c r="D162">
        <v>2.2999999999999998</v>
      </c>
      <c r="E162" t="e">
        <v>#N/A</v>
      </c>
      <c r="F162">
        <v>26.2</v>
      </c>
      <c r="G162" s="6">
        <v>5117</v>
      </c>
      <c r="H162" t="e">
        <v>#N/A</v>
      </c>
      <c r="I162">
        <v>3.2469876110553741E-2</v>
      </c>
      <c r="N162" t="e">
        <v>#N/A</v>
      </c>
      <c r="O162" t="e">
        <v>#N/A</v>
      </c>
      <c r="P162">
        <v>108.01</v>
      </c>
      <c r="Q162" s="4" t="s">
        <v>48</v>
      </c>
    </row>
    <row r="163" spans="1:17" x14ac:dyDescent="0.2">
      <c r="A163" s="4">
        <v>41426</v>
      </c>
      <c r="B163" s="5" t="e">
        <v>#N/A</v>
      </c>
      <c r="C163">
        <v>4.6791999999999998</v>
      </c>
      <c r="D163">
        <v>2.4</v>
      </c>
      <c r="E163" t="e">
        <v>#N/A</v>
      </c>
      <c r="F163">
        <v>26.1</v>
      </c>
      <c r="G163" s="6">
        <v>5103</v>
      </c>
      <c r="H163" t="e">
        <v>#N/A</v>
      </c>
      <c r="I163">
        <v>2.6637239381670952E-2</v>
      </c>
      <c r="N163" t="e">
        <v>#N/A</v>
      </c>
      <c r="O163" t="e">
        <v>#N/A</v>
      </c>
      <c r="P163">
        <v>108.39</v>
      </c>
      <c r="Q163" s="4" t="e">
        <v>#N/A</v>
      </c>
    </row>
    <row r="164" spans="1:17" x14ac:dyDescent="0.2">
      <c r="A164" s="4">
        <v>41456</v>
      </c>
      <c r="B164" s="5">
        <v>119297</v>
      </c>
      <c r="C164">
        <v>4.6947000000000001</v>
      </c>
      <c r="D164">
        <v>2.2000000000000002</v>
      </c>
      <c r="E164">
        <v>87.5</v>
      </c>
      <c r="F164">
        <v>26.2</v>
      </c>
      <c r="G164" s="6">
        <v>5109</v>
      </c>
      <c r="H164">
        <v>50.3</v>
      </c>
      <c r="I164">
        <v>5.1052466034889221E-2</v>
      </c>
      <c r="N164">
        <v>95.7</v>
      </c>
      <c r="O164">
        <v>114716</v>
      </c>
      <c r="P164">
        <v>110.29</v>
      </c>
      <c r="Q164" s="4" t="s">
        <v>48</v>
      </c>
    </row>
    <row r="165" spans="1:17" x14ac:dyDescent="0.2">
      <c r="A165" s="4">
        <v>41487</v>
      </c>
      <c r="B165" s="5" t="e">
        <v>#N/A</v>
      </c>
      <c r="C165">
        <v>4.5039999999999996</v>
      </c>
      <c r="D165">
        <v>2.2000000000000002</v>
      </c>
      <c r="E165" t="e">
        <v>#N/A</v>
      </c>
      <c r="F165">
        <v>26.1</v>
      </c>
      <c r="G165" s="6">
        <v>5101</v>
      </c>
      <c r="H165" t="e">
        <v>#N/A</v>
      </c>
      <c r="I165">
        <v>2.6784006506204605E-2</v>
      </c>
      <c r="N165" t="e">
        <v>#N/A</v>
      </c>
      <c r="O165" t="e">
        <v>#N/A</v>
      </c>
      <c r="P165">
        <v>111.57</v>
      </c>
      <c r="Q165" s="4" t="e">
        <v>#N/A</v>
      </c>
    </row>
    <row r="166" spans="1:17" x14ac:dyDescent="0.2">
      <c r="A166" s="4">
        <v>41518</v>
      </c>
      <c r="B166" s="5" t="e">
        <v>#N/A</v>
      </c>
      <c r="C166">
        <v>4.4180000000000001</v>
      </c>
      <c r="D166">
        <v>1.1000000000000001</v>
      </c>
      <c r="E166" t="e">
        <v>#N/A</v>
      </c>
      <c r="F166">
        <v>26</v>
      </c>
      <c r="G166" s="6">
        <v>5082</v>
      </c>
      <c r="H166" t="e">
        <v>#N/A</v>
      </c>
      <c r="I166">
        <v>6.9268070161342621E-2</v>
      </c>
      <c r="N166" t="e">
        <v>#N/A</v>
      </c>
      <c r="O166" t="e">
        <v>#N/A</v>
      </c>
      <c r="P166">
        <v>112.12</v>
      </c>
      <c r="Q166" s="4" t="s">
        <v>48</v>
      </c>
    </row>
    <row r="167" spans="1:17" x14ac:dyDescent="0.2">
      <c r="A167" s="4">
        <v>41548</v>
      </c>
      <c r="B167" s="5">
        <v>116720</v>
      </c>
      <c r="C167">
        <v>4.218</v>
      </c>
      <c r="D167">
        <v>0.5</v>
      </c>
      <c r="E167">
        <v>87.5</v>
      </c>
      <c r="F167">
        <v>26</v>
      </c>
      <c r="G167" s="6">
        <v>5073</v>
      </c>
      <c r="H167">
        <v>51.8</v>
      </c>
      <c r="I167">
        <v>4.7017976641654968E-2</v>
      </c>
      <c r="N167">
        <v>96.2</v>
      </c>
      <c r="O167">
        <v>122080</v>
      </c>
      <c r="P167">
        <v>111.25</v>
      </c>
      <c r="Q167" s="4" t="s">
        <v>48</v>
      </c>
    </row>
    <row r="168" spans="1:17" x14ac:dyDescent="0.2">
      <c r="A168" s="4">
        <v>41579</v>
      </c>
      <c r="B168" s="5" t="e">
        <v>#N/A</v>
      </c>
      <c r="C168">
        <v>4.1021000000000001</v>
      </c>
      <c r="D168">
        <v>0.4</v>
      </c>
      <c r="E168" t="e">
        <v>#N/A</v>
      </c>
      <c r="F168">
        <v>25.9</v>
      </c>
      <c r="G168" s="6">
        <v>5037</v>
      </c>
      <c r="H168" t="e">
        <v>#N/A</v>
      </c>
      <c r="I168">
        <v>3.0297292396426201E-2</v>
      </c>
      <c r="N168" t="e">
        <v>#N/A</v>
      </c>
      <c r="O168" t="e">
        <v>#N/A</v>
      </c>
      <c r="P168">
        <v>110.43</v>
      </c>
      <c r="Q168" s="4" t="s">
        <v>49</v>
      </c>
    </row>
    <row r="169" spans="1:17" x14ac:dyDescent="0.2">
      <c r="A169" s="4">
        <v>41609</v>
      </c>
      <c r="B169" s="5" t="e">
        <v>#N/A</v>
      </c>
      <c r="C169">
        <v>4.1399999999999997</v>
      </c>
      <c r="D169">
        <v>0.3</v>
      </c>
      <c r="E169" t="e">
        <v>#N/A</v>
      </c>
      <c r="F169">
        <v>25.5</v>
      </c>
      <c r="G169" s="6">
        <v>4966</v>
      </c>
      <c r="H169" t="e">
        <v>#N/A</v>
      </c>
      <c r="I169">
        <v>2.9142381623387337E-2</v>
      </c>
      <c r="N169" t="e">
        <v>#N/A</v>
      </c>
      <c r="O169" t="e">
        <v>#N/A</v>
      </c>
      <c r="P169">
        <v>111.15</v>
      </c>
      <c r="Q169" s="4" t="s">
        <v>50</v>
      </c>
    </row>
    <row r="170" spans="1:17" x14ac:dyDescent="0.2">
      <c r="A170" s="4">
        <v>41640</v>
      </c>
      <c r="B170" s="5">
        <v>115737</v>
      </c>
      <c r="C170">
        <v>3.7770000000000001</v>
      </c>
      <c r="D170">
        <v>0.3</v>
      </c>
      <c r="E170">
        <v>90</v>
      </c>
      <c r="F170">
        <v>25.5</v>
      </c>
      <c r="G170" s="6">
        <v>4941</v>
      </c>
      <c r="H170">
        <v>53</v>
      </c>
      <c r="I170">
        <v>4.3205026537179947E-2</v>
      </c>
      <c r="N170">
        <v>96.1</v>
      </c>
      <c r="O170">
        <v>112294</v>
      </c>
      <c r="P170">
        <v>111.11</v>
      </c>
      <c r="Q170" s="4" t="s">
        <v>51</v>
      </c>
    </row>
    <row r="171" spans="1:17" x14ac:dyDescent="0.2">
      <c r="A171" s="4">
        <v>41671</v>
      </c>
      <c r="B171" s="5" t="e">
        <v>#N/A</v>
      </c>
      <c r="C171">
        <v>3.5952999999999999</v>
      </c>
      <c r="D171">
        <v>0.3</v>
      </c>
      <c r="E171" t="e">
        <v>#N/A</v>
      </c>
      <c r="F171">
        <v>25.3</v>
      </c>
      <c r="G171" s="6">
        <v>4904</v>
      </c>
      <c r="H171" t="e">
        <v>#N/A</v>
      </c>
      <c r="I171">
        <v>5.3919535130262375E-2</v>
      </c>
      <c r="N171" t="e">
        <v>#N/A</v>
      </c>
      <c r="O171" t="e">
        <v>#N/A</v>
      </c>
      <c r="P171">
        <v>111.1</v>
      </c>
      <c r="Q171" s="4" t="s">
        <v>52</v>
      </c>
    </row>
    <row r="172" spans="1:17" x14ac:dyDescent="0.2">
      <c r="A172" s="4">
        <v>41699</v>
      </c>
      <c r="B172" s="5" t="e">
        <v>#N/A</v>
      </c>
      <c r="C172">
        <v>3.3401000000000001</v>
      </c>
      <c r="D172">
        <v>0</v>
      </c>
      <c r="E172" t="e">
        <v>#N/A</v>
      </c>
      <c r="F172">
        <v>25.1</v>
      </c>
      <c r="G172" s="6">
        <v>4893</v>
      </c>
      <c r="H172" t="e">
        <v>#N/A</v>
      </c>
      <c r="I172">
        <v>8.5581392049789429E-2</v>
      </c>
      <c r="N172" t="e">
        <v>#N/A</v>
      </c>
      <c r="O172" t="e">
        <v>#N/A</v>
      </c>
      <c r="P172">
        <v>110.72</v>
      </c>
      <c r="Q172" s="4" t="s">
        <v>51</v>
      </c>
    </row>
    <row r="173" spans="1:17" x14ac:dyDescent="0.2">
      <c r="A173" s="4">
        <v>41730</v>
      </c>
      <c r="B173" s="5">
        <v>116502</v>
      </c>
      <c r="C173">
        <v>3.1341999999999999</v>
      </c>
      <c r="D173">
        <v>0.2</v>
      </c>
      <c r="E173">
        <v>91.3</v>
      </c>
      <c r="F173">
        <v>24.8</v>
      </c>
      <c r="G173" s="6">
        <v>4858</v>
      </c>
      <c r="H173">
        <v>52.4</v>
      </c>
      <c r="I173">
        <v>7.8873686492443085E-2</v>
      </c>
      <c r="N173">
        <v>96.9</v>
      </c>
      <c r="O173">
        <v>121499</v>
      </c>
      <c r="P173">
        <v>111</v>
      </c>
      <c r="Q173" s="4" t="s">
        <v>53</v>
      </c>
    </row>
    <row r="174" spans="1:17" x14ac:dyDescent="0.2">
      <c r="A174" s="4">
        <v>41760</v>
      </c>
      <c r="B174" s="5" t="e">
        <v>#N/A</v>
      </c>
      <c r="C174">
        <v>2.9426999999999999</v>
      </c>
      <c r="D174">
        <v>-0.2</v>
      </c>
      <c r="E174" t="e">
        <v>#N/A</v>
      </c>
      <c r="F174">
        <v>24.6</v>
      </c>
      <c r="G174" s="6">
        <v>4813</v>
      </c>
      <c r="H174" t="e">
        <v>#N/A</v>
      </c>
      <c r="I174">
        <v>3.7629351019859314E-2</v>
      </c>
      <c r="N174" t="e">
        <v>#N/A</v>
      </c>
      <c r="O174" t="e">
        <v>#N/A</v>
      </c>
      <c r="P174">
        <v>111.21</v>
      </c>
      <c r="Q174" s="4" t="s">
        <v>51</v>
      </c>
    </row>
    <row r="175" spans="1:17" x14ac:dyDescent="0.2">
      <c r="A175" s="4">
        <v>41791</v>
      </c>
      <c r="B175" s="5" t="e">
        <v>#N/A</v>
      </c>
      <c r="C175">
        <v>2.7014999999999998</v>
      </c>
      <c r="D175">
        <v>-0.3</v>
      </c>
      <c r="E175" t="e">
        <v>#N/A</v>
      </c>
      <c r="F175">
        <v>24.4</v>
      </c>
      <c r="G175" s="6">
        <v>4752</v>
      </c>
      <c r="H175" t="e">
        <v>#N/A</v>
      </c>
      <c r="I175">
        <v>7.1383245289325714E-2</v>
      </c>
      <c r="N175" t="e">
        <v>#N/A</v>
      </c>
      <c r="O175" t="e">
        <v>#N/A</v>
      </c>
      <c r="P175">
        <v>111.22</v>
      </c>
      <c r="Q175" s="4" t="e">
        <v>#N/A</v>
      </c>
    </row>
    <row r="176" spans="1:17" x14ac:dyDescent="0.2">
      <c r="A176" s="4">
        <v>41821</v>
      </c>
      <c r="B176" s="5">
        <v>116828</v>
      </c>
      <c r="C176">
        <v>2.6352000000000002</v>
      </c>
      <c r="D176">
        <v>-0.5</v>
      </c>
      <c r="E176">
        <v>91.5</v>
      </c>
      <c r="F176">
        <v>24.3</v>
      </c>
      <c r="G176" s="6">
        <v>4710</v>
      </c>
      <c r="H176">
        <v>53.1</v>
      </c>
      <c r="I176">
        <v>8.2372322678565979E-2</v>
      </c>
      <c r="N176">
        <v>97.1</v>
      </c>
      <c r="O176">
        <v>117165</v>
      </c>
      <c r="P176">
        <v>110.61</v>
      </c>
      <c r="Q176" s="4" t="s">
        <v>53</v>
      </c>
    </row>
    <row r="177" spans="1:17" x14ac:dyDescent="0.2">
      <c r="A177" s="4">
        <v>41852</v>
      </c>
      <c r="B177" s="5" t="e">
        <v>#N/A</v>
      </c>
      <c r="C177">
        <v>2.4243000000000001</v>
      </c>
      <c r="D177">
        <v>-0.5</v>
      </c>
      <c r="E177" t="e">
        <v>#N/A</v>
      </c>
      <c r="F177">
        <v>24.1</v>
      </c>
      <c r="G177" s="6">
        <v>4669</v>
      </c>
      <c r="H177" t="e">
        <v>#N/A</v>
      </c>
      <c r="I177">
        <v>0.12827940285205841</v>
      </c>
      <c r="N177" t="e">
        <v>#N/A</v>
      </c>
      <c r="O177" t="e">
        <v>#N/A</v>
      </c>
      <c r="P177">
        <v>110.59</v>
      </c>
      <c r="Q177" s="4" t="s">
        <v>53</v>
      </c>
    </row>
    <row r="178" spans="1:17" x14ac:dyDescent="0.2">
      <c r="A178" s="4">
        <v>41883</v>
      </c>
      <c r="B178" s="5" t="e">
        <v>#N/A</v>
      </c>
      <c r="C178">
        <v>2.2299000000000002</v>
      </c>
      <c r="D178">
        <v>-0.3</v>
      </c>
      <c r="E178" t="e">
        <v>#N/A</v>
      </c>
      <c r="F178">
        <v>24</v>
      </c>
      <c r="G178" s="6">
        <v>4651</v>
      </c>
      <c r="H178" t="e">
        <v>#N/A</v>
      </c>
      <c r="I178">
        <v>7.225433737039566E-2</v>
      </c>
      <c r="N178" t="e">
        <v>#N/A</v>
      </c>
      <c r="O178" t="e">
        <v>#N/A</v>
      </c>
      <c r="P178">
        <v>112.1</v>
      </c>
      <c r="Q178" s="4" t="s">
        <v>53</v>
      </c>
    </row>
    <row r="179" spans="1:17" x14ac:dyDescent="0.2">
      <c r="A179" s="4">
        <v>41913</v>
      </c>
      <c r="B179" s="5">
        <v>118774</v>
      </c>
      <c r="C179">
        <v>2.1373000000000002</v>
      </c>
      <c r="D179">
        <v>-0.1</v>
      </c>
      <c r="E179">
        <v>91.2</v>
      </c>
      <c r="F179">
        <v>23.9</v>
      </c>
      <c r="G179" s="6">
        <v>4669</v>
      </c>
      <c r="H179">
        <v>52.9</v>
      </c>
      <c r="I179">
        <v>7.9841837286949158E-2</v>
      </c>
      <c r="N179">
        <v>98.3</v>
      </c>
      <c r="O179">
        <v>125343</v>
      </c>
      <c r="P179">
        <v>110</v>
      </c>
      <c r="Q179" s="4" t="s">
        <v>53</v>
      </c>
    </row>
    <row r="180" spans="1:17" x14ac:dyDescent="0.2">
      <c r="A180" s="4">
        <v>41944</v>
      </c>
      <c r="B180" s="5" t="e">
        <v>#N/A</v>
      </c>
      <c r="C180">
        <v>2.0785999999999998</v>
      </c>
      <c r="D180">
        <v>-0.1</v>
      </c>
      <c r="E180" t="e">
        <v>#N/A</v>
      </c>
      <c r="F180">
        <v>23.8</v>
      </c>
      <c r="G180" s="6">
        <v>4645</v>
      </c>
      <c r="H180" t="e">
        <v>#N/A</v>
      </c>
      <c r="I180">
        <v>4.426024854183197E-2</v>
      </c>
      <c r="N180" t="e">
        <v>#N/A</v>
      </c>
      <c r="O180" t="e">
        <v>#N/A</v>
      </c>
      <c r="P180">
        <v>106.86</v>
      </c>
      <c r="Q180" s="4" t="e">
        <v>#N/A</v>
      </c>
    </row>
    <row r="181" spans="1:17" x14ac:dyDescent="0.2">
      <c r="A181" s="4">
        <v>41974</v>
      </c>
      <c r="B181" s="5" t="e">
        <v>#N/A</v>
      </c>
      <c r="C181">
        <v>1.7723</v>
      </c>
      <c r="D181">
        <v>-0.1</v>
      </c>
      <c r="E181" t="e">
        <v>#N/A</v>
      </c>
      <c r="F181">
        <v>23.6</v>
      </c>
      <c r="G181" s="6">
        <v>4616</v>
      </c>
      <c r="H181" t="e">
        <v>#N/A</v>
      </c>
      <c r="I181">
        <v>7.8380145132541656E-2</v>
      </c>
      <c r="N181" t="e">
        <v>#N/A</v>
      </c>
      <c r="O181" t="e">
        <v>#N/A</v>
      </c>
      <c r="P181">
        <v>101.78</v>
      </c>
      <c r="Q181" s="4" t="e">
        <v>#N/A</v>
      </c>
    </row>
    <row r="182" spans="1:17" x14ac:dyDescent="0.2">
      <c r="A182" s="4">
        <v>42005</v>
      </c>
      <c r="B182" s="5">
        <v>117129</v>
      </c>
      <c r="C182">
        <v>1.5327999999999999</v>
      </c>
      <c r="D182">
        <v>0</v>
      </c>
      <c r="E182">
        <v>91.3</v>
      </c>
      <c r="F182">
        <v>23.4</v>
      </c>
      <c r="G182" s="6">
        <v>4571</v>
      </c>
      <c r="H182">
        <v>53</v>
      </c>
      <c r="I182">
        <v>0.16752523183822632</v>
      </c>
      <c r="N182">
        <v>98.3</v>
      </c>
      <c r="O182">
        <v>117210</v>
      </c>
      <c r="P182">
        <v>98.46</v>
      </c>
      <c r="Q182" s="4" t="e">
        <v>#N/A</v>
      </c>
    </row>
    <row r="183" spans="1:17" x14ac:dyDescent="0.2">
      <c r="A183" s="4">
        <v>42036</v>
      </c>
      <c r="B183" s="5" t="e">
        <v>#N/A</v>
      </c>
      <c r="C183">
        <v>1.4941</v>
      </c>
      <c r="D183">
        <v>0.1</v>
      </c>
      <c r="E183" t="e">
        <v>#N/A</v>
      </c>
      <c r="F183">
        <v>23.2</v>
      </c>
      <c r="G183" s="6">
        <v>4522</v>
      </c>
      <c r="H183" t="e">
        <v>#N/A</v>
      </c>
      <c r="I183">
        <v>0.14595876634120941</v>
      </c>
      <c r="N183" t="e">
        <v>#N/A</v>
      </c>
      <c r="O183" t="e">
        <v>#N/A</v>
      </c>
      <c r="P183">
        <v>99.84</v>
      </c>
      <c r="Q183" s="4" t="e">
        <v>#N/A</v>
      </c>
    </row>
    <row r="184" spans="1:17" x14ac:dyDescent="0.2">
      <c r="A184" s="4">
        <v>42064</v>
      </c>
      <c r="B184" s="5" t="e">
        <v>#N/A</v>
      </c>
      <c r="C184">
        <v>1.2552000000000001</v>
      </c>
      <c r="D184">
        <v>0.2</v>
      </c>
      <c r="E184" t="e">
        <v>#N/A</v>
      </c>
      <c r="F184">
        <v>22.9</v>
      </c>
      <c r="G184" s="6">
        <v>4478</v>
      </c>
      <c r="H184" t="e">
        <v>#N/A</v>
      </c>
      <c r="I184">
        <v>6.590600311756134E-2</v>
      </c>
      <c r="N184" t="e">
        <v>#N/A</v>
      </c>
      <c r="O184" t="e">
        <v>#N/A</v>
      </c>
      <c r="P184">
        <v>102.52</v>
      </c>
      <c r="Q184" s="4" t="e">
        <v>#N/A</v>
      </c>
    </row>
    <row r="185" spans="1:17" x14ac:dyDescent="0.2">
      <c r="A185" s="4">
        <v>42095</v>
      </c>
      <c r="B185" s="5">
        <v>118229</v>
      </c>
      <c r="C185">
        <v>1.33</v>
      </c>
      <c r="D185">
        <v>0.2</v>
      </c>
      <c r="E185">
        <v>91.1</v>
      </c>
      <c r="F185">
        <v>22.7</v>
      </c>
      <c r="G185" s="6">
        <v>4447</v>
      </c>
      <c r="H185">
        <v>52.3</v>
      </c>
      <c r="I185">
        <v>7.226969301700592E-2</v>
      </c>
      <c r="N185">
        <v>99.7</v>
      </c>
      <c r="O185">
        <v>126726</v>
      </c>
      <c r="P185">
        <v>103.07</v>
      </c>
      <c r="Q185" s="4" t="e">
        <v>#N/A</v>
      </c>
    </row>
    <row r="186" spans="1:17" x14ac:dyDescent="0.2">
      <c r="A186" s="4">
        <v>42125</v>
      </c>
      <c r="B186" s="5" t="e">
        <v>#N/A</v>
      </c>
      <c r="C186">
        <v>1.788</v>
      </c>
      <c r="D186">
        <v>0.6</v>
      </c>
      <c r="E186" t="e">
        <v>#N/A</v>
      </c>
      <c r="F186">
        <v>22.5</v>
      </c>
      <c r="G186" s="6">
        <v>4402</v>
      </c>
      <c r="H186" t="e">
        <v>#N/A</v>
      </c>
      <c r="I186">
        <v>4.2755141854286194E-2</v>
      </c>
      <c r="N186" t="e">
        <v>#N/A</v>
      </c>
      <c r="O186" t="e">
        <v>#N/A</v>
      </c>
      <c r="P186">
        <v>104.13</v>
      </c>
      <c r="Q186" s="4" t="e">
        <v>#N/A</v>
      </c>
    </row>
    <row r="187" spans="1:17" x14ac:dyDescent="0.2">
      <c r="A187" s="4">
        <v>42156</v>
      </c>
      <c r="B187" s="5" t="e">
        <v>#N/A</v>
      </c>
      <c r="C187">
        <v>2.2134</v>
      </c>
      <c r="D187">
        <v>0.7</v>
      </c>
      <c r="E187" t="e">
        <v>#N/A</v>
      </c>
      <c r="F187">
        <v>22.3</v>
      </c>
      <c r="G187" s="6">
        <v>4359</v>
      </c>
      <c r="H187" t="e">
        <v>#N/A</v>
      </c>
      <c r="I187">
        <v>8.6610078811645508E-2</v>
      </c>
      <c r="N187" t="e">
        <v>#N/A</v>
      </c>
      <c r="O187" t="e">
        <v>#N/A</v>
      </c>
      <c r="P187">
        <v>104.87</v>
      </c>
      <c r="Q187" s="4" t="e">
        <v>#N/A</v>
      </c>
    </row>
    <row r="188" spans="1:17" x14ac:dyDescent="0.2">
      <c r="A188" s="4">
        <v>42186</v>
      </c>
      <c r="B188" s="5">
        <v>119732</v>
      </c>
      <c r="C188">
        <v>2.0667</v>
      </c>
      <c r="D188">
        <v>0.7</v>
      </c>
      <c r="E188">
        <v>91.6</v>
      </c>
      <c r="F188">
        <v>21.9</v>
      </c>
      <c r="G188" s="6">
        <v>4255</v>
      </c>
      <c r="H188">
        <v>50.8</v>
      </c>
      <c r="I188">
        <v>6.4937874674797058E-2</v>
      </c>
      <c r="N188">
        <v>100.7</v>
      </c>
      <c r="O188">
        <v>121808</v>
      </c>
      <c r="P188">
        <v>104.29</v>
      </c>
      <c r="Q188" s="4" t="e">
        <v>#N/A</v>
      </c>
    </row>
    <row r="189" spans="1:17" x14ac:dyDescent="0.2">
      <c r="A189" s="4">
        <v>42217</v>
      </c>
      <c r="B189" s="5" t="e">
        <v>#N/A</v>
      </c>
      <c r="C189">
        <v>2.0165000000000002</v>
      </c>
      <c r="D189">
        <v>0.8</v>
      </c>
      <c r="E189" t="e">
        <v>#N/A</v>
      </c>
      <c r="F189">
        <v>21.6</v>
      </c>
      <c r="G189" s="6">
        <v>4191</v>
      </c>
      <c r="H189" t="e">
        <v>#N/A</v>
      </c>
      <c r="I189">
        <v>0.1083780974149704</v>
      </c>
      <c r="N189" t="e">
        <v>#N/A</v>
      </c>
      <c r="O189" t="e">
        <v>#N/A</v>
      </c>
      <c r="P189">
        <v>99.85</v>
      </c>
      <c r="Q189" s="4" t="e">
        <v>#N/A</v>
      </c>
    </row>
    <row r="190" spans="1:17" x14ac:dyDescent="0.2">
      <c r="A190" s="4">
        <v>42248</v>
      </c>
      <c r="B190" s="5" t="e">
        <v>#N/A</v>
      </c>
      <c r="C190">
        <v>2.0508000000000002</v>
      </c>
      <c r="D190">
        <v>0.7</v>
      </c>
      <c r="E190" t="e">
        <v>#N/A</v>
      </c>
      <c r="F190">
        <v>21.4</v>
      </c>
      <c r="G190" s="6">
        <v>4148</v>
      </c>
      <c r="H190" t="e">
        <v>#N/A</v>
      </c>
      <c r="I190">
        <v>9.1352008283138275E-2</v>
      </c>
      <c r="N190" t="e">
        <v>#N/A</v>
      </c>
      <c r="O190" t="e">
        <v>#N/A</v>
      </c>
      <c r="P190">
        <v>96.85</v>
      </c>
      <c r="Q190" s="4" t="e">
        <v>#N/A</v>
      </c>
    </row>
    <row r="191" spans="1:17" x14ac:dyDescent="0.2">
      <c r="A191" s="4">
        <v>42278</v>
      </c>
      <c r="B191" s="5">
        <v>119803</v>
      </c>
      <c r="C191">
        <v>1.7476</v>
      </c>
      <c r="D191">
        <v>0.9</v>
      </c>
      <c r="E191">
        <v>90.5</v>
      </c>
      <c r="F191">
        <v>21.2</v>
      </c>
      <c r="G191" s="6">
        <v>4137</v>
      </c>
      <c r="H191">
        <v>50.1</v>
      </c>
      <c r="I191">
        <v>6.4879767596721649E-2</v>
      </c>
      <c r="N191">
        <v>101.3</v>
      </c>
      <c r="O191">
        <v>131275</v>
      </c>
      <c r="P191">
        <v>95.63</v>
      </c>
      <c r="Q191" s="4" t="s">
        <v>53</v>
      </c>
    </row>
    <row r="192" spans="1:17" x14ac:dyDescent="0.2">
      <c r="A192" s="4">
        <v>42309</v>
      </c>
      <c r="B192" s="5" t="e">
        <v>#N/A</v>
      </c>
      <c r="C192">
        <v>1.7347999999999999</v>
      </c>
      <c r="D192">
        <v>0.9</v>
      </c>
      <c r="E192" t="e">
        <v>#N/A</v>
      </c>
      <c r="F192">
        <v>20.9</v>
      </c>
      <c r="G192" s="6">
        <v>4086</v>
      </c>
      <c r="H192" t="e">
        <v>#N/A</v>
      </c>
      <c r="I192">
        <v>0.10958904027938843</v>
      </c>
      <c r="N192" t="e">
        <v>#N/A</v>
      </c>
      <c r="O192" t="e">
        <v>#N/A</v>
      </c>
      <c r="P192">
        <v>96.27</v>
      </c>
      <c r="Q192" s="4" t="e">
        <v>#N/A</v>
      </c>
    </row>
    <row r="193" spans="1:17" x14ac:dyDescent="0.2">
      <c r="A193" s="4">
        <v>42339</v>
      </c>
      <c r="B193" s="5" t="e">
        <v>#N/A</v>
      </c>
      <c r="C193">
        <v>1.7156</v>
      </c>
      <c r="D193">
        <v>0.9</v>
      </c>
      <c r="E193" t="e">
        <v>#N/A</v>
      </c>
      <c r="F193">
        <v>20.8</v>
      </c>
      <c r="G193" s="6">
        <v>4063</v>
      </c>
      <c r="H193" t="e">
        <v>#N/A</v>
      </c>
      <c r="I193">
        <v>9.8367102444171906E-2</v>
      </c>
      <c r="N193" t="e">
        <v>#N/A</v>
      </c>
      <c r="O193" t="e">
        <v>#N/A</v>
      </c>
      <c r="P193">
        <v>94.22</v>
      </c>
      <c r="Q193" s="4" t="e">
        <v>#N/A</v>
      </c>
    </row>
    <row r="194" spans="1:17" x14ac:dyDescent="0.2">
      <c r="A194" s="4">
        <v>42370</v>
      </c>
      <c r="B194" s="5">
        <v>117026</v>
      </c>
      <c r="C194">
        <v>1.7199</v>
      </c>
      <c r="D194">
        <v>1</v>
      </c>
      <c r="E194">
        <v>91.6</v>
      </c>
      <c r="F194">
        <v>20.5</v>
      </c>
      <c r="G194" s="6">
        <v>4019</v>
      </c>
      <c r="H194">
        <v>49</v>
      </c>
      <c r="I194">
        <v>5.5617351084947586E-2</v>
      </c>
      <c r="N194">
        <v>102.1</v>
      </c>
      <c r="O194">
        <v>119620</v>
      </c>
      <c r="P194">
        <v>88.35</v>
      </c>
      <c r="Q194" s="4" t="s">
        <v>53</v>
      </c>
    </row>
    <row r="195" spans="1:17" x14ac:dyDescent="0.2">
      <c r="A195" s="4">
        <v>42401</v>
      </c>
      <c r="B195" s="5" t="e">
        <v>#N/A</v>
      </c>
      <c r="C195">
        <v>1.6697</v>
      </c>
      <c r="D195">
        <v>0.9</v>
      </c>
      <c r="E195" t="e">
        <v>#N/A</v>
      </c>
      <c r="F195">
        <v>20.399999999999999</v>
      </c>
      <c r="G195" s="6">
        <v>3986</v>
      </c>
      <c r="H195" t="e">
        <v>#N/A</v>
      </c>
      <c r="I195">
        <v>7.8285545110702515E-2</v>
      </c>
      <c r="N195" t="e">
        <v>#N/A</v>
      </c>
      <c r="O195" t="e">
        <v>#N/A</v>
      </c>
      <c r="P195">
        <v>85.8</v>
      </c>
      <c r="Q195" s="4" t="s">
        <v>54</v>
      </c>
    </row>
    <row r="196" spans="1:17" x14ac:dyDescent="0.2">
      <c r="A196" s="4">
        <v>42430</v>
      </c>
      <c r="B196" s="5" t="e">
        <v>#N/A</v>
      </c>
      <c r="C196">
        <v>1.5099</v>
      </c>
      <c r="D196">
        <v>1</v>
      </c>
      <c r="E196" t="e">
        <v>#N/A</v>
      </c>
      <c r="F196">
        <v>20.3</v>
      </c>
      <c r="G196" s="6">
        <v>3950</v>
      </c>
      <c r="H196" t="e">
        <v>#N/A</v>
      </c>
      <c r="I196">
        <v>0.10864152759313583</v>
      </c>
      <c r="N196" t="e">
        <v>#N/A</v>
      </c>
      <c r="O196" t="e">
        <v>#N/A</v>
      </c>
      <c r="P196">
        <v>87.37</v>
      </c>
      <c r="Q196" s="4" t="e">
        <v>#N/A</v>
      </c>
    </row>
    <row r="197" spans="1:17" x14ac:dyDescent="0.2">
      <c r="A197" s="4">
        <v>42461</v>
      </c>
      <c r="B197" s="5">
        <v>118019</v>
      </c>
      <c r="C197">
        <v>1.5454000000000001</v>
      </c>
      <c r="D197">
        <v>0.8</v>
      </c>
      <c r="E197">
        <v>91</v>
      </c>
      <c r="F197">
        <v>20.3</v>
      </c>
      <c r="G197" s="6">
        <v>3940</v>
      </c>
      <c r="H197">
        <v>48.7</v>
      </c>
      <c r="I197">
        <v>4.64748814702034E-2</v>
      </c>
      <c r="N197">
        <v>102.2</v>
      </c>
      <c r="O197">
        <v>129427</v>
      </c>
      <c r="P197">
        <v>87.53</v>
      </c>
      <c r="Q197" s="4" t="e">
        <v>#N/A</v>
      </c>
    </row>
    <row r="198" spans="1:17" x14ac:dyDescent="0.2">
      <c r="A198" s="4">
        <v>42491</v>
      </c>
      <c r="B198" s="5" t="e">
        <v>#N/A</v>
      </c>
      <c r="C198">
        <v>1.5669999999999999</v>
      </c>
      <c r="D198">
        <v>0.8</v>
      </c>
      <c r="E198" t="e">
        <v>#N/A</v>
      </c>
      <c r="F198">
        <v>20.2</v>
      </c>
      <c r="G198" s="6">
        <v>3910</v>
      </c>
      <c r="H198" t="e">
        <v>#N/A</v>
      </c>
      <c r="I198">
        <v>6.828424334526062E-2</v>
      </c>
      <c r="N198" t="e">
        <v>#N/A</v>
      </c>
      <c r="O198" t="e">
        <v>#N/A</v>
      </c>
      <c r="P198">
        <v>89.53</v>
      </c>
      <c r="Q198" s="4" t="e">
        <v>#N/A</v>
      </c>
    </row>
    <row r="199" spans="1:17" x14ac:dyDescent="0.2">
      <c r="A199" s="4">
        <v>42522</v>
      </c>
      <c r="B199" s="5" t="e">
        <v>#N/A</v>
      </c>
      <c r="C199">
        <v>1.4666999999999999</v>
      </c>
      <c r="D199">
        <v>0.7</v>
      </c>
      <c r="E199" t="e">
        <v>#N/A</v>
      </c>
      <c r="F199">
        <v>19.899999999999999</v>
      </c>
      <c r="G199" s="6">
        <v>3869</v>
      </c>
      <c r="H199" t="e">
        <v>#N/A</v>
      </c>
      <c r="I199">
        <v>0.10855713486671448</v>
      </c>
      <c r="N199" t="e">
        <v>#N/A</v>
      </c>
      <c r="O199" t="e">
        <v>#N/A</v>
      </c>
      <c r="P199">
        <v>92.66</v>
      </c>
      <c r="Q199" s="4" t="e">
        <v>#N/A</v>
      </c>
    </row>
    <row r="200" spans="1:17" x14ac:dyDescent="0.2">
      <c r="A200" s="4">
        <v>42552</v>
      </c>
      <c r="B200" s="5">
        <v>119973</v>
      </c>
      <c r="C200">
        <v>1.1516</v>
      </c>
      <c r="D200">
        <v>1</v>
      </c>
      <c r="E200">
        <v>90.6</v>
      </c>
      <c r="F200">
        <v>19.5</v>
      </c>
      <c r="G200" s="6">
        <v>3818</v>
      </c>
      <c r="H200">
        <v>48.2</v>
      </c>
      <c r="I200">
        <v>0.17188036441802979</v>
      </c>
      <c r="N200">
        <v>102.9</v>
      </c>
      <c r="O200">
        <v>124755</v>
      </c>
      <c r="P200">
        <v>91.76</v>
      </c>
      <c r="Q200" s="4" t="s">
        <v>53</v>
      </c>
    </row>
    <row r="201" spans="1:17" x14ac:dyDescent="0.2">
      <c r="A201" s="4">
        <v>42583</v>
      </c>
      <c r="B201" s="5" t="e">
        <v>#N/A</v>
      </c>
      <c r="C201">
        <v>0.97270000000000001</v>
      </c>
      <c r="D201">
        <v>0.9</v>
      </c>
      <c r="E201" t="e">
        <v>#N/A</v>
      </c>
      <c r="F201">
        <v>19.3</v>
      </c>
      <c r="G201" s="6">
        <v>3777</v>
      </c>
      <c r="H201" t="e">
        <v>#N/A</v>
      </c>
      <c r="I201">
        <v>0.10336985439062119</v>
      </c>
      <c r="N201" t="e">
        <v>#N/A</v>
      </c>
      <c r="O201" t="e">
        <v>#N/A</v>
      </c>
      <c r="P201">
        <v>90.83</v>
      </c>
      <c r="Q201" s="4" t="e">
        <v>#N/A</v>
      </c>
    </row>
    <row r="202" spans="1:17" x14ac:dyDescent="0.2">
      <c r="A202" s="4">
        <v>42614</v>
      </c>
      <c r="B202" s="5" t="e">
        <v>#N/A</v>
      </c>
      <c r="C202">
        <v>0.99650000000000005</v>
      </c>
      <c r="D202">
        <v>0.7</v>
      </c>
      <c r="E202" t="e">
        <v>#N/A</v>
      </c>
      <c r="F202">
        <v>19.100000000000001</v>
      </c>
      <c r="G202" s="6">
        <v>3733</v>
      </c>
      <c r="H202" t="e">
        <v>#N/A</v>
      </c>
      <c r="I202">
        <v>6.0496069490909576E-2</v>
      </c>
      <c r="N202" t="e">
        <v>#N/A</v>
      </c>
      <c r="O202" t="e">
        <v>#N/A</v>
      </c>
      <c r="P202">
        <v>92.16</v>
      </c>
      <c r="Q202" s="4" t="e">
        <v>#N/A</v>
      </c>
    </row>
    <row r="203" spans="1:17" x14ac:dyDescent="0.2">
      <c r="A203" s="4">
        <v>42644</v>
      </c>
      <c r="B203" s="5">
        <v>117699</v>
      </c>
      <c r="C203">
        <v>1.0938000000000001</v>
      </c>
      <c r="D203">
        <v>0.5</v>
      </c>
      <c r="E203">
        <v>89.9</v>
      </c>
      <c r="F203">
        <v>18.8</v>
      </c>
      <c r="G203" s="6">
        <v>3661</v>
      </c>
      <c r="H203">
        <v>47.6</v>
      </c>
      <c r="I203">
        <v>0.14233827590942383</v>
      </c>
      <c r="N203">
        <v>103</v>
      </c>
      <c r="O203">
        <v>134223</v>
      </c>
      <c r="P203">
        <v>95.71</v>
      </c>
      <c r="Q203" s="4" t="e">
        <v>#N/A</v>
      </c>
    </row>
    <row r="204" spans="1:17" x14ac:dyDescent="0.2">
      <c r="A204" s="4">
        <v>42675</v>
      </c>
      <c r="B204" s="5" t="e">
        <v>#N/A</v>
      </c>
      <c r="C204">
        <v>1.4560999999999999</v>
      </c>
      <c r="D204">
        <v>0.6</v>
      </c>
      <c r="E204" t="e">
        <v>#N/A</v>
      </c>
      <c r="F204">
        <v>18.8</v>
      </c>
      <c r="G204" s="6">
        <v>3636</v>
      </c>
      <c r="H204" t="e">
        <v>#N/A</v>
      </c>
      <c r="I204">
        <v>5.6407362222671509E-2</v>
      </c>
      <c r="N204" t="e">
        <v>#N/A</v>
      </c>
      <c r="O204" t="e">
        <v>#N/A</v>
      </c>
      <c r="P204">
        <v>95.75</v>
      </c>
      <c r="Q204" s="4" t="e">
        <v>#N/A</v>
      </c>
    </row>
    <row r="205" spans="1:17" x14ac:dyDescent="0.2">
      <c r="A205" s="4">
        <v>42705</v>
      </c>
      <c r="B205" s="5" t="e">
        <v>#N/A</v>
      </c>
      <c r="C205">
        <v>1.4420999999999999</v>
      </c>
      <c r="D205">
        <v>0.9</v>
      </c>
      <c r="E205" t="e">
        <v>#N/A</v>
      </c>
      <c r="F205">
        <v>18.5</v>
      </c>
      <c r="G205" s="6">
        <v>3591</v>
      </c>
      <c r="H205" t="e">
        <v>#N/A</v>
      </c>
      <c r="I205">
        <v>4.8306584358215332E-2</v>
      </c>
      <c r="N205" t="e">
        <v>#N/A</v>
      </c>
      <c r="O205" t="e">
        <v>#N/A</v>
      </c>
      <c r="P205">
        <v>99.22</v>
      </c>
      <c r="Q205" s="4" t="e">
        <v>#N/A</v>
      </c>
    </row>
    <row r="206" spans="1:17" x14ac:dyDescent="0.2">
      <c r="A206" s="4">
        <v>42736</v>
      </c>
      <c r="B206" s="5">
        <v>118953</v>
      </c>
      <c r="C206">
        <v>1.4818</v>
      </c>
      <c r="D206">
        <v>1.2</v>
      </c>
      <c r="E206">
        <v>90.6</v>
      </c>
      <c r="F206">
        <v>18.399999999999999</v>
      </c>
      <c r="G206" s="6">
        <v>3565</v>
      </c>
      <c r="H206">
        <v>46.3</v>
      </c>
      <c r="I206">
        <v>3.5453807562589645E-2</v>
      </c>
      <c r="N206">
        <v>104</v>
      </c>
      <c r="O206">
        <v>123759</v>
      </c>
      <c r="P206">
        <v>103.76</v>
      </c>
      <c r="Q206" s="4" t="s">
        <v>53</v>
      </c>
    </row>
    <row r="207" spans="1:17" x14ac:dyDescent="0.2">
      <c r="A207" s="4">
        <v>42767</v>
      </c>
      <c r="B207" s="5" t="e">
        <v>#N/A</v>
      </c>
      <c r="C207">
        <v>1.6782999999999999</v>
      </c>
      <c r="D207">
        <v>1.4</v>
      </c>
      <c r="E207" t="e">
        <v>#N/A</v>
      </c>
      <c r="F207">
        <v>18.2</v>
      </c>
      <c r="G207" s="6">
        <v>3532</v>
      </c>
      <c r="H207" t="e">
        <v>#N/A</v>
      </c>
      <c r="I207">
        <v>7.7100999653339386E-2</v>
      </c>
      <c r="N207" t="e">
        <v>#N/A</v>
      </c>
      <c r="O207" t="e">
        <v>#N/A</v>
      </c>
      <c r="P207">
        <v>100.18</v>
      </c>
      <c r="Q207" s="4" t="e">
        <v>#N/A</v>
      </c>
    </row>
    <row r="208" spans="1:17" x14ac:dyDescent="0.2">
      <c r="A208" s="4">
        <v>42795</v>
      </c>
      <c r="B208" s="5" t="e">
        <v>#N/A</v>
      </c>
      <c r="C208">
        <v>1.7619</v>
      </c>
      <c r="D208">
        <v>1</v>
      </c>
      <c r="E208" t="e">
        <v>#N/A</v>
      </c>
      <c r="F208">
        <v>18</v>
      </c>
      <c r="G208" s="6">
        <v>3492</v>
      </c>
      <c r="H208" t="e">
        <v>#N/A</v>
      </c>
      <c r="I208">
        <v>4.3260909616947174E-2</v>
      </c>
      <c r="N208" t="e">
        <v>#N/A</v>
      </c>
      <c r="O208" t="e">
        <v>#N/A</v>
      </c>
      <c r="P208">
        <v>97.59</v>
      </c>
      <c r="Q208" s="4" t="s">
        <v>55</v>
      </c>
    </row>
    <row r="209" spans="1:17" x14ac:dyDescent="0.2">
      <c r="A209" s="4">
        <v>42826</v>
      </c>
      <c r="B209" s="5">
        <v>119301</v>
      </c>
      <c r="C209">
        <v>1.6456</v>
      </c>
      <c r="D209">
        <v>1.4</v>
      </c>
      <c r="E209">
        <v>90.4</v>
      </c>
      <c r="F209">
        <v>17.600000000000001</v>
      </c>
      <c r="G209" s="6">
        <v>3419</v>
      </c>
      <c r="H209">
        <v>45.1</v>
      </c>
      <c r="I209">
        <v>6.8298831582069397E-2</v>
      </c>
      <c r="N209">
        <v>104.4</v>
      </c>
      <c r="O209">
        <v>134304</v>
      </c>
      <c r="P209">
        <v>98.06</v>
      </c>
      <c r="Q209" s="4" t="e">
        <v>#N/A</v>
      </c>
    </row>
    <row r="210" spans="1:17" x14ac:dyDescent="0.2">
      <c r="A210" s="4">
        <v>42856</v>
      </c>
      <c r="B210" s="5" t="e">
        <v>#N/A</v>
      </c>
      <c r="C210">
        <v>1.5894999999999999</v>
      </c>
      <c r="D210">
        <v>1.2</v>
      </c>
      <c r="E210" t="e">
        <v>#N/A</v>
      </c>
      <c r="F210">
        <v>17.399999999999999</v>
      </c>
      <c r="G210" s="6">
        <v>3361</v>
      </c>
      <c r="H210" t="e">
        <v>#N/A</v>
      </c>
      <c r="I210">
        <v>6.600324809551239E-2</v>
      </c>
      <c r="N210" t="e">
        <v>#N/A</v>
      </c>
      <c r="O210" t="e">
        <v>#N/A</v>
      </c>
      <c r="P210">
        <v>96.97</v>
      </c>
      <c r="Q210" s="4" t="s">
        <v>56</v>
      </c>
    </row>
    <row r="211" spans="1:17" x14ac:dyDescent="0.2">
      <c r="A211" s="4">
        <v>42887</v>
      </c>
      <c r="B211" s="5" t="e">
        <v>#N/A</v>
      </c>
      <c r="C211">
        <v>1.4594</v>
      </c>
      <c r="D211">
        <v>1.3</v>
      </c>
      <c r="E211" t="e">
        <v>#N/A</v>
      </c>
      <c r="F211">
        <v>17.100000000000001</v>
      </c>
      <c r="G211" s="6">
        <v>3309</v>
      </c>
      <c r="H211" t="e">
        <v>#N/A</v>
      </c>
      <c r="I211">
        <v>9.2879258096218109E-2</v>
      </c>
      <c r="N211" t="e">
        <v>#N/A</v>
      </c>
      <c r="O211" t="e">
        <v>#N/A</v>
      </c>
      <c r="P211">
        <v>96.1</v>
      </c>
      <c r="Q211" s="4" t="s">
        <v>57</v>
      </c>
    </row>
    <row r="212" spans="1:17" x14ac:dyDescent="0.2">
      <c r="A212" s="4">
        <v>42917</v>
      </c>
      <c r="B212" s="5">
        <v>120089</v>
      </c>
      <c r="C212">
        <v>1.5743</v>
      </c>
      <c r="D212">
        <v>1.4</v>
      </c>
      <c r="E212">
        <v>89.9</v>
      </c>
      <c r="F212">
        <v>16.899999999999999</v>
      </c>
      <c r="G212" s="6">
        <v>3267</v>
      </c>
      <c r="H212">
        <v>43.5</v>
      </c>
      <c r="I212">
        <v>7.4180044233798981E-2</v>
      </c>
      <c r="N212">
        <v>105.2</v>
      </c>
      <c r="O212">
        <v>130306</v>
      </c>
      <c r="P212">
        <v>95.56</v>
      </c>
      <c r="Q212" s="4" t="s">
        <v>55</v>
      </c>
    </row>
    <row r="213" spans="1:17" x14ac:dyDescent="0.2">
      <c r="A213" s="4">
        <v>42948</v>
      </c>
      <c r="B213" s="5" t="e">
        <v>#N/A</v>
      </c>
      <c r="C213">
        <v>1.4497</v>
      </c>
      <c r="D213">
        <v>1.4</v>
      </c>
      <c r="E213" t="e">
        <v>#N/A</v>
      </c>
      <c r="F213">
        <v>16.7</v>
      </c>
      <c r="G213" s="6">
        <v>3243</v>
      </c>
      <c r="H213" t="e">
        <v>#N/A</v>
      </c>
      <c r="I213">
        <v>0.45396283268928528</v>
      </c>
      <c r="N213" t="e">
        <v>#N/A</v>
      </c>
      <c r="O213" t="e">
        <v>#N/A</v>
      </c>
      <c r="P213">
        <v>96.53</v>
      </c>
      <c r="Q213" s="4" t="e">
        <v>#N/A</v>
      </c>
    </row>
    <row r="214" spans="1:17" x14ac:dyDescent="0.2">
      <c r="A214" s="4">
        <v>42979</v>
      </c>
      <c r="B214" s="5" t="e">
        <v>#N/A</v>
      </c>
      <c r="C214">
        <v>1.5693999999999999</v>
      </c>
      <c r="D214">
        <v>1.3</v>
      </c>
      <c r="E214" t="e">
        <v>#N/A</v>
      </c>
      <c r="F214">
        <v>16.7</v>
      </c>
      <c r="G214" s="6">
        <v>3224</v>
      </c>
      <c r="H214" t="e">
        <v>#N/A</v>
      </c>
      <c r="I214">
        <v>0.11983821541070938</v>
      </c>
      <c r="N214" t="e">
        <v>#N/A</v>
      </c>
      <c r="O214" t="e">
        <v>#N/A</v>
      </c>
      <c r="P214">
        <v>97.47</v>
      </c>
      <c r="Q214" s="4" t="e">
        <v>#N/A</v>
      </c>
    </row>
    <row r="215" spans="1:17" x14ac:dyDescent="0.2">
      <c r="A215" s="4">
        <v>43009</v>
      </c>
      <c r="B215" s="5">
        <v>121565</v>
      </c>
      <c r="C215">
        <v>1.6316999999999999</v>
      </c>
      <c r="D215">
        <v>1.4</v>
      </c>
      <c r="E215">
        <v>89.8</v>
      </c>
      <c r="F215">
        <v>16.7</v>
      </c>
      <c r="G215" s="6">
        <v>3216</v>
      </c>
      <c r="H215">
        <v>42.7</v>
      </c>
      <c r="I215">
        <v>0.16232448816299438</v>
      </c>
      <c r="N215">
        <v>105.4</v>
      </c>
      <c r="O215">
        <v>139771</v>
      </c>
      <c r="P215">
        <v>99.4</v>
      </c>
      <c r="Q215" s="4" t="e">
        <v>#N/A</v>
      </c>
    </row>
    <row r="216" spans="1:17" x14ac:dyDescent="0.2">
      <c r="A216" s="4">
        <v>43040</v>
      </c>
      <c r="B216" s="5" t="e">
        <v>#N/A</v>
      </c>
      <c r="C216">
        <v>1.4957</v>
      </c>
      <c r="D216">
        <v>1.2</v>
      </c>
      <c r="E216" t="e">
        <v>#N/A</v>
      </c>
      <c r="F216">
        <v>16.7</v>
      </c>
      <c r="G216" s="6">
        <v>3219</v>
      </c>
      <c r="H216" t="e">
        <v>#N/A</v>
      </c>
      <c r="I216">
        <v>0.11361723393201828</v>
      </c>
      <c r="N216" t="e">
        <v>#N/A</v>
      </c>
      <c r="O216" t="e">
        <v>#N/A</v>
      </c>
      <c r="P216">
        <v>101.44</v>
      </c>
      <c r="Q216" s="4" t="e">
        <v>#N/A</v>
      </c>
    </row>
    <row r="217" spans="1:17" x14ac:dyDescent="0.2">
      <c r="A217" s="4">
        <v>43070</v>
      </c>
      <c r="B217" s="5" t="e">
        <v>#N/A</v>
      </c>
      <c r="C217">
        <v>1.4556</v>
      </c>
      <c r="D217">
        <v>1.1000000000000001</v>
      </c>
      <c r="E217" t="e">
        <v>#N/A</v>
      </c>
      <c r="F217">
        <v>16.600000000000001</v>
      </c>
      <c r="G217" s="6">
        <v>3207</v>
      </c>
      <c r="H217" t="e">
        <v>#N/A</v>
      </c>
      <c r="I217">
        <v>5.0260439515113831E-2</v>
      </c>
      <c r="N217" t="e">
        <v>#N/A</v>
      </c>
      <c r="O217" t="e">
        <v>#N/A</v>
      </c>
      <c r="P217">
        <v>101.76</v>
      </c>
      <c r="Q217" s="4" t="e">
        <v>#N/A</v>
      </c>
    </row>
    <row r="218" spans="1:17" x14ac:dyDescent="0.2">
      <c r="A218" s="4">
        <v>43101</v>
      </c>
      <c r="B218" s="5">
        <v>123271</v>
      </c>
      <c r="C218">
        <v>1.4754</v>
      </c>
      <c r="D218">
        <v>1</v>
      </c>
      <c r="E218">
        <v>90.5</v>
      </c>
      <c r="F218">
        <v>16.399999999999999</v>
      </c>
      <c r="G218" s="6">
        <v>3192</v>
      </c>
      <c r="H218">
        <v>42.5</v>
      </c>
      <c r="I218">
        <v>5.6399133056402206E-2</v>
      </c>
      <c r="N218">
        <v>106.1</v>
      </c>
      <c r="O218">
        <v>128234</v>
      </c>
      <c r="P218">
        <v>102.04</v>
      </c>
      <c r="Q218" s="4" t="s">
        <v>57</v>
      </c>
    </row>
    <row r="219" spans="1:17" x14ac:dyDescent="0.2">
      <c r="A219" s="4">
        <v>43132</v>
      </c>
      <c r="B219" s="5" t="e">
        <v>#N/A</v>
      </c>
      <c r="C219">
        <v>1.4995000000000001</v>
      </c>
      <c r="D219">
        <v>1.2</v>
      </c>
      <c r="E219" t="e">
        <v>#N/A</v>
      </c>
      <c r="F219">
        <v>16.2</v>
      </c>
      <c r="G219" s="6">
        <v>3157</v>
      </c>
      <c r="H219" t="e">
        <v>#N/A</v>
      </c>
      <c r="I219">
        <v>3.7198919802904129E-2</v>
      </c>
      <c r="N219" t="e">
        <v>#N/A</v>
      </c>
      <c r="O219" t="e">
        <v>#N/A</v>
      </c>
      <c r="P219">
        <v>101.53</v>
      </c>
      <c r="Q219" s="4" t="e">
        <v>#N/A</v>
      </c>
    </row>
    <row r="220" spans="1:17" x14ac:dyDescent="0.2">
      <c r="A220" s="4">
        <v>43160</v>
      </c>
      <c r="B220" s="5" t="e">
        <v>#N/A</v>
      </c>
      <c r="C220">
        <v>1.3613</v>
      </c>
      <c r="D220">
        <v>1.3</v>
      </c>
      <c r="E220" t="e">
        <v>#N/A</v>
      </c>
      <c r="F220">
        <v>15.9</v>
      </c>
      <c r="G220" s="6">
        <v>3109</v>
      </c>
      <c r="H220" t="e">
        <v>#N/A</v>
      </c>
      <c r="I220">
        <v>5.2095856517553329E-2</v>
      </c>
      <c r="N220" t="e">
        <v>#N/A</v>
      </c>
      <c r="O220" t="e">
        <v>#N/A</v>
      </c>
      <c r="P220">
        <v>98.9</v>
      </c>
      <c r="Q220" s="4" t="s">
        <v>58</v>
      </c>
    </row>
    <row r="221" spans="1:17" x14ac:dyDescent="0.2">
      <c r="A221" s="4">
        <v>43191</v>
      </c>
      <c r="B221" s="5">
        <v>124671</v>
      </c>
      <c r="C221">
        <v>1.2490000000000001</v>
      </c>
      <c r="D221">
        <v>1</v>
      </c>
      <c r="E221">
        <v>90.1</v>
      </c>
      <c r="F221">
        <v>15.7</v>
      </c>
      <c r="G221" s="6">
        <v>3054</v>
      </c>
      <c r="H221">
        <v>42.9</v>
      </c>
      <c r="I221">
        <v>1.7276378348469734E-2</v>
      </c>
      <c r="N221">
        <v>107.2</v>
      </c>
      <c r="O221">
        <v>139420</v>
      </c>
      <c r="P221">
        <v>100.35</v>
      </c>
      <c r="Q221" s="4" t="s">
        <v>59</v>
      </c>
    </row>
    <row r="222" spans="1:17" x14ac:dyDescent="0.2">
      <c r="A222" s="4">
        <v>43221</v>
      </c>
      <c r="B222" s="5" t="e">
        <v>#N/A</v>
      </c>
      <c r="C222">
        <v>1.395</v>
      </c>
      <c r="D222">
        <v>1.4</v>
      </c>
      <c r="E222" t="e">
        <v>#N/A</v>
      </c>
      <c r="F222">
        <v>15.5</v>
      </c>
      <c r="G222" s="6">
        <v>3009</v>
      </c>
      <c r="H222" t="e">
        <v>#N/A</v>
      </c>
      <c r="I222">
        <v>0.10084880888462067</v>
      </c>
      <c r="N222" t="e">
        <v>#N/A</v>
      </c>
      <c r="O222" t="e">
        <v>#N/A</v>
      </c>
      <c r="P222">
        <v>104.56</v>
      </c>
      <c r="Q222" s="4" t="s">
        <v>57</v>
      </c>
    </row>
    <row r="223" spans="1:17" x14ac:dyDescent="0.2">
      <c r="A223" s="4">
        <v>43252</v>
      </c>
      <c r="B223" s="5" t="e">
        <v>#N/A</v>
      </c>
      <c r="C223">
        <v>1.3763000000000001</v>
      </c>
      <c r="D223">
        <v>1.4</v>
      </c>
      <c r="E223" t="e">
        <v>#N/A</v>
      </c>
      <c r="F223">
        <v>15.2</v>
      </c>
      <c r="G223" s="6">
        <v>2953</v>
      </c>
      <c r="H223" t="e">
        <v>#N/A</v>
      </c>
      <c r="I223">
        <v>0.13217133283615112</v>
      </c>
      <c r="N223" t="e">
        <v>#N/A</v>
      </c>
      <c r="O223" t="e">
        <v>#N/A</v>
      </c>
      <c r="P223">
        <v>105.6</v>
      </c>
      <c r="Q223" s="4" t="e">
        <v>#N/A</v>
      </c>
    </row>
    <row r="224" spans="1:17" x14ac:dyDescent="0.2">
      <c r="A224" s="4">
        <v>43282</v>
      </c>
      <c r="B224" s="5">
        <v>126535</v>
      </c>
      <c r="C224">
        <v>1.3251999999999999</v>
      </c>
      <c r="D224">
        <v>1.3</v>
      </c>
      <c r="E224">
        <v>90.5</v>
      </c>
      <c r="F224">
        <v>15</v>
      </c>
      <c r="G224" s="6">
        <v>2902</v>
      </c>
      <c r="H224">
        <v>42.1</v>
      </c>
      <c r="I224">
        <v>5.9770312160253525E-2</v>
      </c>
      <c r="N224">
        <v>108.1</v>
      </c>
      <c r="O224">
        <v>136508</v>
      </c>
      <c r="P224">
        <v>106.29</v>
      </c>
      <c r="Q224" s="4" t="s">
        <v>57</v>
      </c>
    </row>
    <row r="225" spans="1:17" x14ac:dyDescent="0.2">
      <c r="A225" s="4">
        <v>43313</v>
      </c>
      <c r="B225" s="5" t="e">
        <v>#N/A</v>
      </c>
      <c r="C225">
        <v>1.4432</v>
      </c>
      <c r="D225">
        <v>1.2</v>
      </c>
      <c r="E225" t="e">
        <v>#N/A</v>
      </c>
      <c r="F225">
        <v>14.8</v>
      </c>
      <c r="G225" s="6">
        <v>2870</v>
      </c>
      <c r="H225" t="e">
        <v>#N/A</v>
      </c>
      <c r="I225">
        <v>8.0619879066944122E-2</v>
      </c>
      <c r="N225" t="e">
        <v>#N/A</v>
      </c>
      <c r="O225" t="e">
        <v>#N/A</v>
      </c>
      <c r="P225">
        <v>107.25</v>
      </c>
      <c r="Q225" s="4" t="e">
        <v>#N/A</v>
      </c>
    </row>
    <row r="226" spans="1:17" x14ac:dyDescent="0.2">
      <c r="A226" s="4">
        <v>43344</v>
      </c>
      <c r="B226" s="5" t="e">
        <v>#N/A</v>
      </c>
      <c r="C226">
        <v>1.5055000000000001</v>
      </c>
      <c r="D226">
        <v>1.1000000000000001</v>
      </c>
      <c r="E226" t="e">
        <v>#N/A</v>
      </c>
      <c r="F226">
        <v>14.7</v>
      </c>
      <c r="G226" s="6">
        <v>2847</v>
      </c>
      <c r="H226" t="e">
        <v>#N/A</v>
      </c>
      <c r="I226">
        <v>5.0398990511894226E-2</v>
      </c>
      <c r="N226" t="e">
        <v>#N/A</v>
      </c>
      <c r="O226" t="e">
        <v>#N/A</v>
      </c>
      <c r="P226">
        <v>109.15</v>
      </c>
      <c r="Q226" s="4" t="e">
        <v>#N/A</v>
      </c>
    </row>
    <row r="227" spans="1:17" x14ac:dyDescent="0.2">
      <c r="A227" s="4">
        <v>43374</v>
      </c>
      <c r="B227" s="5">
        <v>128716</v>
      </c>
      <c r="C227">
        <v>1.6279999999999999</v>
      </c>
      <c r="D227">
        <v>1.3</v>
      </c>
      <c r="E227">
        <v>89.4</v>
      </c>
      <c r="F227">
        <v>14.7</v>
      </c>
      <c r="G227" s="6">
        <v>2830</v>
      </c>
      <c r="H227">
        <v>39.299999999999997</v>
      </c>
      <c r="I227">
        <v>8.2385897636413574E-2</v>
      </c>
      <c r="N227">
        <v>108</v>
      </c>
      <c r="O227">
        <v>146487</v>
      </c>
      <c r="P227">
        <v>110.04</v>
      </c>
      <c r="Q227" s="4" t="e">
        <v>#N/A</v>
      </c>
    </row>
    <row r="228" spans="1:17" x14ac:dyDescent="0.2">
      <c r="A228" s="4">
        <v>43405</v>
      </c>
      <c r="B228" s="5" t="e">
        <v>#N/A</v>
      </c>
      <c r="C228">
        <v>1.6065</v>
      </c>
      <c r="D228">
        <v>1.1000000000000001</v>
      </c>
      <c r="E228" t="e">
        <v>#N/A</v>
      </c>
      <c r="F228">
        <v>14.6</v>
      </c>
      <c r="G228" s="6">
        <v>2815</v>
      </c>
      <c r="H228" t="e">
        <v>#N/A</v>
      </c>
      <c r="I228">
        <v>6.7816726863384247E-2</v>
      </c>
      <c r="N228" t="e">
        <v>#N/A</v>
      </c>
      <c r="O228" t="e">
        <v>#N/A</v>
      </c>
      <c r="P228">
        <v>107.93</v>
      </c>
      <c r="Q228" s="4" t="e">
        <v>#N/A</v>
      </c>
    </row>
    <row r="229" spans="1:17" x14ac:dyDescent="0.2">
      <c r="A229" s="4">
        <v>43435</v>
      </c>
      <c r="B229" s="5" t="e">
        <v>#N/A</v>
      </c>
      <c r="C229">
        <v>1.4298</v>
      </c>
      <c r="D229">
        <v>1.1000000000000001</v>
      </c>
      <c r="E229" t="e">
        <v>#N/A</v>
      </c>
      <c r="F229">
        <v>14.4</v>
      </c>
      <c r="G229" s="6">
        <v>2781</v>
      </c>
      <c r="H229" t="e">
        <v>#N/A</v>
      </c>
      <c r="I229">
        <v>2.8162403032183647E-2</v>
      </c>
      <c r="N229" t="e">
        <v>#N/A</v>
      </c>
      <c r="O229" t="e">
        <v>#N/A</v>
      </c>
      <c r="P229">
        <v>103.84</v>
      </c>
      <c r="Q229" s="4" t="e">
        <v>#N/A</v>
      </c>
    </row>
    <row r="230" spans="1:17" x14ac:dyDescent="0.2">
      <c r="A230" s="4">
        <v>43466</v>
      </c>
      <c r="B230" s="5">
        <v>129256</v>
      </c>
      <c r="C230">
        <v>1.3714999999999999</v>
      </c>
      <c r="D230">
        <v>1</v>
      </c>
      <c r="E230">
        <v>90</v>
      </c>
      <c r="F230">
        <v>14.3</v>
      </c>
      <c r="G230" s="6">
        <v>2743</v>
      </c>
      <c r="H230">
        <v>38.5</v>
      </c>
      <c r="I230">
        <v>0.10199744999408722</v>
      </c>
      <c r="N230">
        <v>109.6</v>
      </c>
      <c r="O230">
        <v>137015</v>
      </c>
      <c r="P230">
        <v>103.54</v>
      </c>
      <c r="Q230" s="4" t="s">
        <v>57</v>
      </c>
    </row>
    <row r="231" spans="1:17" x14ac:dyDescent="0.2">
      <c r="A231" s="4">
        <v>43497</v>
      </c>
      <c r="B231" s="5" t="e">
        <v>#N/A</v>
      </c>
      <c r="C231">
        <v>1.222</v>
      </c>
      <c r="D231">
        <v>0.9</v>
      </c>
      <c r="E231" t="e">
        <v>#N/A</v>
      </c>
      <c r="F231">
        <v>14.2</v>
      </c>
      <c r="G231" s="6">
        <v>2719</v>
      </c>
      <c r="H231" t="e">
        <v>#N/A</v>
      </c>
      <c r="I231">
        <v>0.17939759790897369</v>
      </c>
      <c r="N231" t="e">
        <v>#N/A</v>
      </c>
      <c r="O231" t="e">
        <v>#N/A</v>
      </c>
      <c r="P231">
        <v>104.21</v>
      </c>
      <c r="Q231" s="4" t="e">
        <v>#N/A</v>
      </c>
    </row>
    <row r="232" spans="1:17" x14ac:dyDescent="0.2">
      <c r="A232" s="4">
        <v>43525</v>
      </c>
      <c r="B232" s="5" t="e">
        <v>#N/A</v>
      </c>
      <c r="C232">
        <v>1.141</v>
      </c>
      <c r="D232">
        <v>0.8</v>
      </c>
      <c r="E232" t="e">
        <v>#N/A</v>
      </c>
      <c r="F232">
        <v>14.2</v>
      </c>
      <c r="G232" s="6">
        <v>2730</v>
      </c>
      <c r="H232" t="e">
        <v>#N/A</v>
      </c>
      <c r="I232">
        <v>5.83965964615345E-2</v>
      </c>
      <c r="N232" t="e">
        <v>#N/A</v>
      </c>
      <c r="O232" t="e">
        <v>#N/A</v>
      </c>
      <c r="P232">
        <v>104.47</v>
      </c>
      <c r="Q232" s="4" t="e">
        <v>#N/A</v>
      </c>
    </row>
    <row r="233" spans="1:17" x14ac:dyDescent="0.2">
      <c r="A233" s="4">
        <v>43556</v>
      </c>
      <c r="B233" s="5">
        <v>132091</v>
      </c>
      <c r="C233">
        <v>1.0799000000000001</v>
      </c>
      <c r="D233">
        <v>1.2</v>
      </c>
      <c r="E233">
        <v>89.7</v>
      </c>
      <c r="F233">
        <v>14.2</v>
      </c>
      <c r="G233" s="6">
        <v>2759</v>
      </c>
      <c r="H233">
        <v>38.4</v>
      </c>
      <c r="I233">
        <v>7.610350102186203E-2</v>
      </c>
      <c r="N233">
        <v>108.7</v>
      </c>
      <c r="O233">
        <v>149358</v>
      </c>
      <c r="P233">
        <v>105.79</v>
      </c>
      <c r="Q233" s="4" t="e">
        <v>#N/A</v>
      </c>
    </row>
    <row r="234" spans="1:17" x14ac:dyDescent="0.2">
      <c r="A234" s="4">
        <v>43586</v>
      </c>
      <c r="B234" s="5" t="e">
        <v>#N/A</v>
      </c>
      <c r="C234">
        <v>0.8972</v>
      </c>
      <c r="D234">
        <v>0.9</v>
      </c>
      <c r="E234" t="e">
        <v>#N/A</v>
      </c>
      <c r="F234">
        <v>14.3</v>
      </c>
      <c r="G234" s="6">
        <v>2774</v>
      </c>
      <c r="H234" t="e">
        <v>#N/A</v>
      </c>
      <c r="I234">
        <v>0.1203472912311554</v>
      </c>
      <c r="N234" t="e">
        <v>#N/A</v>
      </c>
      <c r="O234" t="e">
        <v>#N/A</v>
      </c>
      <c r="P234">
        <v>105.89</v>
      </c>
      <c r="Q234" s="4" t="e">
        <v>#N/A</v>
      </c>
    </row>
    <row r="235" spans="1:17" x14ac:dyDescent="0.2">
      <c r="A235" s="4">
        <v>43617</v>
      </c>
      <c r="B235" s="5" t="e">
        <v>#N/A</v>
      </c>
      <c r="C235">
        <v>0.50539999999999996</v>
      </c>
      <c r="D235">
        <v>1</v>
      </c>
      <c r="E235" t="e">
        <v>#N/A</v>
      </c>
      <c r="F235">
        <v>14.2</v>
      </c>
      <c r="G235" s="6">
        <v>2775</v>
      </c>
      <c r="H235" t="e">
        <v>#N/A</v>
      </c>
      <c r="I235">
        <v>7.334541529417038E-2</v>
      </c>
      <c r="N235" t="e">
        <v>#N/A</v>
      </c>
      <c r="O235" t="e">
        <v>#N/A</v>
      </c>
      <c r="P235">
        <v>102.91</v>
      </c>
      <c r="Q235" s="4" t="s">
        <v>57</v>
      </c>
    </row>
    <row r="236" spans="1:17" x14ac:dyDescent="0.2">
      <c r="A236" s="4">
        <v>43647</v>
      </c>
      <c r="B236" s="5">
        <v>132752</v>
      </c>
      <c r="C236">
        <v>0.39069999999999999</v>
      </c>
      <c r="D236">
        <v>1</v>
      </c>
      <c r="E236">
        <v>88.9</v>
      </c>
      <c r="F236">
        <v>14.2</v>
      </c>
      <c r="G236" s="6">
        <v>2763</v>
      </c>
      <c r="H236">
        <v>38</v>
      </c>
      <c r="I236">
        <v>0.10176090896129608</v>
      </c>
      <c r="N236">
        <v>109.2</v>
      </c>
      <c r="O236">
        <v>144595</v>
      </c>
      <c r="P236">
        <v>103.78</v>
      </c>
      <c r="Q236" s="4" t="e">
        <v>#N/A</v>
      </c>
    </row>
    <row r="237" spans="1:17" x14ac:dyDescent="0.2">
      <c r="A237" s="4">
        <v>43678</v>
      </c>
      <c r="B237" s="5" t="e">
        <v>#N/A</v>
      </c>
      <c r="C237">
        <v>0.1661</v>
      </c>
      <c r="D237">
        <v>1.1000000000000001</v>
      </c>
      <c r="E237" t="e">
        <v>#N/A</v>
      </c>
      <c r="F237">
        <v>14.1</v>
      </c>
      <c r="G237" s="6">
        <v>2745</v>
      </c>
      <c r="H237" t="e">
        <v>#N/A</v>
      </c>
      <c r="I237">
        <v>6.1941422522068024E-2</v>
      </c>
      <c r="N237" t="e">
        <v>#N/A</v>
      </c>
      <c r="O237" t="e">
        <v>#N/A</v>
      </c>
      <c r="P237">
        <v>102.46</v>
      </c>
      <c r="Q237" s="4" t="e">
        <v>#N/A</v>
      </c>
    </row>
    <row r="238" spans="1:17" x14ac:dyDescent="0.2">
      <c r="A238" s="4">
        <v>43709</v>
      </c>
      <c r="B238" s="5" t="e">
        <v>#N/A</v>
      </c>
      <c r="C238">
        <v>0.2092</v>
      </c>
      <c r="D238">
        <v>1.1000000000000001</v>
      </c>
      <c r="E238" t="e">
        <v>#N/A</v>
      </c>
      <c r="F238">
        <v>14</v>
      </c>
      <c r="G238" s="6">
        <v>2722</v>
      </c>
      <c r="H238" t="e">
        <v>#N/A</v>
      </c>
      <c r="I238">
        <v>6.2004517763853073E-2</v>
      </c>
      <c r="N238" t="e">
        <v>#N/A</v>
      </c>
      <c r="O238" t="e">
        <v>#N/A</v>
      </c>
      <c r="P238">
        <v>102.03</v>
      </c>
      <c r="Q238" s="4" t="s">
        <v>60</v>
      </c>
    </row>
    <row r="239" spans="1:17" x14ac:dyDescent="0.2">
      <c r="A239" s="4">
        <v>43739</v>
      </c>
      <c r="B239" s="5">
        <v>132670</v>
      </c>
      <c r="C239">
        <v>0.2303</v>
      </c>
      <c r="D239">
        <v>1.1000000000000001</v>
      </c>
      <c r="E239">
        <v>87.5</v>
      </c>
      <c r="F239">
        <v>14</v>
      </c>
      <c r="G239" s="6">
        <v>2739</v>
      </c>
      <c r="H239">
        <v>36.5</v>
      </c>
      <c r="I239">
        <v>7.5674764811992645E-2</v>
      </c>
      <c r="N239">
        <v>109.3</v>
      </c>
      <c r="O239">
        <v>154865</v>
      </c>
      <c r="P239">
        <v>102.94</v>
      </c>
      <c r="Q239" s="4" t="e">
        <v>#N/A</v>
      </c>
    </row>
    <row r="240" spans="1:17" x14ac:dyDescent="0.2">
      <c r="A240" s="4">
        <v>43770</v>
      </c>
      <c r="B240" s="5" t="e">
        <v>#N/A</v>
      </c>
      <c r="C240">
        <v>0.40970000000000001</v>
      </c>
      <c r="D240">
        <v>1.2</v>
      </c>
      <c r="E240" t="e">
        <v>#N/A</v>
      </c>
      <c r="F240">
        <v>13.9</v>
      </c>
      <c r="G240" s="6">
        <v>2741</v>
      </c>
      <c r="H240" t="e">
        <v>#N/A</v>
      </c>
      <c r="I240">
        <v>0.10123239457607269</v>
      </c>
      <c r="N240" t="e">
        <v>#N/A</v>
      </c>
      <c r="O240" t="e">
        <v>#N/A</v>
      </c>
      <c r="P240">
        <v>102.4</v>
      </c>
      <c r="Q240" s="4" t="e">
        <v>#N/A</v>
      </c>
    </row>
    <row r="241" spans="1:17" x14ac:dyDescent="0.2">
      <c r="A241" s="4">
        <v>43800</v>
      </c>
      <c r="B241" s="5" t="e">
        <v>#N/A</v>
      </c>
      <c r="C241">
        <v>0.45479999999999998</v>
      </c>
      <c r="D241">
        <v>1.2</v>
      </c>
      <c r="E241" t="e">
        <v>#N/A</v>
      </c>
      <c r="F241">
        <v>13.8</v>
      </c>
      <c r="G241" s="6">
        <v>2730</v>
      </c>
      <c r="H241" t="e">
        <v>#N/A</v>
      </c>
      <c r="I241">
        <v>5.339287593960762E-2</v>
      </c>
      <c r="N241" t="e">
        <v>#N/A</v>
      </c>
      <c r="O241" t="e">
        <v>#N/A</v>
      </c>
      <c r="P241">
        <v>101.71</v>
      </c>
      <c r="Q241" s="4" t="s">
        <v>57</v>
      </c>
    </row>
    <row r="242" spans="1:17" x14ac:dyDescent="0.2">
      <c r="A242" s="4">
        <v>43831</v>
      </c>
      <c r="B242" s="5">
        <v>138761</v>
      </c>
      <c r="C242">
        <v>0.39850000000000002</v>
      </c>
      <c r="D242">
        <v>1.3</v>
      </c>
      <c r="E242">
        <v>90.9</v>
      </c>
      <c r="F242">
        <v>13.8</v>
      </c>
      <c r="G242" s="6">
        <v>2724</v>
      </c>
      <c r="H242">
        <v>34.799999999999997</v>
      </c>
      <c r="I242">
        <v>5.2945069968700409E-2</v>
      </c>
      <c r="N242">
        <v>103.4</v>
      </c>
      <c r="O242">
        <v>141482</v>
      </c>
      <c r="P242">
        <v>103.56</v>
      </c>
      <c r="Q242" s="4" t="e">
        <v>#N/A</v>
      </c>
    </row>
    <row r="243" spans="1:17" x14ac:dyDescent="0.2">
      <c r="A243" s="4">
        <v>43862</v>
      </c>
      <c r="B243" s="5" t="e">
        <v>#N/A</v>
      </c>
      <c r="C243">
        <v>0.27279999999999999</v>
      </c>
      <c r="D243">
        <v>1.4</v>
      </c>
      <c r="E243" t="e">
        <v>#N/A</v>
      </c>
      <c r="F243">
        <v>13.6</v>
      </c>
      <c r="G243" s="6">
        <v>2637</v>
      </c>
      <c r="H243" t="e">
        <v>#N/A</v>
      </c>
      <c r="I243">
        <v>0.11145786941051483</v>
      </c>
      <c r="N243" t="e">
        <v>#N/A</v>
      </c>
      <c r="O243" t="e">
        <v>#N/A</v>
      </c>
      <c r="P243">
        <v>100.81</v>
      </c>
      <c r="Q243" s="4" t="e">
        <v>#N/A</v>
      </c>
    </row>
    <row r="244" spans="1:17" x14ac:dyDescent="0.2">
      <c r="A244" s="4">
        <v>43891</v>
      </c>
      <c r="B244" s="5" t="e">
        <v>#N/A</v>
      </c>
      <c r="C244">
        <v>0.58299999999999996</v>
      </c>
      <c r="D244">
        <v>1.4</v>
      </c>
      <c r="E244" t="e">
        <v>#N/A</v>
      </c>
      <c r="F244">
        <v>14.5</v>
      </c>
      <c r="G244" s="6">
        <v>2804</v>
      </c>
      <c r="H244" t="e">
        <v>#N/A</v>
      </c>
      <c r="I244">
        <v>0.17530357837677002</v>
      </c>
      <c r="N244" t="e">
        <v>#N/A</v>
      </c>
      <c r="O244" t="e">
        <v>#N/A</v>
      </c>
      <c r="P244">
        <v>94.39</v>
      </c>
      <c r="Q244" s="4" t="e">
        <v>#N/A</v>
      </c>
    </row>
    <row r="245" spans="1:17" x14ac:dyDescent="0.2">
      <c r="A245" s="4">
        <v>43922</v>
      </c>
      <c r="B245" s="5">
        <v>153777</v>
      </c>
      <c r="C245">
        <v>0.85150000000000003</v>
      </c>
      <c r="D245">
        <v>1.6</v>
      </c>
      <c r="E245">
        <v>101.4</v>
      </c>
      <c r="F245">
        <v>15.3</v>
      </c>
      <c r="G245" s="6">
        <v>2892</v>
      </c>
      <c r="H245">
        <v>26.6</v>
      </c>
      <c r="I245">
        <v>0.14391161501407623</v>
      </c>
      <c r="N245">
        <v>81</v>
      </c>
      <c r="O245">
        <v>130954</v>
      </c>
      <c r="P245">
        <v>87.72</v>
      </c>
      <c r="Q245" s="4" t="e">
        <v>#N/A</v>
      </c>
    </row>
    <row r="246" spans="1:17" x14ac:dyDescent="0.2">
      <c r="A246" s="4">
        <v>43952</v>
      </c>
      <c r="B246" s="5" t="e">
        <v>#N/A</v>
      </c>
      <c r="C246">
        <v>0.77439999999999998</v>
      </c>
      <c r="D246">
        <v>1.4</v>
      </c>
      <c r="E246" t="e">
        <v>#N/A</v>
      </c>
      <c r="F246">
        <v>15.5</v>
      </c>
      <c r="G246" s="6">
        <v>2890</v>
      </c>
      <c r="H246" t="e">
        <v>#N/A</v>
      </c>
      <c r="I246">
        <v>8.5616439580917358E-2</v>
      </c>
      <c r="N246" t="e">
        <v>#N/A</v>
      </c>
      <c r="O246" t="e">
        <v>#N/A</v>
      </c>
      <c r="P246">
        <v>87.14</v>
      </c>
      <c r="Q246" s="4" t="e">
        <v>#N/A</v>
      </c>
    </row>
    <row r="247" spans="1:17" x14ac:dyDescent="0.2">
      <c r="A247" s="4">
        <v>43983</v>
      </c>
      <c r="B247" s="5" t="e">
        <v>#N/A</v>
      </c>
      <c r="C247">
        <v>0.54910000000000003</v>
      </c>
      <c r="D247">
        <v>1.2</v>
      </c>
      <c r="E247" t="e">
        <v>#N/A</v>
      </c>
      <c r="F247">
        <v>16</v>
      </c>
      <c r="G247" s="6">
        <v>2967</v>
      </c>
      <c r="H247" t="e">
        <v>#N/A</v>
      </c>
      <c r="I247">
        <v>3.691399097442627E-2</v>
      </c>
      <c r="N247" t="e">
        <v>#N/A</v>
      </c>
      <c r="O247" t="e">
        <v>#N/A</v>
      </c>
      <c r="P247">
        <v>90.61</v>
      </c>
      <c r="Q247" s="4" t="s">
        <v>57</v>
      </c>
    </row>
    <row r="248" spans="1:17" x14ac:dyDescent="0.2">
      <c r="A248" s="4">
        <v>44013</v>
      </c>
      <c r="B248" s="5">
        <v>143611</v>
      </c>
      <c r="C248">
        <v>0.3992</v>
      </c>
      <c r="D248">
        <v>0.6</v>
      </c>
      <c r="E248">
        <v>105.2</v>
      </c>
      <c r="F248">
        <v>16.2</v>
      </c>
      <c r="G248" s="6">
        <v>3077</v>
      </c>
      <c r="H248">
        <v>31.7</v>
      </c>
      <c r="I248">
        <v>7.2010442614555359E-2</v>
      </c>
      <c r="N248">
        <v>101.8</v>
      </c>
      <c r="O248">
        <v>138950</v>
      </c>
      <c r="P248">
        <v>92.62</v>
      </c>
      <c r="Q248" s="4" t="e">
        <v>#N/A</v>
      </c>
    </row>
    <row r="249" spans="1:17" x14ac:dyDescent="0.2">
      <c r="A249" s="4">
        <v>44044</v>
      </c>
      <c r="B249" s="5" t="e">
        <v>#N/A</v>
      </c>
      <c r="C249">
        <v>0.33139999999999997</v>
      </c>
      <c r="D249">
        <v>0.5</v>
      </c>
      <c r="E249" t="e">
        <v>#N/A</v>
      </c>
      <c r="F249">
        <v>16.5</v>
      </c>
      <c r="G249" s="6">
        <v>3160</v>
      </c>
      <c r="H249" t="e">
        <v>#N/A</v>
      </c>
      <c r="I249">
        <v>9.3503721058368683E-2</v>
      </c>
      <c r="N249" t="e">
        <v>#N/A</v>
      </c>
      <c r="O249" t="e">
        <v>#N/A</v>
      </c>
      <c r="P249">
        <v>92.94</v>
      </c>
      <c r="Q249" s="4" t="s">
        <v>61</v>
      </c>
    </row>
    <row r="250" spans="1:17" x14ac:dyDescent="0.2">
      <c r="A250" s="4">
        <v>44075</v>
      </c>
      <c r="B250" s="5" t="e">
        <v>#N/A</v>
      </c>
      <c r="C250">
        <v>0.29110000000000003</v>
      </c>
      <c r="D250">
        <v>0.5</v>
      </c>
      <c r="E250" t="e">
        <v>#N/A</v>
      </c>
      <c r="F250">
        <v>16.399999999999999</v>
      </c>
      <c r="G250" s="6">
        <v>3175</v>
      </c>
      <c r="H250" t="e">
        <v>#N/A</v>
      </c>
      <c r="I250">
        <v>4.9291986972093582E-2</v>
      </c>
      <c r="N250" t="e">
        <v>#N/A</v>
      </c>
      <c r="O250" t="e">
        <v>#N/A</v>
      </c>
      <c r="P250">
        <v>93.27</v>
      </c>
      <c r="Q250" s="4" t="s">
        <v>59</v>
      </c>
    </row>
    <row r="251" spans="1:17" x14ac:dyDescent="0.2">
      <c r="A251" s="4">
        <v>44105</v>
      </c>
      <c r="B251" s="5">
        <v>144015</v>
      </c>
      <c r="C251">
        <v>0.185</v>
      </c>
      <c r="D251">
        <v>0.4</v>
      </c>
      <c r="E251">
        <v>107</v>
      </c>
      <c r="F251">
        <v>16.3</v>
      </c>
      <c r="G251" s="6">
        <v>3162</v>
      </c>
      <c r="H251">
        <v>35.299999999999997</v>
      </c>
      <c r="I251">
        <v>6.7490614950656891E-2</v>
      </c>
      <c r="N251">
        <v>102.7</v>
      </c>
      <c r="O251">
        <v>150480</v>
      </c>
      <c r="P251">
        <v>91.54</v>
      </c>
      <c r="Q251" s="4" t="e">
        <v>#N/A</v>
      </c>
    </row>
    <row r="252" spans="1:17" x14ac:dyDescent="0.2">
      <c r="A252" s="4">
        <v>44136</v>
      </c>
      <c r="B252" s="5" t="e">
        <v>#N/A</v>
      </c>
      <c r="C252">
        <v>0.1016</v>
      </c>
      <c r="D252">
        <v>0.3</v>
      </c>
      <c r="E252" t="e">
        <v>#N/A</v>
      </c>
      <c r="F252">
        <v>16.2</v>
      </c>
      <c r="G252" s="6">
        <v>3151</v>
      </c>
      <c r="H252" t="e">
        <v>#N/A</v>
      </c>
      <c r="I252">
        <v>9.6361219882965088E-2</v>
      </c>
      <c r="N252" t="e">
        <v>#N/A</v>
      </c>
      <c r="O252" t="e">
        <v>#N/A</v>
      </c>
      <c r="P252">
        <v>92.63</v>
      </c>
      <c r="Q252" s="4" t="e">
        <v>#N/A</v>
      </c>
    </row>
    <row r="253" spans="1:17" x14ac:dyDescent="0.2">
      <c r="A253" s="4">
        <v>44166</v>
      </c>
      <c r="B253" s="5" t="e">
        <v>#N/A</v>
      </c>
      <c r="C253">
        <v>5.1299999999999998E-2</v>
      </c>
      <c r="D253">
        <v>0.2</v>
      </c>
      <c r="E253" t="e">
        <v>#N/A</v>
      </c>
      <c r="F253">
        <v>16.2</v>
      </c>
      <c r="G253" s="6">
        <v>3146</v>
      </c>
      <c r="H253" t="e">
        <v>#N/A</v>
      </c>
      <c r="I253">
        <v>8.9707270264625549E-2</v>
      </c>
      <c r="N253" t="e">
        <v>#N/A</v>
      </c>
      <c r="O253" t="e">
        <v>#N/A</v>
      </c>
      <c r="P253">
        <v>95.32</v>
      </c>
      <c r="Q253" s="4" t="s">
        <v>57</v>
      </c>
    </row>
    <row r="254" spans="1:17" x14ac:dyDescent="0.2">
      <c r="A254" s="4">
        <v>44197</v>
      </c>
      <c r="B254" s="5">
        <v>150394</v>
      </c>
      <c r="C254">
        <v>7.3800000000000004E-2</v>
      </c>
      <c r="D254">
        <v>0.8</v>
      </c>
      <c r="E254">
        <v>111.2</v>
      </c>
      <c r="F254">
        <v>15.9</v>
      </c>
      <c r="G254" s="6">
        <v>3081</v>
      </c>
      <c r="H254">
        <v>39.1</v>
      </c>
      <c r="I254">
        <v>5.3076207637786865E-2</v>
      </c>
      <c r="N254">
        <v>100.3</v>
      </c>
      <c r="O254">
        <v>141660</v>
      </c>
      <c r="P254">
        <v>101.51</v>
      </c>
      <c r="Q254" s="4" t="e">
        <v>#N/A</v>
      </c>
    </row>
    <row r="255" spans="1:17" x14ac:dyDescent="0.2">
      <c r="A255" s="4">
        <v>44228</v>
      </c>
      <c r="B255" s="5" t="e">
        <v>#N/A</v>
      </c>
      <c r="C255">
        <v>0.2369</v>
      </c>
      <c r="D255">
        <v>0.5</v>
      </c>
      <c r="E255" t="e">
        <v>#N/A</v>
      </c>
      <c r="F255">
        <v>15.7</v>
      </c>
      <c r="G255" s="6">
        <v>3054</v>
      </c>
      <c r="H255" t="e">
        <v>#N/A</v>
      </c>
      <c r="I255">
        <v>2.899671345949173E-2</v>
      </c>
      <c r="N255" t="e">
        <v>#N/A</v>
      </c>
      <c r="O255" t="e">
        <v>#N/A</v>
      </c>
      <c r="P255">
        <v>96.61</v>
      </c>
      <c r="Q255" s="4" t="e">
        <v>#N/A</v>
      </c>
    </row>
    <row r="256" spans="1:17" x14ac:dyDescent="0.2">
      <c r="A256" s="4">
        <v>44256</v>
      </c>
      <c r="B256" s="5" t="e">
        <v>#N/A</v>
      </c>
      <c r="C256">
        <v>0.34279999999999999</v>
      </c>
      <c r="D256">
        <v>0.3</v>
      </c>
      <c r="E256" t="e">
        <v>#N/A</v>
      </c>
      <c r="F256">
        <v>15.5</v>
      </c>
      <c r="G256" s="6">
        <v>3014</v>
      </c>
      <c r="H256" t="e">
        <v>#N/A</v>
      </c>
      <c r="I256">
        <v>6.9868996739387512E-2</v>
      </c>
      <c r="N256" t="e">
        <v>#N/A</v>
      </c>
      <c r="O256" t="e">
        <v>#N/A</v>
      </c>
      <c r="P256">
        <v>102.38</v>
      </c>
      <c r="Q256" s="4" t="e">
        <v>#N/A</v>
      </c>
    </row>
    <row r="257" spans="1:17" x14ac:dyDescent="0.2">
      <c r="A257" s="4">
        <v>44287</v>
      </c>
      <c r="B257" s="5">
        <v>149003</v>
      </c>
      <c r="C257">
        <v>0.39760000000000001</v>
      </c>
      <c r="D257">
        <v>-0.2</v>
      </c>
      <c r="E257">
        <v>108.2</v>
      </c>
      <c r="F257">
        <v>15.7</v>
      </c>
      <c r="G257" s="6">
        <v>3040</v>
      </c>
      <c r="H257">
        <v>42.5</v>
      </c>
      <c r="I257">
        <v>6.0524232685565948E-2</v>
      </c>
      <c r="N257">
        <v>105.1</v>
      </c>
      <c r="O257">
        <v>149460</v>
      </c>
      <c r="P257">
        <v>106.43</v>
      </c>
      <c r="Q257" s="4" t="e">
        <v>#N/A</v>
      </c>
    </row>
    <row r="258" spans="1:17" x14ac:dyDescent="0.2">
      <c r="A258" s="4">
        <v>44317</v>
      </c>
      <c r="B258" s="5" t="e">
        <v>#N/A</v>
      </c>
      <c r="C258">
        <v>0.52300000000000002</v>
      </c>
      <c r="D258">
        <v>0.1</v>
      </c>
      <c r="E258" t="e">
        <v>#N/A</v>
      </c>
      <c r="F258">
        <v>15.7</v>
      </c>
      <c r="G258" s="6">
        <v>3065</v>
      </c>
      <c r="H258" t="e">
        <v>#N/A</v>
      </c>
      <c r="I258">
        <v>2.7260337024927139E-2</v>
      </c>
      <c r="N258" t="e">
        <v>#N/A</v>
      </c>
      <c r="O258" t="e">
        <v>#N/A</v>
      </c>
      <c r="P258">
        <v>108.05</v>
      </c>
      <c r="Q258" s="4" t="e">
        <v>#N/A</v>
      </c>
    </row>
    <row r="259" spans="1:17" x14ac:dyDescent="0.2">
      <c r="A259" s="4">
        <v>44348</v>
      </c>
      <c r="B259" s="5" t="e">
        <v>#N/A</v>
      </c>
      <c r="C259">
        <v>0.44040000000000001</v>
      </c>
      <c r="D259">
        <v>0.1</v>
      </c>
      <c r="E259" t="e">
        <v>#N/A</v>
      </c>
      <c r="F259">
        <v>15.6</v>
      </c>
      <c r="G259" s="6">
        <v>3070</v>
      </c>
      <c r="H259" t="e">
        <v>#N/A</v>
      </c>
      <c r="I259">
        <v>8.8191606104373932E-2</v>
      </c>
      <c r="N259" t="e">
        <v>#N/A</v>
      </c>
      <c r="O259" t="e">
        <v>#N/A</v>
      </c>
      <c r="P259">
        <v>111.84</v>
      </c>
      <c r="Q259" s="4" t="s">
        <v>57</v>
      </c>
    </row>
    <row r="260" spans="1:17" x14ac:dyDescent="0.2">
      <c r="A260" s="4">
        <v>44378</v>
      </c>
      <c r="B260" s="5">
        <v>158337</v>
      </c>
      <c r="C260">
        <v>0.32929999999999998</v>
      </c>
      <c r="D260">
        <v>0.8</v>
      </c>
      <c r="E260">
        <v>106.8</v>
      </c>
      <c r="F260">
        <v>15.2</v>
      </c>
      <c r="G260" s="6">
        <v>3043</v>
      </c>
      <c r="H260">
        <v>42.5</v>
      </c>
      <c r="I260">
        <v>1.7925966531038284E-2</v>
      </c>
      <c r="N260">
        <v>105.4</v>
      </c>
      <c r="O260">
        <v>150811</v>
      </c>
      <c r="P260">
        <v>111.77</v>
      </c>
      <c r="Q260" s="4" t="s">
        <v>57</v>
      </c>
    </row>
    <row r="261" spans="1:17" x14ac:dyDescent="0.2">
      <c r="A261" s="4">
        <v>44409</v>
      </c>
      <c r="B261" s="5" t="e">
        <v>#N/A</v>
      </c>
      <c r="C261">
        <v>0.251</v>
      </c>
      <c r="D261">
        <v>1</v>
      </c>
      <c r="E261" t="e">
        <v>#N/A</v>
      </c>
      <c r="F261">
        <v>14.8</v>
      </c>
      <c r="G261" s="6">
        <v>2987</v>
      </c>
      <c r="H261" t="e">
        <v>#N/A</v>
      </c>
      <c r="I261">
        <v>7.7238716185092926E-2</v>
      </c>
      <c r="N261" t="e">
        <v>#N/A</v>
      </c>
      <c r="O261" t="e">
        <v>#N/A</v>
      </c>
      <c r="P261">
        <v>114.68</v>
      </c>
      <c r="Q261" s="4" t="e">
        <v>#N/A</v>
      </c>
    </row>
    <row r="262" spans="1:17" x14ac:dyDescent="0.2">
      <c r="A262" s="4">
        <v>44440</v>
      </c>
      <c r="B262" s="5" t="e">
        <v>#N/A</v>
      </c>
      <c r="C262">
        <v>0.36309999999999998</v>
      </c>
      <c r="D262">
        <v>1.2</v>
      </c>
      <c r="E262" t="e">
        <v>#N/A</v>
      </c>
      <c r="F262">
        <v>14.3</v>
      </c>
      <c r="G262" s="6">
        <v>2893</v>
      </c>
      <c r="H262" t="e">
        <v>#N/A</v>
      </c>
      <c r="I262">
        <v>8.426966518163681E-2</v>
      </c>
      <c r="N262" t="e">
        <v>#N/A</v>
      </c>
      <c r="O262" t="e">
        <v>#N/A</v>
      </c>
      <c r="P262">
        <v>119.94</v>
      </c>
      <c r="Q262" s="4" t="e">
        <v>#N/A</v>
      </c>
    </row>
    <row r="263" spans="1:17" x14ac:dyDescent="0.2">
      <c r="A263" s="4">
        <v>44470</v>
      </c>
      <c r="B263" s="5">
        <v>153390</v>
      </c>
      <c r="C263">
        <v>0.4985</v>
      </c>
      <c r="D263">
        <v>1.5</v>
      </c>
      <c r="E263">
        <v>103.7</v>
      </c>
      <c r="F263">
        <v>13.9</v>
      </c>
      <c r="G263" s="6">
        <v>2779</v>
      </c>
      <c r="H263">
        <v>42.7</v>
      </c>
      <c r="I263">
        <v>8.5136890411376953E-2</v>
      </c>
      <c r="N263">
        <v>106.1</v>
      </c>
      <c r="O263">
        <v>162262</v>
      </c>
      <c r="P263">
        <v>127.48</v>
      </c>
      <c r="Q263" s="4" t="e">
        <v>#N/A</v>
      </c>
    </row>
    <row r="264" spans="1:17" x14ac:dyDescent="0.2">
      <c r="A264" s="4">
        <v>44501</v>
      </c>
      <c r="B264" s="5" t="e">
        <v>#N/A</v>
      </c>
      <c r="C264">
        <v>0.4708</v>
      </c>
      <c r="D264">
        <v>2</v>
      </c>
      <c r="E264" t="e">
        <v>#N/A</v>
      </c>
      <c r="F264">
        <v>13.5</v>
      </c>
      <c r="G264" s="6">
        <v>2689</v>
      </c>
      <c r="H264" t="e">
        <v>#N/A</v>
      </c>
      <c r="I264">
        <v>4.2643923312425613E-2</v>
      </c>
      <c r="N264" t="e">
        <v>#N/A</v>
      </c>
      <c r="O264" t="e">
        <v>#N/A</v>
      </c>
      <c r="P264">
        <v>125.76</v>
      </c>
      <c r="Q264" s="4" t="e">
        <v>#N/A</v>
      </c>
    </row>
    <row r="265" spans="1:17" x14ac:dyDescent="0.2">
      <c r="A265" s="4">
        <v>44531</v>
      </c>
      <c r="B265" s="5" t="e">
        <v>#N/A</v>
      </c>
      <c r="C265">
        <v>0.43</v>
      </c>
      <c r="D265">
        <v>2.6</v>
      </c>
      <c r="E265" t="e">
        <v>#N/A</v>
      </c>
      <c r="F265">
        <v>13.3</v>
      </c>
      <c r="G265" s="6">
        <v>2653</v>
      </c>
      <c r="H265" t="e">
        <v>#N/A</v>
      </c>
      <c r="I265">
        <v>3.4559369087219238E-2</v>
      </c>
      <c r="N265" t="e">
        <v>#N/A</v>
      </c>
      <c r="O265" t="e">
        <v>#N/A</v>
      </c>
      <c r="P265">
        <v>133.19</v>
      </c>
      <c r="Q265" s="4" t="s">
        <v>57</v>
      </c>
    </row>
    <row r="266" spans="1:17" x14ac:dyDescent="0.2">
      <c r="A266" s="4">
        <v>44562</v>
      </c>
      <c r="B266" s="5">
        <v>150934</v>
      </c>
      <c r="C266">
        <v>0.65529999999999999</v>
      </c>
      <c r="D266">
        <v>2.8</v>
      </c>
      <c r="E266">
        <v>102.9</v>
      </c>
      <c r="F266">
        <v>13.3</v>
      </c>
      <c r="G266" s="6">
        <v>2645</v>
      </c>
      <c r="H266">
        <v>41.6</v>
      </c>
      <c r="I266">
        <v>0.16967229545116425</v>
      </c>
      <c r="N266">
        <v>108.5</v>
      </c>
      <c r="O266">
        <v>154278</v>
      </c>
      <c r="P266">
        <v>134.77000000000001</v>
      </c>
      <c r="Q266" s="4" t="e">
        <v>#N/A</v>
      </c>
    </row>
    <row r="267" spans="1:17" x14ac:dyDescent="0.2">
      <c r="A267" s="4">
        <v>44593</v>
      </c>
      <c r="B267" s="5" t="e">
        <v>#N/A</v>
      </c>
      <c r="C267">
        <v>1.1487000000000001</v>
      </c>
      <c r="D267">
        <v>3.4</v>
      </c>
      <c r="E267" t="e">
        <v>#N/A</v>
      </c>
      <c r="F267">
        <v>13.2</v>
      </c>
      <c r="G267" s="6">
        <v>2642</v>
      </c>
      <c r="H267" t="e">
        <v>#N/A</v>
      </c>
      <c r="I267">
        <v>0.14094433188438416</v>
      </c>
      <c r="N267" t="e">
        <v>#N/A</v>
      </c>
      <c r="O267" t="e">
        <v>#N/A</v>
      </c>
      <c r="P267">
        <v>138.81</v>
      </c>
      <c r="Q267" s="4" t="e">
        <v>#N/A</v>
      </c>
    </row>
    <row r="268" spans="1:17" x14ac:dyDescent="0.2">
      <c r="A268" s="4">
        <v>44621</v>
      </c>
      <c r="B268" s="5" t="e">
        <v>#N/A</v>
      </c>
      <c r="C268">
        <v>1.2727999999999999</v>
      </c>
      <c r="D268">
        <v>3.9</v>
      </c>
      <c r="E268" t="e">
        <v>#N/A</v>
      </c>
      <c r="F268">
        <v>13.3</v>
      </c>
      <c r="G268" s="6">
        <v>2657</v>
      </c>
      <c r="H268" t="e">
        <v>#N/A</v>
      </c>
      <c r="I268">
        <v>0.25999036431312561</v>
      </c>
      <c r="N268" t="e">
        <v>#N/A</v>
      </c>
      <c r="O268" t="e">
        <v>#N/A</v>
      </c>
      <c r="P268">
        <v>164.08</v>
      </c>
      <c r="Q268" s="4" t="s">
        <v>60</v>
      </c>
    </row>
    <row r="269" spans="1:17" x14ac:dyDescent="0.2">
      <c r="A269" s="4">
        <v>44652</v>
      </c>
      <c r="B269" s="5">
        <v>157240</v>
      </c>
      <c r="C269">
        <v>1.7571000000000001</v>
      </c>
      <c r="D269">
        <v>5.0999999999999996</v>
      </c>
      <c r="E269">
        <v>101.4</v>
      </c>
      <c r="F269">
        <v>13.2</v>
      </c>
      <c r="G269" s="6">
        <v>2625</v>
      </c>
      <c r="H269">
        <v>40</v>
      </c>
      <c r="I269">
        <v>0.22162602841854095</v>
      </c>
      <c r="N269">
        <v>109.6</v>
      </c>
      <c r="O269">
        <v>164291</v>
      </c>
      <c r="P269">
        <v>141.91999999999999</v>
      </c>
      <c r="Q269" s="4" t="e">
        <v>#N/A</v>
      </c>
    </row>
    <row r="270" spans="1:17" x14ac:dyDescent="0.2">
      <c r="A270" s="4">
        <v>44682</v>
      </c>
      <c r="B270" s="5" t="e">
        <v>#N/A</v>
      </c>
      <c r="C270">
        <v>2.0832999999999999</v>
      </c>
      <c r="D270">
        <v>5.3</v>
      </c>
      <c r="E270" t="e">
        <v>#N/A</v>
      </c>
      <c r="F270">
        <v>12.9</v>
      </c>
      <c r="G270" s="6">
        <v>2584</v>
      </c>
      <c r="H270" t="e">
        <v>#N/A</v>
      </c>
      <c r="I270">
        <v>0.13581573963165283</v>
      </c>
      <c r="N270" t="e">
        <v>#N/A</v>
      </c>
      <c r="O270" t="e">
        <v>#N/A</v>
      </c>
      <c r="P270">
        <v>144.57</v>
      </c>
      <c r="Q270" s="4" t="s">
        <v>57</v>
      </c>
    </row>
    <row r="271" spans="1:17" x14ac:dyDescent="0.2">
      <c r="A271" s="4">
        <v>44713</v>
      </c>
      <c r="B271" s="5" t="e">
        <v>#N/A</v>
      </c>
      <c r="C271">
        <v>2.6541999999999999</v>
      </c>
      <c r="D271">
        <v>6.2</v>
      </c>
      <c r="E271" t="e">
        <v>#N/A</v>
      </c>
      <c r="F271">
        <v>12.9</v>
      </c>
      <c r="G271" s="6">
        <v>2551</v>
      </c>
      <c r="H271" t="e">
        <v>#N/A</v>
      </c>
      <c r="I271">
        <v>0.41794207692146301</v>
      </c>
      <c r="N271" t="e">
        <v>#N/A</v>
      </c>
      <c r="O271" t="e">
        <v>#N/A</v>
      </c>
      <c r="P271">
        <v>157.11000000000001</v>
      </c>
      <c r="Q271" s="4" t="s">
        <v>57</v>
      </c>
    </row>
    <row r="272" spans="1:17" x14ac:dyDescent="0.2">
      <c r="A272" s="4">
        <v>44743</v>
      </c>
      <c r="B272" s="5">
        <v>162512</v>
      </c>
      <c r="C272">
        <v>2.2904</v>
      </c>
      <c r="D272">
        <v>6.9</v>
      </c>
      <c r="E272">
        <v>101.3</v>
      </c>
      <c r="F272">
        <v>12.7</v>
      </c>
      <c r="G272" s="6">
        <v>2525</v>
      </c>
      <c r="H272">
        <v>37.700000000000003</v>
      </c>
      <c r="I272">
        <v>0.19170442223548889</v>
      </c>
      <c r="N272">
        <v>110.1</v>
      </c>
      <c r="O272">
        <v>162145</v>
      </c>
      <c r="P272">
        <v>157.51</v>
      </c>
      <c r="Q272" s="4" t="s">
        <v>59</v>
      </c>
    </row>
    <row r="273" spans="1:17" x14ac:dyDescent="0.2">
      <c r="A273" s="4">
        <v>44774</v>
      </c>
      <c r="B273" s="5" t="e">
        <v>#N/A</v>
      </c>
      <c r="C273">
        <v>2.2477</v>
      </c>
      <c r="D273">
        <v>7.1</v>
      </c>
      <c r="E273" t="e">
        <v>#N/A</v>
      </c>
      <c r="F273">
        <v>12.8</v>
      </c>
      <c r="G273" s="6">
        <v>2520</v>
      </c>
      <c r="H273" t="e">
        <v>#N/A</v>
      </c>
      <c r="I273">
        <v>6.5135009586811066E-2</v>
      </c>
      <c r="N273" t="e">
        <v>#N/A</v>
      </c>
      <c r="O273" t="e">
        <v>#N/A</v>
      </c>
      <c r="P273">
        <v>157.08000000000001</v>
      </c>
      <c r="Q273" s="4" t="e">
        <v>#N/A</v>
      </c>
    </row>
    <row r="274" spans="1:17" x14ac:dyDescent="0.2">
      <c r="A274" s="4">
        <v>44805</v>
      </c>
      <c r="B274" s="5" t="e">
        <v>#N/A</v>
      </c>
      <c r="C274">
        <v>2.9994999999999998</v>
      </c>
      <c r="D274">
        <v>7.1</v>
      </c>
      <c r="E274" t="e">
        <v>#N/A</v>
      </c>
      <c r="F274">
        <v>12.9</v>
      </c>
      <c r="G274" s="6">
        <v>2573</v>
      </c>
      <c r="H274" t="e">
        <v>#N/A</v>
      </c>
      <c r="I274">
        <v>9.4256259500980377E-2</v>
      </c>
      <c r="N274" t="e">
        <v>#N/A</v>
      </c>
      <c r="O274" t="e">
        <v>#N/A</v>
      </c>
      <c r="P274">
        <v>146.6</v>
      </c>
      <c r="Q274" s="4" t="e">
        <v>#N/A</v>
      </c>
    </row>
    <row r="275" spans="1:17" x14ac:dyDescent="0.2">
      <c r="A275" s="4">
        <v>44835</v>
      </c>
      <c r="B275" s="5">
        <v>166431</v>
      </c>
      <c r="C275">
        <v>3.3506</v>
      </c>
      <c r="D275">
        <v>7.1</v>
      </c>
      <c r="E275">
        <v>98.9</v>
      </c>
      <c r="F275">
        <v>13</v>
      </c>
      <c r="G275" s="6">
        <v>2611</v>
      </c>
      <c r="H275">
        <v>36.799999999999997</v>
      </c>
      <c r="I275">
        <v>0.10223787277936935</v>
      </c>
      <c r="N275">
        <v>109.8</v>
      </c>
      <c r="O275">
        <v>175148</v>
      </c>
      <c r="P275">
        <v>137.55000000000001</v>
      </c>
      <c r="Q275" s="4" t="e">
        <v>#N/A</v>
      </c>
    </row>
    <row r="276" spans="1:17" x14ac:dyDescent="0.2">
      <c r="A276" s="4">
        <v>44866</v>
      </c>
      <c r="B276" s="5" t="e">
        <v>#N/A</v>
      </c>
      <c r="C276">
        <v>3.1034000000000002</v>
      </c>
      <c r="D276">
        <v>6.9</v>
      </c>
      <c r="E276" t="e">
        <v>#N/A</v>
      </c>
      <c r="F276">
        <v>13.2</v>
      </c>
      <c r="G276" s="6">
        <v>2646</v>
      </c>
      <c r="H276" t="e">
        <v>#N/A</v>
      </c>
      <c r="I276">
        <v>9.1225266456604004E-2</v>
      </c>
      <c r="N276" t="e">
        <v>#N/A</v>
      </c>
      <c r="O276" t="e">
        <v>#N/A</v>
      </c>
      <c r="P276">
        <v>131.18</v>
      </c>
      <c r="Q276" s="4" t="s">
        <v>57</v>
      </c>
    </row>
    <row r="277" spans="1:17" x14ac:dyDescent="0.2">
      <c r="A277" s="4">
        <v>44896</v>
      </c>
      <c r="B277" s="5" t="e">
        <v>#N/A</v>
      </c>
      <c r="C277">
        <v>3.1674000000000002</v>
      </c>
      <c r="D277">
        <v>7.1</v>
      </c>
      <c r="E277" t="e">
        <v>#N/A</v>
      </c>
      <c r="F277">
        <v>13.2</v>
      </c>
      <c r="G277" s="6">
        <v>2652</v>
      </c>
      <c r="H277" t="e">
        <v>#N/A</v>
      </c>
      <c r="I277">
        <v>0.14258261024951935</v>
      </c>
      <c r="N277" t="e">
        <v>#N/A</v>
      </c>
      <c r="O277" t="e">
        <v>#N/A</v>
      </c>
      <c r="P277">
        <v>123.98</v>
      </c>
      <c r="Q277" s="4" t="e">
        <v>#N/A</v>
      </c>
    </row>
    <row r="278" spans="1:17" x14ac:dyDescent="0.2">
      <c r="A278" s="4">
        <v>44927</v>
      </c>
      <c r="B278" s="5">
        <v>164413</v>
      </c>
      <c r="C278">
        <v>3.2307999999999999</v>
      </c>
      <c r="D278">
        <v>7.8</v>
      </c>
      <c r="E278">
        <v>98.4</v>
      </c>
      <c r="F278">
        <v>13.1</v>
      </c>
      <c r="G278" s="6">
        <v>2646</v>
      </c>
      <c r="H278">
        <v>35.9</v>
      </c>
      <c r="I278">
        <v>0.15163002908229828</v>
      </c>
      <c r="N278">
        <v>111.8</v>
      </c>
      <c r="O278">
        <v>168322</v>
      </c>
      <c r="P278">
        <v>123.79</v>
      </c>
      <c r="Q278" s="4" t="e">
        <v>#N/A</v>
      </c>
    </row>
    <row r="279" spans="1:17" x14ac:dyDescent="0.2">
      <c r="A279" s="4">
        <v>44958</v>
      </c>
      <c r="B279" s="5" t="e">
        <v>#N/A</v>
      </c>
      <c r="C279">
        <v>3.4409000000000001</v>
      </c>
      <c r="D279">
        <v>8.1</v>
      </c>
      <c r="E279" t="e">
        <v>#N/A</v>
      </c>
      <c r="F279">
        <v>12.9</v>
      </c>
      <c r="G279" s="6">
        <v>2600</v>
      </c>
      <c r="H279" t="e">
        <v>#N/A</v>
      </c>
      <c r="I279">
        <v>0.11340893805027008</v>
      </c>
      <c r="N279" t="e">
        <v>#N/A</v>
      </c>
      <c r="O279" t="e">
        <v>#N/A</v>
      </c>
      <c r="P279">
        <v>126.64</v>
      </c>
      <c r="Q279" s="4" t="e">
        <v>#N/A</v>
      </c>
    </row>
    <row r="280" spans="1:17" x14ac:dyDescent="0.2">
      <c r="A280" s="4">
        <v>44986</v>
      </c>
      <c r="B280" s="5" t="e">
        <v>#N/A</v>
      </c>
      <c r="C280">
        <v>3.4481999999999999</v>
      </c>
      <c r="D280">
        <v>7.7</v>
      </c>
      <c r="E280" t="e">
        <v>#N/A</v>
      </c>
      <c r="F280">
        <v>12.5</v>
      </c>
      <c r="G280" s="6">
        <v>2518</v>
      </c>
      <c r="H280" t="e">
        <v>#N/A</v>
      </c>
      <c r="I280">
        <v>6.4866140484809875E-2</v>
      </c>
      <c r="N280" t="e">
        <v>#N/A</v>
      </c>
      <c r="O280" t="e">
        <v>#N/A</v>
      </c>
      <c r="P280">
        <v>122.3</v>
      </c>
      <c r="Q280" s="4" t="e">
        <v>#N/A</v>
      </c>
    </row>
    <row r="281" spans="1:17" x14ac:dyDescent="0.2">
      <c r="A281" s="4">
        <v>45017</v>
      </c>
      <c r="B281" s="5">
        <v>170001</v>
      </c>
      <c r="C281">
        <v>3.4154</v>
      </c>
      <c r="D281">
        <v>6.4</v>
      </c>
      <c r="E281">
        <v>98.5</v>
      </c>
      <c r="F281">
        <v>12.1</v>
      </c>
      <c r="G281" s="6">
        <v>2436</v>
      </c>
      <c r="H281">
        <v>33.799999999999997</v>
      </c>
      <c r="I281">
        <v>0.11673151701688766</v>
      </c>
      <c r="N281">
        <v>111.4</v>
      </c>
      <c r="O281">
        <v>179164</v>
      </c>
      <c r="P281">
        <v>120.03</v>
      </c>
      <c r="Q281" s="4" t="e">
        <v>#N/A</v>
      </c>
    </row>
    <row r="282" spans="1:17" x14ac:dyDescent="0.2">
      <c r="A282" s="4">
        <v>45047</v>
      </c>
      <c r="B282" s="5" t="e">
        <v>#N/A</v>
      </c>
      <c r="C282">
        <v>3.4249999999999998</v>
      </c>
      <c r="D282">
        <v>6</v>
      </c>
      <c r="E282" t="e">
        <v>#N/A</v>
      </c>
      <c r="F282">
        <v>12</v>
      </c>
      <c r="G282" s="6">
        <v>2406</v>
      </c>
      <c r="H282" t="e">
        <v>#N/A</v>
      </c>
      <c r="I282">
        <v>7.2700835764408112E-2</v>
      </c>
      <c r="N282" t="e">
        <v>#N/A</v>
      </c>
      <c r="O282" t="e">
        <v>#N/A</v>
      </c>
      <c r="P282">
        <v>116.35</v>
      </c>
      <c r="Q282" s="4" t="s">
        <v>57</v>
      </c>
    </row>
    <row r="283" spans="1:17" x14ac:dyDescent="0.2">
      <c r="A283" s="4">
        <v>45078</v>
      </c>
      <c r="B283" s="5" t="e">
        <v>#N/A</v>
      </c>
      <c r="C283">
        <v>3.3690000000000002</v>
      </c>
      <c r="D283">
        <v>5.5</v>
      </c>
      <c r="E283" t="e">
        <v>#N/A</v>
      </c>
      <c r="F283">
        <v>11.9</v>
      </c>
      <c r="G283" s="6">
        <v>2396</v>
      </c>
      <c r="H283" t="e">
        <v>#N/A</v>
      </c>
      <c r="I283">
        <v>0.10398189723491669</v>
      </c>
      <c r="N283" t="e">
        <v>#N/A</v>
      </c>
      <c r="O283" t="e">
        <v>#N/A</v>
      </c>
      <c r="P283">
        <v>118.15</v>
      </c>
      <c r="Q283" s="4" t="e">
        <v>#N/A</v>
      </c>
    </row>
    <row r="284" spans="1:17" x14ac:dyDescent="0.2">
      <c r="A284" s="4">
        <v>45108</v>
      </c>
      <c r="B284" s="5">
        <v>171467</v>
      </c>
      <c r="C284">
        <v>3.5264000000000002</v>
      </c>
      <c r="D284">
        <v>6.1</v>
      </c>
      <c r="E284">
        <v>97.7</v>
      </c>
      <c r="F284">
        <v>12</v>
      </c>
      <c r="G284" s="6">
        <v>2411</v>
      </c>
      <c r="H284">
        <v>35.299999999999997</v>
      </c>
      <c r="I284">
        <v>9.9354200065135956E-2</v>
      </c>
      <c r="N284">
        <v>113.4</v>
      </c>
      <c r="O284">
        <v>177404</v>
      </c>
      <c r="P284">
        <v>119.41</v>
      </c>
      <c r="Q284" s="4" t="e">
        <v>#N/A</v>
      </c>
    </row>
    <row r="285" spans="1:17" x14ac:dyDescent="0.2">
      <c r="A285" s="4">
        <v>45139</v>
      </c>
      <c r="B285" s="5" t="e">
        <v>#N/A</v>
      </c>
      <c r="C285">
        <v>3.6073</v>
      </c>
      <c r="D285">
        <v>5.9</v>
      </c>
      <c r="E285" t="e">
        <v>#N/A</v>
      </c>
      <c r="F285">
        <v>12</v>
      </c>
      <c r="G285" s="6">
        <v>2410</v>
      </c>
      <c r="H285" t="e">
        <v>#N/A</v>
      </c>
      <c r="I285">
        <v>9.1008372604846954E-2</v>
      </c>
      <c r="N285" t="e">
        <v>#N/A</v>
      </c>
      <c r="O285" t="e">
        <v>#N/A</v>
      </c>
      <c r="P285">
        <v>123.71</v>
      </c>
      <c r="Q285" s="4" t="e">
        <v>#N/A</v>
      </c>
    </row>
    <row r="286" spans="1:17" x14ac:dyDescent="0.2">
      <c r="A286" s="4">
        <v>45170</v>
      </c>
      <c r="B286" s="5" t="e">
        <v>#N/A</v>
      </c>
      <c r="C286">
        <v>3.7608999999999999</v>
      </c>
      <c r="D286">
        <v>5.6</v>
      </c>
      <c r="E286" t="e">
        <v>#N/A</v>
      </c>
      <c r="F286">
        <v>12</v>
      </c>
      <c r="G286" s="6">
        <v>2416</v>
      </c>
      <c r="H286" t="e">
        <v>#N/A</v>
      </c>
      <c r="I286">
        <v>9.6799567341804504E-2</v>
      </c>
      <c r="N286" t="e">
        <v>#N/A</v>
      </c>
      <c r="O286" t="e">
        <v>#N/A</v>
      </c>
      <c r="P286">
        <v>126.42</v>
      </c>
      <c r="Q286" s="4" t="e">
        <v>#N/A</v>
      </c>
    </row>
    <row r="287" spans="1:17" x14ac:dyDescent="0.2">
      <c r="A287" s="4">
        <v>45200</v>
      </c>
      <c r="B287" s="5">
        <v>174344</v>
      </c>
      <c r="C287">
        <v>3.9596</v>
      </c>
      <c r="D287">
        <v>5.2</v>
      </c>
      <c r="E287">
        <v>95.9</v>
      </c>
      <c r="F287">
        <v>12</v>
      </c>
      <c r="G287" s="6">
        <v>2408</v>
      </c>
      <c r="H287">
        <v>34.9</v>
      </c>
      <c r="I287">
        <v>0.14928047358989716</v>
      </c>
      <c r="N287">
        <v>113.2</v>
      </c>
      <c r="O287">
        <v>190717</v>
      </c>
      <c r="P287">
        <v>123.62</v>
      </c>
      <c r="Q287" s="4" t="s">
        <v>57</v>
      </c>
    </row>
    <row r="288" spans="1:17" x14ac:dyDescent="0.2">
      <c r="A288" s="4">
        <v>45231</v>
      </c>
      <c r="B288" s="5" t="e">
        <v>#N/A</v>
      </c>
      <c r="C288">
        <v>3.6417000000000002</v>
      </c>
      <c r="D288">
        <v>4.8</v>
      </c>
      <c r="E288" t="e">
        <v>#N/A</v>
      </c>
      <c r="F288">
        <v>11.9</v>
      </c>
      <c r="G288" s="6">
        <v>2394</v>
      </c>
      <c r="H288" t="e">
        <v>#N/A</v>
      </c>
      <c r="I288">
        <v>0.10638963431119919</v>
      </c>
      <c r="N288" t="e">
        <v>#N/A</v>
      </c>
      <c r="O288" t="e">
        <v>#N/A</v>
      </c>
      <c r="P288">
        <v>118.34</v>
      </c>
      <c r="Q288" s="4" t="s">
        <v>57</v>
      </c>
    </row>
    <row r="289" spans="1:17" x14ac:dyDescent="0.2">
      <c r="A289" s="4">
        <v>45261</v>
      </c>
      <c r="B289" s="5" t="e">
        <v>#N/A</v>
      </c>
      <c r="C289">
        <v>3.101</v>
      </c>
      <c r="D289">
        <v>4.3</v>
      </c>
      <c r="E289" t="e">
        <v>#N/A</v>
      </c>
      <c r="F289">
        <v>11.9</v>
      </c>
      <c r="G289" s="6">
        <v>2391</v>
      </c>
      <c r="H289" t="e">
        <v>#N/A</v>
      </c>
      <c r="I289">
        <v>0.17378990352153778</v>
      </c>
      <c r="N289" t="e">
        <v>#N/A</v>
      </c>
      <c r="O289" t="e">
        <v>#N/A</v>
      </c>
      <c r="P289">
        <v>116.35</v>
      </c>
      <c r="Q289" s="4" t="e">
        <v>#N/A</v>
      </c>
    </row>
    <row r="290" spans="1:17" x14ac:dyDescent="0.2">
      <c r="A290" s="4">
        <v>45292</v>
      </c>
      <c r="B290" s="5">
        <v>174136</v>
      </c>
      <c r="C290">
        <v>3.1640000000000001</v>
      </c>
      <c r="D290">
        <v>4.0999999999999996</v>
      </c>
      <c r="E290">
        <v>97.2</v>
      </c>
      <c r="F290">
        <v>11.9</v>
      </c>
      <c r="G290" s="6">
        <v>2390</v>
      </c>
      <c r="H290">
        <v>33.700000000000003</v>
      </c>
      <c r="I290">
        <v>3.1316548585891724E-2</v>
      </c>
      <c r="N290">
        <v>113.6</v>
      </c>
      <c r="O290">
        <v>182663</v>
      </c>
      <c r="P290">
        <v>120.84</v>
      </c>
      <c r="Q290" s="4" t="e">
        <v>#N/A</v>
      </c>
    </row>
    <row r="291" spans="1:17" x14ac:dyDescent="0.2">
      <c r="A291" s="4">
        <v>45323</v>
      </c>
      <c r="B291" s="5" t="e">
        <v>#N/A</v>
      </c>
      <c r="C291">
        <v>3.2833999999999999</v>
      </c>
      <c r="D291">
        <v>3.8</v>
      </c>
      <c r="E291" t="e">
        <v>#N/A</v>
      </c>
      <c r="F291">
        <v>11.8</v>
      </c>
      <c r="G291" s="6">
        <v>2379</v>
      </c>
      <c r="H291" t="e">
        <v>#N/A</v>
      </c>
      <c r="I291">
        <v>0.12432114034891129</v>
      </c>
      <c r="N291" t="e">
        <v>#N/A</v>
      </c>
      <c r="O291" t="e">
        <v>#N/A</v>
      </c>
      <c r="P291">
        <v>120.85</v>
      </c>
      <c r="Q291" s="4" t="e">
        <v>#N/A</v>
      </c>
    </row>
    <row r="292" spans="1:17" x14ac:dyDescent="0.2">
      <c r="A292" s="4">
        <v>45352</v>
      </c>
      <c r="B292" s="5" t="e">
        <v>#N/A</v>
      </c>
      <c r="C292">
        <v>3.1886999999999999</v>
      </c>
      <c r="D292">
        <v>3.4</v>
      </c>
      <c r="E292" t="e">
        <v>#N/A</v>
      </c>
      <c r="F292">
        <v>11.7</v>
      </c>
      <c r="G292" s="6">
        <v>2368</v>
      </c>
      <c r="H292" t="e">
        <v>#N/A</v>
      </c>
      <c r="I292">
        <v>0.20899926126003265</v>
      </c>
      <c r="N292" t="e">
        <v>#N/A</v>
      </c>
      <c r="O292" t="e">
        <v>#N/A</v>
      </c>
      <c r="P292">
        <v>124.25</v>
      </c>
      <c r="Q292" s="4" t="s">
        <v>62</v>
      </c>
    </row>
    <row r="293" spans="1:17" x14ac:dyDescent="0.2">
      <c r="A293" s="4">
        <v>45383</v>
      </c>
      <c r="B293" s="5">
        <v>178285</v>
      </c>
      <c r="C293">
        <v>3.2866</v>
      </c>
      <c r="D293">
        <v>3.2</v>
      </c>
      <c r="E293">
        <v>96.1</v>
      </c>
      <c r="F293">
        <v>11.6</v>
      </c>
      <c r="G293" s="6">
        <v>2366</v>
      </c>
      <c r="H293">
        <v>33.4</v>
      </c>
      <c r="I293">
        <v>0.17087526619434357</v>
      </c>
      <c r="N293">
        <v>114.7</v>
      </c>
      <c r="O293">
        <v>192521</v>
      </c>
      <c r="P293">
        <v>126.01</v>
      </c>
      <c r="Q293" s="4" t="e">
        <v>#N/A</v>
      </c>
    </row>
    <row r="294" spans="1:17" x14ac:dyDescent="0.2">
      <c r="A294" s="4">
        <v>45413</v>
      </c>
      <c r="B294" s="5" t="e">
        <v>#N/A</v>
      </c>
      <c r="C294">
        <v>3.3016000000000001</v>
      </c>
      <c r="D294">
        <v>3.3</v>
      </c>
      <c r="E294" t="e">
        <v>#N/A</v>
      </c>
      <c r="F294">
        <v>11.6</v>
      </c>
      <c r="G294" s="6">
        <v>2356</v>
      </c>
      <c r="H294" t="e">
        <v>#N/A</v>
      </c>
      <c r="I294">
        <v>0.16515782475471497</v>
      </c>
      <c r="N294" t="e">
        <v>#N/A</v>
      </c>
      <c r="O294" t="e">
        <v>#N/A</v>
      </c>
      <c r="P294">
        <v>125.52</v>
      </c>
      <c r="Q294" s="4" t="s">
        <v>57</v>
      </c>
    </row>
    <row r="295" spans="1:17" x14ac:dyDescent="0.2">
      <c r="A295" s="4">
        <v>45444</v>
      </c>
      <c r="B295" s="5" t="e">
        <v>#N/A</v>
      </c>
      <c r="C295">
        <v>3.3521999999999998</v>
      </c>
      <c r="D295">
        <v>3.3</v>
      </c>
      <c r="E295" t="e">
        <v>#N/A</v>
      </c>
      <c r="F295">
        <v>11.5</v>
      </c>
      <c r="G295" s="6">
        <v>2340</v>
      </c>
      <c r="H295" t="e">
        <v>#N/A</v>
      </c>
      <c r="I295">
        <v>0.1141263023018837</v>
      </c>
      <c r="N295" t="e">
        <v>#N/A</v>
      </c>
      <c r="O295" t="e">
        <v>#N/A</v>
      </c>
      <c r="P295">
        <v>125.22</v>
      </c>
      <c r="Q295" s="4" t="e">
        <v>#N/A</v>
      </c>
    </row>
    <row r="296" spans="1:17" x14ac:dyDescent="0.2">
      <c r="A296" s="4">
        <v>45474</v>
      </c>
      <c r="B296" s="5">
        <v>183047</v>
      </c>
      <c r="C296">
        <v>3.2746</v>
      </c>
      <c r="D296">
        <v>2.9</v>
      </c>
      <c r="E296">
        <v>95.8</v>
      </c>
      <c r="F296">
        <v>11.4</v>
      </c>
      <c r="G296" s="6">
        <v>2310</v>
      </c>
      <c r="H296">
        <v>33.9</v>
      </c>
      <c r="I296">
        <v>0.1170094832777977</v>
      </c>
      <c r="N296">
        <v>114.8</v>
      </c>
      <c r="O296">
        <v>190579</v>
      </c>
      <c r="P296">
        <v>122.57</v>
      </c>
      <c r="Q296" s="4" t="e">
        <v>#N/A</v>
      </c>
    </row>
    <row r="297" spans="1:17" x14ac:dyDescent="0.2">
      <c r="A297" s="4">
        <v>45505</v>
      </c>
      <c r="B297" s="5" t="e">
        <v>#N/A</v>
      </c>
      <c r="C297">
        <v>3.0750000000000002</v>
      </c>
      <c r="D297">
        <v>2.8</v>
      </c>
      <c r="E297" t="e">
        <v>#N/A</v>
      </c>
      <c r="F297">
        <v>11.3</v>
      </c>
      <c r="G297" s="6">
        <v>2273</v>
      </c>
      <c r="H297" t="e">
        <v>#N/A</v>
      </c>
      <c r="I297">
        <v>5.06393201649189E-2</v>
      </c>
      <c r="N297" t="e">
        <v>#N/A</v>
      </c>
      <c r="O297" t="e">
        <v>#N/A</v>
      </c>
      <c r="P297">
        <v>121.63</v>
      </c>
      <c r="Q297" s="4" t="e">
        <v>#N/A</v>
      </c>
    </row>
    <row r="298" spans="1:17" x14ac:dyDescent="0.2">
      <c r="A298" s="4">
        <v>45536</v>
      </c>
      <c r="B298" s="5" t="e">
        <v>#N/A</v>
      </c>
      <c r="C298">
        <v>2.9847000000000001</v>
      </c>
      <c r="D298">
        <v>2.6</v>
      </c>
      <c r="E298" t="e">
        <v>#N/A</v>
      </c>
      <c r="F298">
        <v>11.1</v>
      </c>
      <c r="G298" s="6">
        <v>2235</v>
      </c>
      <c r="H298" t="e">
        <v>#N/A</v>
      </c>
      <c r="I298">
        <v>7.8069090843200684E-2</v>
      </c>
      <c r="N298" t="e">
        <v>#N/A</v>
      </c>
      <c r="O298" t="e">
        <v>#N/A</v>
      </c>
      <c r="P298">
        <v>117.9</v>
      </c>
      <c r="Q298" s="4" t="s">
        <v>60</v>
      </c>
    </row>
    <row r="299" spans="1:17" x14ac:dyDescent="0.2">
      <c r="A299" s="4">
        <v>45566</v>
      </c>
      <c r="B299" s="5">
        <v>189533</v>
      </c>
      <c r="C299">
        <v>2.9773000000000001</v>
      </c>
      <c r="D299">
        <v>2.4</v>
      </c>
      <c r="E299">
        <v>93.4</v>
      </c>
      <c r="F299">
        <v>10.9</v>
      </c>
      <c r="G299" s="6">
        <v>2194</v>
      </c>
      <c r="H299">
        <v>32.799999999999997</v>
      </c>
      <c r="I299">
        <v>9.8924197256565094E-2</v>
      </c>
      <c r="N299">
        <v>116.7</v>
      </c>
      <c r="O299">
        <v>204717</v>
      </c>
      <c r="P299">
        <v>118.71</v>
      </c>
      <c r="Q299" s="4" t="e">
        <v>#N/A</v>
      </c>
    </row>
    <row r="300" spans="1:17" x14ac:dyDescent="0.2">
      <c r="A300" s="4">
        <v>45597</v>
      </c>
      <c r="B300" s="5" t="e">
        <v>#N/A</v>
      </c>
      <c r="C300">
        <v>3.0354999999999999</v>
      </c>
      <c r="D300">
        <v>2.4</v>
      </c>
      <c r="E300" t="e">
        <v>#N/A</v>
      </c>
      <c r="F300">
        <v>10.8</v>
      </c>
      <c r="G300" s="6">
        <v>2180</v>
      </c>
      <c r="H300" t="e">
        <v>#N/A</v>
      </c>
      <c r="I300">
        <v>0.12593665719032288</v>
      </c>
      <c r="N300" t="e">
        <v>#N/A</v>
      </c>
      <c r="O300" t="e">
        <v>#N/A</v>
      </c>
      <c r="P300">
        <v>121.4</v>
      </c>
      <c r="Q300" s="4" t="s">
        <v>58</v>
      </c>
    </row>
    <row r="301" spans="1:17" x14ac:dyDescent="0.2">
      <c r="A301" s="4">
        <v>45627</v>
      </c>
      <c r="B301" s="5" t="e">
        <v>#N/A</v>
      </c>
      <c r="C301">
        <v>2.8954</v>
      </c>
      <c r="D301">
        <v>2.6</v>
      </c>
      <c r="E301" t="e">
        <v>#N/A</v>
      </c>
      <c r="F301">
        <v>10.8</v>
      </c>
      <c r="G301" s="6">
        <v>2189</v>
      </c>
      <c r="H301" t="e">
        <v>#N/A</v>
      </c>
      <c r="I301">
        <v>6.2591277062892914E-2</v>
      </c>
      <c r="N301" t="e">
        <v>#N/A</v>
      </c>
      <c r="O301" t="e">
        <v>#N/A</v>
      </c>
      <c r="P301">
        <v>122.76</v>
      </c>
      <c r="Q301" s="4" t="e">
        <v>#N/A</v>
      </c>
    </row>
    <row r="302" spans="1:17" x14ac:dyDescent="0.2">
      <c r="A302" s="4">
        <v>45658</v>
      </c>
      <c r="B302" s="5">
        <v>185788</v>
      </c>
      <c r="C302">
        <v>3.1741999999999999</v>
      </c>
      <c r="D302">
        <v>2.4</v>
      </c>
      <c r="E302">
        <v>95.1</v>
      </c>
      <c r="F302">
        <v>10.9</v>
      </c>
      <c r="G302" s="6">
        <v>2201</v>
      </c>
      <c r="H302">
        <v>33.200000000000003</v>
      </c>
      <c r="I302">
        <v>0.10666332393884659</v>
      </c>
      <c r="N302">
        <v>115.9</v>
      </c>
      <c r="O302" t="e">
        <v>#N/A</v>
      </c>
      <c r="P302">
        <v>130.28</v>
      </c>
      <c r="Q302" s="4" t="e">
        <v>#N/A</v>
      </c>
    </row>
    <row r="303" spans="1:17" x14ac:dyDescent="0.2">
      <c r="A303" s="4">
        <v>45689</v>
      </c>
      <c r="B303" s="5" t="e">
        <v>#N/A</v>
      </c>
      <c r="C303">
        <v>3.1044999999999998</v>
      </c>
      <c r="D303">
        <v>2.2999999999999998</v>
      </c>
      <c r="E303" t="e">
        <v>#N/A</v>
      </c>
      <c r="F303">
        <v>10.9</v>
      </c>
      <c r="G303" s="6">
        <v>2204</v>
      </c>
      <c r="H303" t="e">
        <v>#N/A</v>
      </c>
      <c r="I303">
        <v>0.13482540845870972</v>
      </c>
      <c r="N303" t="e">
        <v>#N/A</v>
      </c>
      <c r="O303" t="e">
        <v>#N/A</v>
      </c>
      <c r="P303">
        <v>131.22</v>
      </c>
      <c r="Q303" s="4" t="e">
        <v>#N/A</v>
      </c>
    </row>
    <row r="304" spans="1:17" x14ac:dyDescent="0.2">
      <c r="A304" s="4">
        <v>45717</v>
      </c>
      <c r="B304" s="5" t="e">
        <v>#N/A</v>
      </c>
      <c r="C304">
        <v>3.4178999999999999</v>
      </c>
      <c r="D304">
        <v>2.2999999999999998</v>
      </c>
      <c r="E304" t="e">
        <v>#N/A</v>
      </c>
      <c r="F304">
        <v>10.8</v>
      </c>
      <c r="G304" s="6">
        <v>2205</v>
      </c>
      <c r="H304" t="e">
        <v>#N/A</v>
      </c>
      <c r="I304">
        <v>0.12458471953868866</v>
      </c>
      <c r="N304" t="e">
        <v>#N/A</v>
      </c>
      <c r="O304" t="e">
        <v>#N/A</v>
      </c>
      <c r="P304">
        <v>126.38</v>
      </c>
      <c r="Q304" s="4" t="e">
        <v>#N/A</v>
      </c>
    </row>
    <row r="305" spans="1:17" x14ac:dyDescent="0.2">
      <c r="A305" s="4">
        <v>45748</v>
      </c>
      <c r="B305" s="5">
        <v>188883</v>
      </c>
      <c r="C305">
        <v>3.2345000000000002</v>
      </c>
      <c r="D305">
        <v>2.8</v>
      </c>
      <c r="E305">
        <v>94.7</v>
      </c>
      <c r="F305">
        <v>10.6</v>
      </c>
      <c r="G305" s="6">
        <v>2183</v>
      </c>
      <c r="H305">
        <v>32.700000000000003</v>
      </c>
      <c r="I305">
        <v>7.8955359756946564E-2</v>
      </c>
      <c r="N305">
        <v>116.5</v>
      </c>
      <c r="O305" t="e">
        <v>#N/A</v>
      </c>
      <c r="P305">
        <v>122.9</v>
      </c>
      <c r="Q305" s="4" t="s">
        <v>58</v>
      </c>
    </row>
    <row r="306" spans="1:17" x14ac:dyDescent="0.2">
      <c r="A306" s="4">
        <v>45778</v>
      </c>
      <c r="B306" s="5" t="e">
        <v>#N/A</v>
      </c>
      <c r="C306">
        <v>3.2004999999999999</v>
      </c>
      <c r="D306">
        <v>2.5</v>
      </c>
      <c r="E306" t="e">
        <v>#N/A</v>
      </c>
      <c r="F306">
        <v>10.6</v>
      </c>
      <c r="G306" s="6">
        <v>2169</v>
      </c>
      <c r="H306" t="e">
        <v>#N/A</v>
      </c>
      <c r="I306">
        <v>0.19353704154491425</v>
      </c>
      <c r="N306" t="e">
        <v>#N/A</v>
      </c>
      <c r="O306" t="e">
        <v>#N/A</v>
      </c>
      <c r="P306">
        <v>121.77</v>
      </c>
      <c r="Q306" s="4" t="e">
        <v>#N/A</v>
      </c>
    </row>
    <row r="307" spans="1:17" x14ac:dyDescent="0.2">
      <c r="A307" s="4">
        <v>45809</v>
      </c>
      <c r="B307" s="5" t="e">
        <v>#N/A</v>
      </c>
      <c r="C307">
        <v>3.1718000000000002</v>
      </c>
      <c r="D307">
        <v>2.6</v>
      </c>
      <c r="E307" t="e">
        <v>#N/A</v>
      </c>
      <c r="F307">
        <v>10.5</v>
      </c>
      <c r="G307" s="6">
        <v>2160</v>
      </c>
      <c r="H307" t="e">
        <v>#N/A</v>
      </c>
      <c r="I307">
        <v>0.27431422472000122</v>
      </c>
      <c r="N307" t="e">
        <v>#N/A</v>
      </c>
      <c r="O307" t="e">
        <v>#N/A</v>
      </c>
      <c r="P307">
        <v>124.26</v>
      </c>
      <c r="Q307" s="4" t="e">
        <v>#N/A</v>
      </c>
    </row>
    <row r="308" spans="1:17" x14ac:dyDescent="0.2">
      <c r="A308" s="4">
        <v>45839</v>
      </c>
      <c r="B308" s="5">
        <v>190987</v>
      </c>
      <c r="C308">
        <v>3.2761</v>
      </c>
      <c r="D308">
        <v>2.7</v>
      </c>
      <c r="E308">
        <v>94.9</v>
      </c>
      <c r="F308">
        <v>10.6</v>
      </c>
      <c r="G308" s="6">
        <v>2162</v>
      </c>
      <c r="H308">
        <v>31.4</v>
      </c>
      <c r="I308">
        <v>0.1006036251783371</v>
      </c>
      <c r="N308">
        <v>117.7</v>
      </c>
      <c r="O308" t="e">
        <v>#N/A</v>
      </c>
      <c r="P308">
        <v>126.21</v>
      </c>
      <c r="Q308" s="4" t="s">
        <v>60</v>
      </c>
    </row>
    <row r="309" spans="1:17" x14ac:dyDescent="0.2">
      <c r="A309" s="4">
        <v>45870</v>
      </c>
      <c r="B309" s="5" t="e">
        <v>#N/A</v>
      </c>
      <c r="C309">
        <v>3.2850999999999999</v>
      </c>
      <c r="D309">
        <v>2.6</v>
      </c>
      <c r="E309" t="e">
        <v>#N/A</v>
      </c>
      <c r="F309">
        <v>10.5</v>
      </c>
      <c r="G309" s="6">
        <v>2148</v>
      </c>
      <c r="H309" t="e">
        <v>#N/A</v>
      </c>
      <c r="I309">
        <v>0.15749159455299377</v>
      </c>
      <c r="N309" t="e">
        <v>#N/A</v>
      </c>
      <c r="O309" t="e">
        <v>#N/A</v>
      </c>
      <c r="P309">
        <v>125.5</v>
      </c>
      <c r="Q309" s="4" t="e">
        <v>#N/A</v>
      </c>
    </row>
    <row r="310" spans="1:17" x14ac:dyDescent="0.2">
      <c r="A310" s="4">
        <v>45901</v>
      </c>
      <c r="B310" s="5" t="e">
        <v>#N/A</v>
      </c>
      <c r="C310">
        <v>3.2847</v>
      </c>
      <c r="D310">
        <v>2.7</v>
      </c>
      <c r="E310" t="e">
        <v>#N/A</v>
      </c>
      <c r="F310">
        <v>10.4</v>
      </c>
      <c r="G310" s="6">
        <v>2130</v>
      </c>
      <c r="H310" t="e">
        <v>#N/A</v>
      </c>
      <c r="I310">
        <v>0.17083066701889038</v>
      </c>
      <c r="N310" t="e">
        <v>#N/A</v>
      </c>
      <c r="O310" t="e">
        <v>#N/A</v>
      </c>
      <c r="P310">
        <v>125.26</v>
      </c>
      <c r="Q310" s="4" t="s">
        <v>63</v>
      </c>
    </row>
    <row r="311" spans="1:17" x14ac:dyDescent="0.2">
      <c r="A311" s="4">
        <v>45931</v>
      </c>
      <c r="B311" s="5" t="e">
        <v>#N/A</v>
      </c>
      <c r="C311">
        <v>3.1637</v>
      </c>
      <c r="D311">
        <v>2.8</v>
      </c>
      <c r="E311" t="e">
        <v>#N/A</v>
      </c>
      <c r="F311">
        <v>10.199999999999999</v>
      </c>
      <c r="G311" s="6">
        <v>2111</v>
      </c>
      <c r="H311" t="e">
        <v>#N/A</v>
      </c>
      <c r="I311">
        <v>0.18124455213546753</v>
      </c>
      <c r="N311" t="e">
        <v>#N/A</v>
      </c>
      <c r="O311" t="e">
        <v>#N/A</v>
      </c>
      <c r="P311">
        <v>126.19</v>
      </c>
      <c r="Q311" s="4" t="e">
        <v>#N/A</v>
      </c>
    </row>
    <row r="312" spans="1:17" x14ac:dyDescent="0.2">
      <c r="A312" s="4">
        <v>45962</v>
      </c>
      <c r="B312" s="5" t="e">
        <v>#N/A</v>
      </c>
      <c r="C312">
        <v>3.1825999999999999</v>
      </c>
      <c r="D312">
        <v>3</v>
      </c>
      <c r="E312" t="e">
        <v>#N/A</v>
      </c>
      <c r="F312">
        <v>10.1</v>
      </c>
      <c r="G312" s="6">
        <v>2096</v>
      </c>
      <c r="H312" t="e">
        <v>#N/A</v>
      </c>
      <c r="I312">
        <v>0.16383112967014313</v>
      </c>
      <c r="N312" t="e">
        <v>#N/A</v>
      </c>
      <c r="O312" t="e">
        <v>#N/A</v>
      </c>
      <c r="P312">
        <v>126.97</v>
      </c>
      <c r="Q312" s="4" t="e">
        <v>#N/A</v>
      </c>
    </row>
    <row r="313" spans="1:17" x14ac:dyDescent="0.2">
      <c r="A313" s="4">
        <v>45992</v>
      </c>
      <c r="B313" s="5" t="e">
        <v>#N/A</v>
      </c>
      <c r="C313">
        <v>3.2858000000000001</v>
      </c>
      <c r="D313">
        <v>3</v>
      </c>
      <c r="E313" t="e">
        <v>#N/A</v>
      </c>
      <c r="F313">
        <v>10</v>
      </c>
      <c r="G313" s="6">
        <v>2083</v>
      </c>
      <c r="H313" t="e">
        <v>#N/A</v>
      </c>
      <c r="I313">
        <v>7.9860605299472809E-2</v>
      </c>
      <c r="N313" t="e">
        <v>#N/A</v>
      </c>
      <c r="O313" t="e">
        <v>#N/A</v>
      </c>
      <c r="P313">
        <v>126.68</v>
      </c>
      <c r="Q313" s="4" t="e">
        <v>#N/A</v>
      </c>
    </row>
    <row r="314" spans="1:17" x14ac:dyDescent="0.2">
      <c r="G314" s="6" t="s">
        <v>27</v>
      </c>
      <c r="H314" t="e">
        <f>HLOOKUP(Recettes!Q314,'[1]Sheet 2'!$B$12:$CN$19,6,FALSE)</f>
        <v>#N/A</v>
      </c>
      <c r="Q314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Recettes</vt:lpstr>
      <vt:lpstr>Dépenses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Timothee Dangleterre</dc:creator>
  <cp:lastModifiedBy>Timothee Dangleterre</cp:lastModifiedBy>
  <dcterms:created xsi:type="dcterms:W3CDTF">2026-02-23T21:13:00Z</dcterms:created>
  <dcterms:modified xsi:type="dcterms:W3CDTF">2026-02-23T21:45:37Z</dcterms:modified>
</cp:coreProperties>
</file>