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eedangleterre/Desktop/ENSAE/Semestre 1/ESSD/"/>
    </mc:Choice>
  </mc:AlternateContent>
  <xr:revisionPtr revIDLastSave="0" documentId="13_ncr:1_{BC4E3D7B-7CB6-484B-AA0A-1C140E9CC25C}" xr6:coauthVersionLast="47" xr6:coauthVersionMax="47" xr10:uidLastSave="{00000000-0000-0000-0000-000000000000}"/>
  <bookViews>
    <workbookView xWindow="720" yWindow="1020" windowWidth="27640" windowHeight="16000" activeTab="1" xr2:uid="{6454D7D1-463C-084D-BBBF-FAC872F6478C}"/>
  </bookViews>
  <sheets>
    <sheet name="Recettes" sheetId="1" r:id="rId1"/>
    <sheet name="Depen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tc={BD513221-E624-1D4D-9409-BF2E9AA36BE2}</author>
    <author>tc={CA56D073-5C5E-024E-AAC1-133672675A06}</author>
    <author>tc={4A5B1C7A-F586-514C-8480-9A3F49EA62AC}</author>
    <author>tc={785E5157-653A-9143-B0ED-F1C169622616}</author>
    <author>tc={128F474E-A30D-F54D-9095-6258375B65B1}</author>
    <author>tc={08293AAB-8FA5-2549-B0B1-6D2D0BD4FBF1}</author>
    <author>tc={C5AF9A64-618F-AD4F-8C58-7016077F8CC9}</author>
    <author>tc={DC113A1A-1CD2-374B-8249-EC8B7164FE3E}</author>
    <author>tc={FCF09841-871C-444D-83E4-DB86CBF85ADC}</author>
  </authors>
  <commentList>
    <comment ref="B1" authorId="0" shapeId="0" xr:uid="{BD513221-E624-1D4D-9409-BF2E9AA36B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CA56D073-5C5E-024E-AAC1-133672675A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4A5B1C7A-F586-514C-8480-9A3F49EA62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785E5157-653A-9143-B0ED-F1C169622616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128F474E-A30D-F54D-9095-6258375B65B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08293AAB-8FA5-2549-B0B1-6D2D0BD4FB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C5AF9A64-618F-AD4F-8C58-7016077F8C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DC113A1A-1CD2-374B-8249-EC8B7164FE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  <comment ref="P1" authorId="8" shapeId="0" xr:uid="{FCF09841-871C-444D-83E4-DB86CBF85AD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CSCICP02DEM460S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tc={B0989A8A-46F3-8C45-AB77-950AF65E21F7}</author>
    <author>tc={DD20576B-6F33-A446-AF7F-A2B4B5950F51}</author>
    <author>tc={8E96A2F5-AF27-284C-A91F-CB511021D650}</author>
    <author>tc={D17E2601-7CBD-914A-92F6-1BB7F89DE0B5}</author>
    <author>tc={5712169F-5AA6-A342-99A0-459AF55726B7}</author>
    <author>tc={AFEC5FC4-A24A-7742-BEA7-D02832BCCA0E}</author>
    <author>tc={CC7872A3-6FB1-B74F-9B46-A3C5C0B0DA34}</author>
    <author>tc={F48AA505-6903-004C-9467-3091363E6D80}</author>
    <author>tc={003FA6A5-23E5-7947-9177-4CF181CCF846}</author>
    <author>tc={A0252F49-1ABC-1D46-9D85-609785448BAA}</author>
    <author>tc={2B4A2A21-42E4-9A42-ACE3-E5B25FDDD81B}</author>
  </authors>
  <commentList>
    <comment ref="B1" authorId="0" shapeId="0" xr:uid="{B0989A8A-46F3-8C45-AB77-950AF65E21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C1" authorId="1" shapeId="0" xr:uid="{DD20576B-6F33-A446-AF7F-A2B4B5950F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D1" authorId="2" shapeId="0" xr:uid="{8E96A2F5-AF27-284C-A91F-CB511021D65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D17E2601-7CBD-914A-92F6-1BB7F89DE0B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F1" authorId="4" shapeId="0" xr:uid="{5712169F-5AA6-A342-99A0-459AF55726B7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G1" authorId="5" shapeId="0" xr:uid="{AFEC5FC4-A24A-7742-BEA7-D02832BCCA0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H1" authorId="6" shapeId="0" xr:uid="{CC7872A3-6FB1-B74F-9B46-A3C5C0B0DA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K1" authorId="7" shapeId="0" xr:uid="{F48AA505-6903-004C-9467-3091363E6D8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8" shapeId="0" xr:uid="{003FA6A5-23E5-7947-9177-4CF181CCF8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M1" authorId="9" shapeId="0" xr:uid="{A0252F49-1ABC-1D46-9D85-609785448BA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
https://webstat.banque-france.fr/en/catalog/sts/STS.M.DE.Y.TOVV.NS4701.4.000</t>
      </text>
    </comment>
    <comment ref="P1" authorId="10" shapeId="0" xr:uid="{2B4A2A21-42E4-9A42-ACE3-E5B25FDDD81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</commentList>
</comments>
</file>

<file path=xl/sharedStrings.xml><?xml version="1.0" encoding="utf-8"?>
<sst xmlns="http://schemas.openxmlformats.org/spreadsheetml/2006/main" count="136" uniqueCount="33">
  <si>
    <t>Dates</t>
  </si>
  <si>
    <t>Payroll Mass</t>
  </si>
  <si>
    <t>Hours worked</t>
  </si>
  <si>
    <t>IP</t>
  </si>
  <si>
    <t>Business turnover index</t>
  </si>
  <si>
    <t>Retail sales</t>
  </si>
  <si>
    <t>Private consumption</t>
  </si>
  <si>
    <t>Energy prices</t>
  </si>
  <si>
    <t>Employment</t>
  </si>
  <si>
    <t>Profit share</t>
  </si>
  <si>
    <t xml:space="preserve">Stock market </t>
  </si>
  <si>
    <t>Consumer confidence</t>
  </si>
  <si>
    <t>10y yield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</si>
  <si>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</si>
  <si>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</si>
  <si>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</si>
  <si>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</si>
  <si>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</si>
  <si>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</si>
  <si>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</si>
  <si>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Payroll mass</t>
  </si>
  <si>
    <t>Sovereign credit rating revisions</t>
  </si>
  <si>
    <t>HICPX</t>
  </si>
  <si>
    <t>Hourly earnings</t>
  </si>
  <si>
    <t>ESI</t>
  </si>
  <si>
    <t>:</t>
  </si>
  <si>
    <t>Total expenditure</t>
  </si>
  <si>
    <t>Total revenue</t>
  </si>
  <si>
    <t>AAAStable</t>
  </si>
  <si>
    <t>AAANegative watch</t>
  </si>
  <si>
    <t>AaaNegative</t>
  </si>
  <si>
    <t>AaaStable</t>
  </si>
  <si>
    <t>AAAUnder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</si>
</sst>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"/>
    <numFmt numFmtId="166" formatCode="#,##0.##########"/>
    <numFmt numFmtId="167" formatCode="#,##0.0"/>
    <numFmt numFmtId="168" formatCode="0.000"/>
  </numFmts>
  <fonts count="3" x14ac:knownFonts="1">
    <font>
      <sz val="12"/>
      <color theme="1"/>
      <name val="Aptos Narrow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6F6F6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2" borderId="0" xfId="0" applyNumberFormat="1" applyFill="1"/>
    <xf numFmtId="4" fontId="0" fillId="0" borderId="0" xfId="0" applyNumberFormat="1"/>
    <xf numFmtId="3" fontId="1" fillId="3" borderId="0" xfId="0" applyNumberFormat="1" applyFont="1" applyFill="1" applyAlignment="1">
      <alignment horizontal="right" vertical="center" shrinkToFit="1"/>
    </xf>
    <xf numFmtId="166" fontId="1" fillId="3" borderId="0" xfId="0" applyNumberFormat="1" applyFont="1" applyFill="1" applyAlignment="1">
      <alignment horizontal="right" vertical="center" shrinkToFit="1"/>
    </xf>
    <xf numFmtId="167" fontId="1" fillId="3" borderId="0" xfId="0" applyNumberFormat="1" applyFont="1" applyFill="1" applyAlignment="1">
      <alignment horizontal="right" vertical="center" shrinkToFit="1"/>
    </xf>
    <xf numFmtId="168" fontId="0" fillId="0" borderId="0" xfId="0" applyNumberFormat="1"/>
    <xf numFmtId="2" fontId="0" fillId="0" borderId="0" xfId="0" applyNumberFormat="1"/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8070DB0D-106F-D647-BD1B-7EB737D9DE56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01:04.78" personId="{8070DB0D-106F-D647-BD1B-7EB737D9DE56}" id="{BD513221-E624-1D4D-9409-BF2E9AA36BE2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8070DB0D-106F-D647-BD1B-7EB737D9DE56}" id="{CA56D073-5C5E-024E-AAC1-133672675A06}">
    <text xml:space="preserve">Eurostat/STS_INPR_M/M.PRD.B_C_X_FD_MIG_NRG.SCA.I10.DE+ES+IT+FR+EL
</text>
  </threadedComment>
  <threadedComment ref="F1" dT="2026-02-22T17:18:09.87" personId="{8070DB0D-106F-D647-BD1B-7EB737D9DE56}" id="{FE2A8748-2FB7-7C46-B15C-60247B2F36DC}" parentId="{CA56D073-5C5E-024E-AAC1-133672675A06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8070DB0D-106F-D647-BD1B-7EB737D9DE56}" id="{4A5B1C7A-F586-514C-8480-9A3F49EA62AC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8070DB0D-106F-D647-BD1B-7EB737D9DE56}" id="{785E5157-653A-9143-B0ED-F1C169622616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8070DB0D-106F-D647-BD1B-7EB737D9DE56}" id="{D182D06B-659D-914E-86A7-542324A01315}" parentId="{785E5157-653A-9143-B0ED-F1C169622616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8070DB0D-106F-D647-BD1B-7EB737D9DE56}" id="{128F474E-A30D-F54D-9095-6258375B65B1}">
    <text>Eurostat/prc_hicp_manr/M.RCH_A.TOT_X_NRG.DE+ES+IT+FR+EL</text>
  </threadedComment>
  <threadedComment ref="L1" dT="2026-02-09T16:19:09.52" personId="{8070DB0D-106F-D647-BD1B-7EB737D9DE56}" id="{08293AAB-8FA5-2549-B0B1-6D2D0BD4FBF1}">
    <text>Dbnomics Energy prices</text>
  </threadedComment>
  <threadedComment ref="M1" dT="2026-02-22T22:12:48.00" personId="{8070DB0D-106F-D647-BD1B-7EB737D9DE56}" id="{C5AF9A64-618F-AD4F-8C58-7016077F8CC9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8070DB0D-106F-D647-BD1B-7EB737D9DE56}" id="{DC113A1A-1CD2-374B-8249-EC8B7164FE3E}">
    <text>Yahoo finance log returns</text>
  </threadedComment>
  <threadedComment ref="P1" dT="2026-02-09T16:16:35.84" personId="{8070DB0D-106F-D647-BD1B-7EB737D9DE56}" id="{FCF09841-871C-444D-83E4-DB86CBF85ADC}">
    <text>CSCICP02DEM460S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01:18.84" personId="{8070DB0D-106F-D647-BD1B-7EB737D9DE56}" id="{B0989A8A-46F3-8C45-AB77-950AF65E21F7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C1" dT="2026-02-09T16:20:04.23" personId="{8070DB0D-106F-D647-BD1B-7EB737D9DE56}" id="{DD20576B-6F33-A446-AF7F-A2B4B5950F51}">
    <text>IRLTLT01DEM156N</text>
  </threadedComment>
  <threadedComment ref="D1" dT="2026-02-09T16:44:34.99" personId="{8070DB0D-106F-D647-BD1B-7EB737D9DE56}" id="{8E96A2F5-AF27-284C-A91F-CB511021D650}">
    <text xml:space="preserve">Eurostat/prc_hicp_manr/M.RCH_A.TOT_X_NRG.DE+ES+IT+FR+EL
</text>
  </threadedComment>
  <threadedComment ref="E1" dT="2026-02-22T17:49:17.38" personId="{8070DB0D-106F-D647-BD1B-7EB737D9DE56}" id="{D17E2601-7CBD-914A-92F6-1BB7F89DE0B5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8070DB0D-106F-D647-BD1B-7EB737D9DE56}" id="{5712169F-5AA6-A342-99A0-459AF55726B7}">
    <text xml:space="preserve">OECD/DSD_LFS@DF_IALFS_UNE_M/DEU.UNE_LF_M.PT_LF_SUB._Z.Y._T.Y_GE15._Z.M
</text>
  </threadedComment>
  <threadedComment ref="G1" dT="2026-02-22T13:38:04.22" personId="{8070DB0D-106F-D647-BD1B-7EB737D9DE56}" id="{AFEC5FC4-A24A-7742-BEA7-D02832BCCA0E}">
    <text xml:space="preserve">Données d'Eurostat, une_rt_m, désaisonnalisée, à diff pour inflow
</text>
  </threadedComment>
  <threadedComment ref="H1" dT="2026-02-22T17:40:00.22" personId="{8070DB0D-106F-D647-BD1B-7EB737D9DE56}" id="{CC7872A3-6FB1-B74F-9B46-A3C5C0B0DA34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K1" dT="2026-02-09T17:43:17.34" personId="{8070DB0D-106F-D647-BD1B-7EB737D9DE56}" id="{F48AA505-6903-004C-9467-3091363E6D80}">
    <text>[mat,tab]=call_dbnomics('Eurostat/PRC_REM_NR/S.TOTAL.NR.DE+ES+IT+FR+EL')
Pb avec cette commande</text>
  </threadedComment>
  <threadedComment ref="L1" dT="2026-02-09T16:58:28.09" personId="{8070DB0D-106F-D647-BD1B-7EB737D9DE56}" id="{003FA6A5-23E5-7947-9177-4CF181CCF846}">
    <text xml:space="preserve">Eurostat/STS_INPR_M/M.PRD.B_C_X_FD_MIG_NRG.SCA.I10.DE+ES+IT+FR+EL
</text>
  </threadedComment>
  <threadedComment ref="L1" dT="2026-02-22T17:18:16.59" personId="{8070DB0D-106F-D647-BD1B-7EB737D9DE56}" id="{3DACE9E0-723E-0043-A8C0-4DE7ACB04E64}" parentId="{003FA6A5-23E5-7947-9177-4CF181CCF846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M1" dT="2026-02-09T17:09:45.74" personId="{8070DB0D-106F-D647-BD1B-7EB737D9DE56}" id="{A0252F49-1ABC-1D46-9D85-609785448BAA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21:23.18" personId="{8070DB0D-106F-D647-BD1B-7EB737D9DE56}" id="{DADFC34A-C506-1140-B928-0C6A7F0BAFF3}" parentId="{A0252F49-1ABC-1D46-9D85-609785448BAA}">
    <text>Source BDF (utilisée) : 
https://webstat.banque-france.fr/en/catalog/sts/STS.M.DE.Y.TOVV.NS4701.4.000</text>
    <extLst>
      <x:ext xmlns:xltc2="http://schemas.microsoft.com/office/spreadsheetml/2020/threadedcomments2" uri="{F7C98A9C-CBB3-438F-8F68-D28B6AF4A901}">
        <xltc2:checksum>3562568072</xltc2:checksum>
        <xltc2:hyperlink startIndex="25" length="76" url="https://webstat.banque-france.fr/en/catalog/sts/STS.M.DE.Y.TOVV.NS4701.4.000"/>
      </x:ext>
    </extLst>
  </threadedComment>
  <threadedComment ref="P1" dT="2026-02-09T16:14:06.77" personId="{8070DB0D-106F-D647-BD1B-7EB737D9DE56}" id="{2B4A2A21-42E4-9A42-ACE3-E5B25FDDD81B}">
    <text>DEUCPIENGMINMEI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1E4C-FF7B-C64F-AF43-B60AE776B9DE}">
  <dimension ref="A1:P313"/>
  <sheetViews>
    <sheetView workbookViewId="0">
      <selection activeCell="M2" sqref="M2:M313"/>
    </sheetView>
  </sheetViews>
  <sheetFormatPr baseColWidth="10" defaultRowHeight="16" x14ac:dyDescent="0.2"/>
  <cols>
    <col min="2" max="2" width="12" bestFit="1" customWidth="1"/>
    <col min="12" max="12" width="19.83203125" bestFit="1" customWidth="1"/>
  </cols>
  <sheetData>
    <row r="1" spans="1:16" ht="17" thickBot="1" x14ac:dyDescent="0.25">
      <c r="A1" s="10" t="s">
        <v>0</v>
      </c>
      <c r="B1" s="11" t="s">
        <v>27</v>
      </c>
      <c r="C1" s="11" t="s">
        <v>1</v>
      </c>
      <c r="D1" s="11" t="s">
        <v>2</v>
      </c>
      <c r="E1" s="11" t="s">
        <v>23</v>
      </c>
      <c r="F1" s="11" t="s">
        <v>3</v>
      </c>
      <c r="G1" s="11" t="s">
        <v>4</v>
      </c>
      <c r="H1" s="11" t="s">
        <v>24</v>
      </c>
      <c r="I1" s="11" t="s">
        <v>5</v>
      </c>
      <c r="J1" s="11" t="s">
        <v>6</v>
      </c>
      <c r="K1" s="11" t="s">
        <v>22</v>
      </c>
      <c r="L1" s="11" t="s">
        <v>7</v>
      </c>
      <c r="M1" s="11" t="s">
        <v>8</v>
      </c>
      <c r="N1" s="11" t="s">
        <v>9</v>
      </c>
      <c r="O1" s="11" t="s">
        <v>10</v>
      </c>
      <c r="P1" s="12" t="s">
        <v>11</v>
      </c>
    </row>
    <row r="2" spans="1:16" x14ac:dyDescent="0.2">
      <c r="A2" s="1">
        <v>36526</v>
      </c>
      <c r="B2" s="9" t="s">
        <v>25</v>
      </c>
      <c r="C2" s="2">
        <v>261618</v>
      </c>
      <c r="D2">
        <v>97</v>
      </c>
      <c r="E2">
        <v>63.4</v>
      </c>
      <c r="F2">
        <v>82.4</v>
      </c>
      <c r="G2" s="6">
        <v>64.3</v>
      </c>
      <c r="H2">
        <v>110.4</v>
      </c>
      <c r="I2">
        <v>81.400000000000006</v>
      </c>
      <c r="J2">
        <v>288719</v>
      </c>
      <c r="K2">
        <v>0.2</v>
      </c>
      <c r="L2">
        <v>57.1</v>
      </c>
      <c r="M2" s="13">
        <v>39775</v>
      </c>
      <c r="O2" s="8">
        <v>0.111848686020997</v>
      </c>
      <c r="P2" s="2">
        <v>-5.6</v>
      </c>
    </row>
    <row r="3" spans="1:16" x14ac:dyDescent="0.2">
      <c r="A3" s="1">
        <v>36557</v>
      </c>
      <c r="B3" s="9" t="e">
        <v>#N/A</v>
      </c>
      <c r="C3" s="2" t="e">
        <v>#N/A</v>
      </c>
      <c r="D3" t="e">
        <v>#N/A</v>
      </c>
      <c r="E3" t="e">
        <v>#N/A</v>
      </c>
      <c r="F3">
        <v>84.2</v>
      </c>
      <c r="G3" s="6">
        <v>66.099999999999994</v>
      </c>
      <c r="H3">
        <v>111.6</v>
      </c>
      <c r="I3">
        <v>82</v>
      </c>
      <c r="J3" t="e">
        <v>#N/A</v>
      </c>
      <c r="K3">
        <v>0.1</v>
      </c>
      <c r="L3">
        <v>57.4</v>
      </c>
      <c r="M3" s="13">
        <v>39856</v>
      </c>
      <c r="O3" s="8">
        <v>-5.9249511941494902E-3</v>
      </c>
      <c r="P3" s="2">
        <v>-4.3</v>
      </c>
    </row>
    <row r="4" spans="1:16" x14ac:dyDescent="0.2">
      <c r="A4" s="1">
        <v>36586</v>
      </c>
      <c r="B4" s="9" t="e">
        <v>#N/A</v>
      </c>
      <c r="C4" s="2" t="e">
        <v>#N/A</v>
      </c>
      <c r="D4" t="e">
        <v>#N/A</v>
      </c>
      <c r="E4" t="e">
        <v>#N/A</v>
      </c>
      <c r="F4">
        <v>84.1</v>
      </c>
      <c r="G4" s="6">
        <v>66.8</v>
      </c>
      <c r="H4">
        <v>111.8</v>
      </c>
      <c r="I4">
        <v>81.400000000000006</v>
      </c>
      <c r="J4" t="e">
        <v>#N/A</v>
      </c>
      <c r="K4">
        <v>-0.2</v>
      </c>
      <c r="L4">
        <v>59</v>
      </c>
      <c r="M4" s="13">
        <v>39926</v>
      </c>
      <c r="O4" s="8">
        <v>-2.4606156303372401E-2</v>
      </c>
      <c r="P4" s="2">
        <v>-4.2</v>
      </c>
    </row>
    <row r="5" spans="1:16" x14ac:dyDescent="0.2">
      <c r="A5" s="1">
        <v>36617</v>
      </c>
      <c r="B5" s="9" t="s">
        <v>25</v>
      </c>
      <c r="C5" s="2">
        <v>273194</v>
      </c>
      <c r="D5">
        <v>97.1</v>
      </c>
      <c r="E5">
        <v>64</v>
      </c>
      <c r="F5">
        <v>85.4</v>
      </c>
      <c r="G5" s="6">
        <v>66.8</v>
      </c>
      <c r="H5">
        <v>109.3</v>
      </c>
      <c r="I5">
        <v>82.2</v>
      </c>
      <c r="J5">
        <v>291466</v>
      </c>
      <c r="K5">
        <v>0.2</v>
      </c>
      <c r="L5">
        <v>57.9</v>
      </c>
      <c r="M5" s="13">
        <v>39952</v>
      </c>
      <c r="O5" s="8">
        <v>-4.20060243531672E-2</v>
      </c>
      <c r="P5" s="2">
        <v>-5.3</v>
      </c>
    </row>
    <row r="6" spans="1:16" x14ac:dyDescent="0.2">
      <c r="A6" s="1">
        <v>36647</v>
      </c>
      <c r="B6" s="9" t="e">
        <v>#N/A</v>
      </c>
      <c r="C6" s="2" t="e">
        <v>#N/A</v>
      </c>
      <c r="D6" t="e">
        <v>#N/A</v>
      </c>
      <c r="E6" t="e">
        <v>#N/A</v>
      </c>
      <c r="F6">
        <v>87.2</v>
      </c>
      <c r="G6" s="6">
        <v>68.7</v>
      </c>
      <c r="H6">
        <v>111</v>
      </c>
      <c r="I6">
        <v>82.8</v>
      </c>
      <c r="J6" t="e">
        <v>#N/A</v>
      </c>
      <c r="K6">
        <v>-0.1</v>
      </c>
      <c r="L6">
        <v>58.4</v>
      </c>
      <c r="M6" s="13">
        <v>39981</v>
      </c>
      <c r="O6" s="8">
        <v>-3.01938662519508E-2</v>
      </c>
      <c r="P6" s="2">
        <v>-1.5</v>
      </c>
    </row>
    <row r="7" spans="1:16" x14ac:dyDescent="0.2">
      <c r="A7" s="1">
        <v>36678</v>
      </c>
      <c r="B7" s="9" t="e">
        <v>#N/A</v>
      </c>
      <c r="C7" s="2" t="e">
        <v>#N/A</v>
      </c>
      <c r="D7" t="e">
        <v>#N/A</v>
      </c>
      <c r="E7" t="e">
        <v>#N/A</v>
      </c>
      <c r="F7">
        <v>84.8</v>
      </c>
      <c r="G7" s="6">
        <v>69.2</v>
      </c>
      <c r="H7">
        <v>109</v>
      </c>
      <c r="I7">
        <v>81.7</v>
      </c>
      <c r="J7" t="e">
        <v>#N/A</v>
      </c>
      <c r="K7">
        <v>0</v>
      </c>
      <c r="L7">
        <v>60.6</v>
      </c>
      <c r="M7" s="13">
        <v>40022</v>
      </c>
      <c r="O7" s="8">
        <v>4.14806950729769E-2</v>
      </c>
      <c r="P7" s="2">
        <v>-5.9</v>
      </c>
    </row>
    <row r="8" spans="1:16" x14ac:dyDescent="0.2">
      <c r="A8" s="1">
        <v>36708</v>
      </c>
      <c r="B8" s="9" t="s">
        <v>25</v>
      </c>
      <c r="C8" s="2">
        <v>282246</v>
      </c>
      <c r="D8">
        <v>97.1</v>
      </c>
      <c r="E8">
        <v>64.599999999999994</v>
      </c>
      <c r="F8">
        <v>86.9</v>
      </c>
      <c r="G8" s="6">
        <v>69.5</v>
      </c>
      <c r="H8">
        <v>111.2</v>
      </c>
      <c r="I8">
        <v>81.900000000000006</v>
      </c>
      <c r="J8">
        <v>292769</v>
      </c>
      <c r="K8">
        <v>0.1</v>
      </c>
      <c r="L8">
        <v>60.9</v>
      </c>
      <c r="M8" s="13">
        <v>40027</v>
      </c>
      <c r="O8" s="8">
        <v>3.62052223152887E-3</v>
      </c>
      <c r="P8" s="2">
        <v>-3.8</v>
      </c>
    </row>
    <row r="9" spans="1:16" x14ac:dyDescent="0.2">
      <c r="A9" s="1">
        <v>36739</v>
      </c>
      <c r="B9" s="9" t="e">
        <v>#N/A</v>
      </c>
      <c r="C9" s="2" t="e">
        <v>#N/A</v>
      </c>
      <c r="D9" t="e">
        <v>#N/A</v>
      </c>
      <c r="E9" t="e">
        <v>#N/A</v>
      </c>
      <c r="F9">
        <v>87.5</v>
      </c>
      <c r="G9" s="6">
        <v>70.7</v>
      </c>
      <c r="H9">
        <v>111.6</v>
      </c>
      <c r="I9">
        <v>82</v>
      </c>
      <c r="J9" t="e">
        <v>#N/A</v>
      </c>
      <c r="K9">
        <v>-0.1</v>
      </c>
      <c r="L9">
        <v>60.9</v>
      </c>
      <c r="M9" s="13">
        <v>40044</v>
      </c>
      <c r="O9" s="8">
        <v>-5.9717048692890601E-2</v>
      </c>
      <c r="P9" s="2">
        <v>-2.8</v>
      </c>
    </row>
    <row r="10" spans="1:16" x14ac:dyDescent="0.2">
      <c r="A10" s="1">
        <v>36770</v>
      </c>
      <c r="B10" s="9" t="e">
        <v>#N/A</v>
      </c>
      <c r="C10" s="2" t="e">
        <v>#N/A</v>
      </c>
      <c r="D10" t="e">
        <v>#N/A</v>
      </c>
      <c r="E10" t="e">
        <v>#N/A</v>
      </c>
      <c r="F10">
        <v>87.6</v>
      </c>
      <c r="G10" s="6">
        <v>70.3</v>
      </c>
      <c r="H10">
        <v>109.9</v>
      </c>
      <c r="I10">
        <v>81</v>
      </c>
      <c r="J10" t="e">
        <v>#N/A</v>
      </c>
      <c r="K10">
        <v>0.1</v>
      </c>
      <c r="L10">
        <v>64.2</v>
      </c>
      <c r="M10" s="13">
        <v>40033</v>
      </c>
      <c r="O10" s="8">
        <v>4.0266131512263201E-2</v>
      </c>
      <c r="P10" s="2">
        <v>-6.4</v>
      </c>
    </row>
    <row r="11" spans="1:16" x14ac:dyDescent="0.2">
      <c r="A11" s="1">
        <v>36800</v>
      </c>
      <c r="B11" s="9" t="s">
        <v>25</v>
      </c>
      <c r="C11" s="2">
        <v>317574</v>
      </c>
      <c r="D11">
        <v>97</v>
      </c>
      <c r="E11">
        <v>64.8</v>
      </c>
      <c r="F11">
        <v>87.2</v>
      </c>
      <c r="G11" s="6">
        <v>70.5</v>
      </c>
      <c r="H11">
        <v>112.6</v>
      </c>
      <c r="I11">
        <v>81.2</v>
      </c>
      <c r="J11">
        <v>294670</v>
      </c>
      <c r="K11">
        <v>0.1</v>
      </c>
      <c r="L11">
        <v>63.5</v>
      </c>
      <c r="M11" s="13">
        <v>40027</v>
      </c>
      <c r="O11" s="8">
        <v>-0.104947060075228</v>
      </c>
      <c r="P11" s="2">
        <v>-7.7</v>
      </c>
    </row>
    <row r="12" spans="1:16" x14ac:dyDescent="0.2">
      <c r="A12" s="1">
        <v>36831</v>
      </c>
      <c r="B12" s="9" t="e">
        <v>#N/A</v>
      </c>
      <c r="C12" s="2" t="e">
        <v>#N/A</v>
      </c>
      <c r="D12" t="e">
        <v>#N/A</v>
      </c>
      <c r="E12" t="e">
        <v>#N/A</v>
      </c>
      <c r="F12">
        <v>87.7</v>
      </c>
      <c r="G12" s="6">
        <v>70.900000000000006</v>
      </c>
      <c r="H12">
        <v>112.5</v>
      </c>
      <c r="I12">
        <v>82</v>
      </c>
      <c r="J12" t="e">
        <v>#N/A</v>
      </c>
      <c r="K12">
        <v>0</v>
      </c>
      <c r="L12">
        <v>64</v>
      </c>
      <c r="M12" s="13">
        <v>40030</v>
      </c>
      <c r="O12" s="8">
        <v>9.5705982046307998E-3</v>
      </c>
      <c r="P12" s="2">
        <v>-5.4</v>
      </c>
    </row>
    <row r="13" spans="1:16" x14ac:dyDescent="0.2">
      <c r="A13" s="1">
        <v>36861</v>
      </c>
      <c r="B13" s="9" t="e">
        <v>#N/A</v>
      </c>
      <c r="C13" s="2" t="e">
        <v>#N/A</v>
      </c>
      <c r="D13" t="e">
        <v>#N/A</v>
      </c>
      <c r="E13" t="e">
        <v>#N/A</v>
      </c>
      <c r="F13">
        <v>88.1</v>
      </c>
      <c r="G13" s="7">
        <v>71</v>
      </c>
      <c r="H13">
        <v>111.6</v>
      </c>
      <c r="I13">
        <v>82.3</v>
      </c>
      <c r="J13" t="e">
        <v>#N/A</v>
      </c>
      <c r="K13">
        <v>1.1000000000000001</v>
      </c>
      <c r="L13">
        <v>63</v>
      </c>
      <c r="M13" s="13">
        <v>40037</v>
      </c>
      <c r="O13" s="8">
        <v>5.4671880647104501E-2</v>
      </c>
      <c r="P13" s="2">
        <v>-5.6</v>
      </c>
    </row>
    <row r="14" spans="1:16" x14ac:dyDescent="0.2">
      <c r="A14" s="1">
        <v>36892</v>
      </c>
      <c r="B14" s="9" t="s">
        <v>25</v>
      </c>
      <c r="C14" s="2">
        <v>268272</v>
      </c>
      <c r="D14">
        <v>96.8</v>
      </c>
      <c r="E14">
        <v>65.3</v>
      </c>
      <c r="F14">
        <v>87.8</v>
      </c>
      <c r="G14" s="7">
        <v>71</v>
      </c>
      <c r="H14">
        <v>108.1</v>
      </c>
      <c r="I14">
        <v>84.2</v>
      </c>
      <c r="J14">
        <v>299868</v>
      </c>
      <c r="K14">
        <v>0.5</v>
      </c>
      <c r="L14">
        <v>62.4</v>
      </c>
      <c r="M14" s="13">
        <v>39944</v>
      </c>
      <c r="O14" s="8">
        <v>-9.0330191216073899E-2</v>
      </c>
      <c r="P14" s="2">
        <v>-4.3</v>
      </c>
    </row>
    <row r="15" spans="1:16" x14ac:dyDescent="0.2">
      <c r="A15" s="1">
        <v>36923</v>
      </c>
      <c r="B15" s="9" t="e">
        <v>#N/A</v>
      </c>
      <c r="C15" s="2" t="e">
        <v>#N/A</v>
      </c>
      <c r="D15" t="e">
        <v>#N/A</v>
      </c>
      <c r="E15" t="e">
        <v>#N/A</v>
      </c>
      <c r="F15">
        <v>88.7</v>
      </c>
      <c r="G15" s="6">
        <v>72.099999999999994</v>
      </c>
      <c r="H15">
        <v>104.3</v>
      </c>
      <c r="I15">
        <v>82.1</v>
      </c>
      <c r="J15" t="e">
        <v>#N/A</v>
      </c>
      <c r="K15">
        <v>0.7</v>
      </c>
      <c r="L15">
        <v>64.3</v>
      </c>
      <c r="M15" s="13">
        <v>39930</v>
      </c>
      <c r="O15" s="8">
        <v>-6.2869022181839498E-2</v>
      </c>
      <c r="P15" s="2">
        <v>-5.6</v>
      </c>
    </row>
    <row r="16" spans="1:16" x14ac:dyDescent="0.2">
      <c r="A16" s="1">
        <v>36951</v>
      </c>
      <c r="B16" s="9" t="e">
        <v>#N/A</v>
      </c>
      <c r="C16" s="2" t="e">
        <v>#N/A</v>
      </c>
      <c r="D16" t="e">
        <v>#N/A</v>
      </c>
      <c r="E16" t="e">
        <v>#N/A</v>
      </c>
      <c r="F16">
        <v>87.6</v>
      </c>
      <c r="G16" s="6">
        <v>71.599999999999994</v>
      </c>
      <c r="H16">
        <v>100</v>
      </c>
      <c r="I16">
        <v>82.9</v>
      </c>
      <c r="J16" t="e">
        <v>#N/A</v>
      </c>
      <c r="K16">
        <v>1.1000000000000001</v>
      </c>
      <c r="L16">
        <v>64.2</v>
      </c>
      <c r="M16" s="13">
        <v>39912</v>
      </c>
      <c r="O16" s="8">
        <v>7.1891878087779304E-2</v>
      </c>
      <c r="P16" s="2">
        <v>-4.8</v>
      </c>
    </row>
    <row r="17" spans="1:16" x14ac:dyDescent="0.2">
      <c r="A17" s="1">
        <v>36982</v>
      </c>
      <c r="B17" s="9" t="s">
        <v>25</v>
      </c>
      <c r="C17" s="2">
        <v>278214</v>
      </c>
      <c r="D17">
        <v>96.6</v>
      </c>
      <c r="E17">
        <v>65.599999999999994</v>
      </c>
      <c r="F17">
        <v>86.5</v>
      </c>
      <c r="G17" s="6">
        <v>70.7</v>
      </c>
      <c r="H17">
        <v>99.1</v>
      </c>
      <c r="I17">
        <v>82.3</v>
      </c>
      <c r="J17">
        <v>299429</v>
      </c>
      <c r="K17">
        <v>1.2</v>
      </c>
      <c r="L17">
        <v>65</v>
      </c>
      <c r="M17" s="13">
        <v>39922</v>
      </c>
      <c r="O17" s="8">
        <v>-2.2805739422519601E-2</v>
      </c>
      <c r="P17" s="2">
        <v>-5.4</v>
      </c>
    </row>
    <row r="18" spans="1:16" x14ac:dyDescent="0.2">
      <c r="A18" s="1">
        <v>37012</v>
      </c>
      <c r="B18" s="9" t="e">
        <v>#N/A</v>
      </c>
      <c r="C18" s="2" t="e">
        <v>#N/A</v>
      </c>
      <c r="D18" t="e">
        <v>#N/A</v>
      </c>
      <c r="E18" t="e">
        <v>#N/A</v>
      </c>
      <c r="F18">
        <v>87.2</v>
      </c>
      <c r="G18" s="6">
        <v>71.3</v>
      </c>
      <c r="H18">
        <v>97.8</v>
      </c>
      <c r="I18">
        <v>82.5</v>
      </c>
      <c r="J18" t="e">
        <v>#N/A</v>
      </c>
      <c r="K18">
        <v>1.7</v>
      </c>
      <c r="L18">
        <v>66.5</v>
      </c>
      <c r="M18" s="13">
        <v>39924</v>
      </c>
      <c r="O18" s="8">
        <v>-1.06521778957784E-2</v>
      </c>
      <c r="P18" s="2">
        <v>-7.3</v>
      </c>
    </row>
    <row r="19" spans="1:16" x14ac:dyDescent="0.2">
      <c r="A19" s="1">
        <v>37043</v>
      </c>
      <c r="B19" s="9" t="e">
        <v>#N/A</v>
      </c>
      <c r="C19" s="2" t="e">
        <v>#N/A</v>
      </c>
      <c r="D19" t="e">
        <v>#N/A</v>
      </c>
      <c r="E19" t="e">
        <v>#N/A</v>
      </c>
      <c r="F19">
        <v>87.2</v>
      </c>
      <c r="G19" s="6">
        <v>71.099999999999994</v>
      </c>
      <c r="H19">
        <v>94.6</v>
      </c>
      <c r="I19">
        <v>81.8</v>
      </c>
      <c r="J19" t="e">
        <v>#N/A</v>
      </c>
      <c r="K19">
        <v>1.8</v>
      </c>
      <c r="L19">
        <v>65.900000000000006</v>
      </c>
      <c r="M19" s="13">
        <v>39867</v>
      </c>
      <c r="O19" s="8">
        <v>-3.3089773619234798E-2</v>
      </c>
      <c r="P19" s="2">
        <v>-10.4</v>
      </c>
    </row>
    <row r="20" spans="1:16" x14ac:dyDescent="0.2">
      <c r="A20" s="1">
        <v>37073</v>
      </c>
      <c r="B20" s="9" t="s">
        <v>25</v>
      </c>
      <c r="C20" s="2">
        <v>284795</v>
      </c>
      <c r="D20">
        <v>96.3</v>
      </c>
      <c r="E20">
        <v>66</v>
      </c>
      <c r="F20">
        <v>85.1</v>
      </c>
      <c r="G20" s="6">
        <v>69.5</v>
      </c>
      <c r="H20">
        <v>93.1</v>
      </c>
      <c r="I20">
        <v>82</v>
      </c>
      <c r="J20">
        <v>301419</v>
      </c>
      <c r="K20">
        <v>1.8</v>
      </c>
      <c r="L20">
        <v>64.5</v>
      </c>
      <c r="M20" s="13">
        <v>39827</v>
      </c>
      <c r="O20" s="8">
        <v>-0.12197162586308399</v>
      </c>
      <c r="P20" s="2">
        <v>-10.7</v>
      </c>
    </row>
    <row r="21" spans="1:16" x14ac:dyDescent="0.2">
      <c r="A21" s="1">
        <v>37104</v>
      </c>
      <c r="B21" s="9" t="e">
        <v>#N/A</v>
      </c>
      <c r="C21" s="2" t="e">
        <v>#N/A</v>
      </c>
      <c r="D21" t="e">
        <v>#N/A</v>
      </c>
      <c r="E21" t="e">
        <v>#N/A</v>
      </c>
      <c r="F21">
        <v>87.3</v>
      </c>
      <c r="G21" s="6">
        <v>71.5</v>
      </c>
      <c r="H21">
        <v>91.5</v>
      </c>
      <c r="I21">
        <v>81.900000000000006</v>
      </c>
      <c r="J21" t="e">
        <v>#N/A</v>
      </c>
      <c r="K21">
        <v>1.8</v>
      </c>
      <c r="L21">
        <v>64.2</v>
      </c>
      <c r="M21" s="13">
        <v>39816</v>
      </c>
      <c r="O21" s="8">
        <v>-0.18587246382334</v>
      </c>
      <c r="P21" s="2">
        <v>-12.2</v>
      </c>
    </row>
    <row r="22" spans="1:16" x14ac:dyDescent="0.2">
      <c r="A22" s="1">
        <v>37135</v>
      </c>
      <c r="B22" s="9" t="e">
        <v>#N/A</v>
      </c>
      <c r="C22" s="2" t="e">
        <v>#N/A</v>
      </c>
      <c r="D22" t="e">
        <v>#N/A</v>
      </c>
      <c r="E22" t="e">
        <v>#N/A</v>
      </c>
      <c r="F22">
        <v>86.1</v>
      </c>
      <c r="G22" s="6">
        <v>70.599999999999994</v>
      </c>
      <c r="H22">
        <v>88.4</v>
      </c>
      <c r="I22">
        <v>81.8</v>
      </c>
      <c r="J22" t="e">
        <v>#N/A</v>
      </c>
      <c r="K22">
        <v>1.8</v>
      </c>
      <c r="L22">
        <v>65.099999999999994</v>
      </c>
      <c r="M22" s="13">
        <v>39784</v>
      </c>
      <c r="O22" s="8">
        <v>5.6623235184378701E-2</v>
      </c>
      <c r="P22" s="2">
        <v>-11.5</v>
      </c>
    </row>
    <row r="23" spans="1:16" x14ac:dyDescent="0.2">
      <c r="A23" s="1">
        <v>37165</v>
      </c>
      <c r="B23" s="9" t="s">
        <v>25</v>
      </c>
      <c r="C23" s="2">
        <v>321028</v>
      </c>
      <c r="D23">
        <v>96.1</v>
      </c>
      <c r="E23">
        <v>66.599999999999994</v>
      </c>
      <c r="F23">
        <v>84.5</v>
      </c>
      <c r="G23" s="6">
        <v>69.099999999999994</v>
      </c>
      <c r="H23">
        <v>84.9</v>
      </c>
      <c r="I23">
        <v>79.900000000000006</v>
      </c>
      <c r="J23">
        <v>304190</v>
      </c>
      <c r="K23">
        <v>1.8</v>
      </c>
      <c r="L23">
        <v>63</v>
      </c>
      <c r="M23" s="13">
        <v>39798</v>
      </c>
      <c r="O23" s="8">
        <v>9.0286114695754094E-2</v>
      </c>
      <c r="P23" s="2">
        <v>-11.4</v>
      </c>
    </row>
    <row r="24" spans="1:16" x14ac:dyDescent="0.2">
      <c r="A24" s="1">
        <v>37196</v>
      </c>
      <c r="B24" s="9" t="e">
        <v>#N/A</v>
      </c>
      <c r="C24" s="2" t="e">
        <v>#N/A</v>
      </c>
      <c r="D24" t="e">
        <v>#N/A</v>
      </c>
      <c r="E24" t="e">
        <v>#N/A</v>
      </c>
      <c r="F24">
        <v>83.7</v>
      </c>
      <c r="G24" s="6">
        <v>68.2</v>
      </c>
      <c r="H24">
        <v>81.8</v>
      </c>
      <c r="I24">
        <v>82.9</v>
      </c>
      <c r="J24" t="e">
        <v>#N/A</v>
      </c>
      <c r="K24">
        <v>1.8</v>
      </c>
      <c r="L24">
        <v>62</v>
      </c>
      <c r="M24" s="13">
        <v>39821</v>
      </c>
      <c r="O24" s="8">
        <v>3.35380732340873E-2</v>
      </c>
      <c r="P24" s="2">
        <v>-13.4</v>
      </c>
    </row>
    <row r="25" spans="1:16" x14ac:dyDescent="0.2">
      <c r="A25" s="1">
        <v>37226</v>
      </c>
      <c r="B25" s="9" t="e">
        <v>#N/A</v>
      </c>
      <c r="C25" s="2" t="e">
        <v>#N/A</v>
      </c>
      <c r="D25" t="e">
        <v>#N/A</v>
      </c>
      <c r="E25" t="e">
        <v>#N/A</v>
      </c>
      <c r="F25">
        <v>84.5</v>
      </c>
      <c r="G25" s="6">
        <v>68.5</v>
      </c>
      <c r="H25">
        <v>84.4</v>
      </c>
      <c r="I25">
        <v>81.400000000000006</v>
      </c>
      <c r="J25" t="e">
        <v>#N/A</v>
      </c>
      <c r="K25">
        <v>1.7</v>
      </c>
      <c r="L25">
        <v>61.4</v>
      </c>
      <c r="M25" s="13">
        <v>39836</v>
      </c>
      <c r="O25" s="8">
        <v>-1.02244204103847E-2</v>
      </c>
      <c r="P25" s="2">
        <v>-13.8</v>
      </c>
    </row>
    <row r="26" spans="1:16" x14ac:dyDescent="0.2">
      <c r="A26" s="1">
        <v>37257</v>
      </c>
      <c r="B26" s="9">
        <v>240643</v>
      </c>
      <c r="C26" s="2">
        <v>270597</v>
      </c>
      <c r="D26">
        <v>95.9</v>
      </c>
      <c r="E26">
        <v>66.7</v>
      </c>
      <c r="F26">
        <v>84.4</v>
      </c>
      <c r="G26" s="6">
        <v>69.099999999999994</v>
      </c>
      <c r="H26">
        <v>85.2</v>
      </c>
      <c r="I26">
        <v>80</v>
      </c>
      <c r="J26">
        <v>303131</v>
      </c>
      <c r="K26">
        <v>2.2999999999999998</v>
      </c>
      <c r="L26">
        <v>62.7</v>
      </c>
      <c r="M26" s="13">
        <v>39859</v>
      </c>
      <c r="O26" s="8">
        <v>-1.35080164233585E-2</v>
      </c>
      <c r="P26" s="2">
        <v>-14.7</v>
      </c>
    </row>
    <row r="27" spans="1:16" x14ac:dyDescent="0.2">
      <c r="A27" s="1">
        <v>37288</v>
      </c>
      <c r="B27" s="9" t="e">
        <v>#N/A</v>
      </c>
      <c r="C27" s="2" t="e">
        <v>#N/A</v>
      </c>
      <c r="D27" t="e">
        <v>#N/A</v>
      </c>
      <c r="E27" t="e">
        <v>#N/A</v>
      </c>
      <c r="F27">
        <v>84.5</v>
      </c>
      <c r="G27" s="7">
        <v>69</v>
      </c>
      <c r="H27">
        <v>86.9</v>
      </c>
      <c r="I27">
        <v>79.900000000000006</v>
      </c>
      <c r="J27" t="e">
        <v>#N/A</v>
      </c>
      <c r="K27">
        <v>2.2000000000000002</v>
      </c>
      <c r="L27">
        <v>63.1</v>
      </c>
      <c r="M27" s="13">
        <v>39842</v>
      </c>
      <c r="O27" s="8">
        <v>6.8673441743852606E-2</v>
      </c>
      <c r="P27" s="2">
        <v>-15.4</v>
      </c>
    </row>
    <row r="28" spans="1:16" x14ac:dyDescent="0.2">
      <c r="A28" s="1">
        <v>37316</v>
      </c>
      <c r="B28" s="9" t="e">
        <v>#N/A</v>
      </c>
      <c r="C28" s="2" t="e">
        <v>#N/A</v>
      </c>
      <c r="D28" t="e">
        <v>#N/A</v>
      </c>
      <c r="E28" t="e">
        <v>#N/A</v>
      </c>
      <c r="F28">
        <v>85.1</v>
      </c>
      <c r="G28" s="6">
        <v>68.900000000000006</v>
      </c>
      <c r="H28">
        <v>88.5</v>
      </c>
      <c r="I28">
        <v>80</v>
      </c>
      <c r="J28" t="e">
        <v>#N/A</v>
      </c>
      <c r="K28">
        <v>2.2000000000000002</v>
      </c>
      <c r="L28">
        <v>64.2</v>
      </c>
      <c r="M28" s="13">
        <v>39817</v>
      </c>
      <c r="O28" s="8">
        <v>-6.8252795261562596E-2</v>
      </c>
      <c r="P28" s="2">
        <v>-14.6</v>
      </c>
    </row>
    <row r="29" spans="1:16" x14ac:dyDescent="0.2">
      <c r="A29" s="1">
        <v>37347</v>
      </c>
      <c r="B29" s="9">
        <v>244034</v>
      </c>
      <c r="C29" s="2">
        <v>280013</v>
      </c>
      <c r="D29">
        <v>95.7</v>
      </c>
      <c r="E29">
        <v>67</v>
      </c>
      <c r="F29">
        <v>85.4</v>
      </c>
      <c r="G29" s="6">
        <v>68.7</v>
      </c>
      <c r="H29">
        <v>86.5</v>
      </c>
      <c r="I29">
        <v>80.8</v>
      </c>
      <c r="J29">
        <v>301401</v>
      </c>
      <c r="K29">
        <v>1.5</v>
      </c>
      <c r="L29">
        <v>65.5</v>
      </c>
      <c r="M29" s="13">
        <v>39828</v>
      </c>
      <c r="O29" s="8">
        <v>-4.5223059505193702E-2</v>
      </c>
      <c r="P29" s="2">
        <v>-15.6</v>
      </c>
    </row>
    <row r="30" spans="1:16" x14ac:dyDescent="0.2">
      <c r="A30" s="1">
        <v>37377</v>
      </c>
      <c r="B30" s="9" t="e">
        <v>#N/A</v>
      </c>
      <c r="C30" s="2" t="e">
        <v>#N/A</v>
      </c>
      <c r="D30" t="e">
        <v>#N/A</v>
      </c>
      <c r="E30" t="e">
        <v>#N/A</v>
      </c>
      <c r="F30">
        <v>84.6</v>
      </c>
      <c r="G30" s="6">
        <v>68.400000000000006</v>
      </c>
      <c r="H30">
        <v>85.5</v>
      </c>
      <c r="I30">
        <v>80.5</v>
      </c>
      <c r="J30" t="e">
        <v>#N/A</v>
      </c>
      <c r="K30">
        <v>1.5</v>
      </c>
      <c r="L30">
        <v>64.7</v>
      </c>
      <c r="M30" s="13">
        <v>39776</v>
      </c>
      <c r="O30" s="8">
        <v>-9.4788086314228095E-2</v>
      </c>
      <c r="P30" s="2">
        <v>-15.7</v>
      </c>
    </row>
    <row r="31" spans="1:16" x14ac:dyDescent="0.2">
      <c r="A31" s="1">
        <v>37408</v>
      </c>
      <c r="B31" s="9" t="e">
        <v>#N/A</v>
      </c>
      <c r="C31" s="2" t="e">
        <v>#N/A</v>
      </c>
      <c r="D31" t="e">
        <v>#N/A</v>
      </c>
      <c r="E31" t="e">
        <v>#N/A</v>
      </c>
      <c r="F31">
        <v>86.3</v>
      </c>
      <c r="G31" s="6">
        <v>69.099999999999994</v>
      </c>
      <c r="H31">
        <v>83.9</v>
      </c>
      <c r="I31">
        <v>79.400000000000006</v>
      </c>
      <c r="J31" t="e">
        <v>#N/A</v>
      </c>
      <c r="K31">
        <v>1.2</v>
      </c>
      <c r="L31">
        <v>64.2</v>
      </c>
      <c r="M31" s="13">
        <v>39686</v>
      </c>
      <c r="O31" s="8">
        <v>-0.16926241416469001</v>
      </c>
      <c r="P31" s="2">
        <v>-16.5</v>
      </c>
    </row>
    <row r="32" spans="1:16" x14ac:dyDescent="0.2">
      <c r="A32" s="1">
        <v>37438</v>
      </c>
      <c r="B32" s="9">
        <v>248402</v>
      </c>
      <c r="C32" s="2">
        <v>287971</v>
      </c>
      <c r="D32">
        <v>95.3</v>
      </c>
      <c r="E32">
        <v>67.7</v>
      </c>
      <c r="F32">
        <v>85.1</v>
      </c>
      <c r="G32" s="6">
        <v>68.599999999999994</v>
      </c>
      <c r="H32">
        <v>83.8</v>
      </c>
      <c r="I32">
        <v>80.900000000000006</v>
      </c>
      <c r="J32">
        <v>304778</v>
      </c>
      <c r="K32">
        <v>1.2</v>
      </c>
      <c r="L32">
        <v>64.2</v>
      </c>
      <c r="M32" s="13">
        <v>39683</v>
      </c>
      <c r="O32" s="8">
        <v>3.4533721032712402E-3</v>
      </c>
      <c r="P32" s="2">
        <v>-14.6</v>
      </c>
    </row>
    <row r="33" spans="1:16" x14ac:dyDescent="0.2">
      <c r="A33" s="1">
        <v>37469</v>
      </c>
      <c r="B33" s="9" t="e">
        <v>#N/A</v>
      </c>
      <c r="C33" s="2" t="e">
        <v>#N/A</v>
      </c>
      <c r="D33" t="e">
        <v>#N/A</v>
      </c>
      <c r="E33" t="e">
        <v>#N/A</v>
      </c>
      <c r="F33">
        <v>86.8</v>
      </c>
      <c r="G33" s="6">
        <v>70.599999999999994</v>
      </c>
      <c r="H33">
        <v>82.5</v>
      </c>
      <c r="I33">
        <v>80.3</v>
      </c>
      <c r="J33" t="e">
        <v>#N/A</v>
      </c>
      <c r="K33">
        <v>1.2</v>
      </c>
      <c r="L33">
        <v>64.3</v>
      </c>
      <c r="M33" s="13">
        <v>39602</v>
      </c>
      <c r="O33" s="8">
        <v>-0.293326910897099</v>
      </c>
      <c r="P33" s="2">
        <v>-16.3</v>
      </c>
    </row>
    <row r="34" spans="1:16" x14ac:dyDescent="0.2">
      <c r="A34" s="1">
        <v>37500</v>
      </c>
      <c r="B34" s="9" t="e">
        <v>#N/A</v>
      </c>
      <c r="C34" s="2" t="e">
        <v>#N/A</v>
      </c>
      <c r="D34" t="e">
        <v>#N/A</v>
      </c>
      <c r="E34" t="e">
        <v>#N/A</v>
      </c>
      <c r="F34">
        <v>86</v>
      </c>
      <c r="G34" s="6">
        <v>70.2</v>
      </c>
      <c r="H34">
        <v>83.4</v>
      </c>
      <c r="I34">
        <v>81.2</v>
      </c>
      <c r="J34" t="e">
        <v>#N/A</v>
      </c>
      <c r="K34">
        <v>1.2</v>
      </c>
      <c r="L34">
        <v>65</v>
      </c>
      <c r="M34" s="13">
        <v>39568</v>
      </c>
      <c r="O34" s="8">
        <v>0.12980974771940601</v>
      </c>
      <c r="P34" s="2">
        <v>-15.1</v>
      </c>
    </row>
    <row r="35" spans="1:16" x14ac:dyDescent="0.2">
      <c r="A35" s="1">
        <v>37530</v>
      </c>
      <c r="B35" s="9">
        <v>248710</v>
      </c>
      <c r="C35" s="2">
        <v>321704</v>
      </c>
      <c r="D35">
        <v>94.7</v>
      </c>
      <c r="E35">
        <v>68.2</v>
      </c>
      <c r="F35">
        <v>85.3</v>
      </c>
      <c r="G35" s="6">
        <v>69.3</v>
      </c>
      <c r="H35">
        <v>81.2</v>
      </c>
      <c r="I35">
        <v>80.7</v>
      </c>
      <c r="J35">
        <v>306717</v>
      </c>
      <c r="K35">
        <v>1.1000000000000001</v>
      </c>
      <c r="L35">
        <v>65.2</v>
      </c>
      <c r="M35" s="13">
        <v>39519</v>
      </c>
      <c r="O35" s="8">
        <v>5.1754347748044403E-2</v>
      </c>
      <c r="P35" s="2">
        <v>-18</v>
      </c>
    </row>
    <row r="36" spans="1:16" x14ac:dyDescent="0.2">
      <c r="A36" s="1">
        <v>37561</v>
      </c>
      <c r="B36" s="9" t="e">
        <v>#N/A</v>
      </c>
      <c r="C36" s="2" t="e">
        <v>#N/A</v>
      </c>
      <c r="D36" t="e">
        <v>#N/A</v>
      </c>
      <c r="E36" t="e">
        <v>#N/A</v>
      </c>
      <c r="F36">
        <v>86.5</v>
      </c>
      <c r="G36" s="6">
        <v>69.8</v>
      </c>
      <c r="H36">
        <v>79.7</v>
      </c>
      <c r="I36">
        <v>80.2</v>
      </c>
      <c r="J36" t="e">
        <v>#N/A</v>
      </c>
      <c r="K36">
        <v>1</v>
      </c>
      <c r="L36">
        <v>63.6</v>
      </c>
      <c r="M36" s="13">
        <v>39469</v>
      </c>
      <c r="O36" s="8">
        <v>-0.13789510203043201</v>
      </c>
      <c r="P36" s="2">
        <v>-24.7</v>
      </c>
    </row>
    <row r="37" spans="1:16" x14ac:dyDescent="0.2">
      <c r="A37" s="1">
        <v>37591</v>
      </c>
      <c r="B37" s="9" t="e">
        <v>#N/A</v>
      </c>
      <c r="C37" s="2" t="e">
        <v>#N/A</v>
      </c>
      <c r="D37" t="e">
        <v>#N/A</v>
      </c>
      <c r="E37" t="e">
        <v>#N/A</v>
      </c>
      <c r="F37">
        <v>85.1</v>
      </c>
      <c r="G37" s="6">
        <v>70.3</v>
      </c>
      <c r="H37">
        <v>78.5</v>
      </c>
      <c r="I37">
        <v>80</v>
      </c>
      <c r="J37" t="e">
        <v>#N/A</v>
      </c>
      <c r="K37">
        <v>0.8</v>
      </c>
      <c r="L37">
        <v>64</v>
      </c>
      <c r="M37" s="13">
        <v>39439</v>
      </c>
      <c r="O37" s="8">
        <v>-5.13545446787287E-2</v>
      </c>
      <c r="P37" s="2">
        <v>-25.8</v>
      </c>
    </row>
    <row r="38" spans="1:16" x14ac:dyDescent="0.2">
      <c r="A38" s="1">
        <v>37622</v>
      </c>
      <c r="B38" s="9">
        <v>247514</v>
      </c>
      <c r="C38" s="2">
        <v>272433</v>
      </c>
      <c r="D38">
        <v>94.3</v>
      </c>
      <c r="E38">
        <v>68.599999999999994</v>
      </c>
      <c r="F38">
        <v>85.9</v>
      </c>
      <c r="G38" s="6">
        <v>69.3</v>
      </c>
      <c r="H38">
        <v>81.099999999999994</v>
      </c>
      <c r="I38">
        <v>79.3</v>
      </c>
      <c r="J38">
        <v>309806</v>
      </c>
      <c r="K38">
        <v>0.4</v>
      </c>
      <c r="L38">
        <v>67</v>
      </c>
      <c r="M38" s="13">
        <v>39392</v>
      </c>
      <c r="O38" s="8">
        <v>-7.58756917913503E-2</v>
      </c>
      <c r="P38" s="2">
        <v>-23.2</v>
      </c>
    </row>
    <row r="39" spans="1:16" x14ac:dyDescent="0.2">
      <c r="A39" s="1">
        <v>37653</v>
      </c>
      <c r="B39" s="9" t="e">
        <v>#N/A</v>
      </c>
      <c r="C39" s="2" t="e">
        <v>#N/A</v>
      </c>
      <c r="D39" t="e">
        <v>#N/A</v>
      </c>
      <c r="E39" t="e">
        <v>#N/A</v>
      </c>
      <c r="F39">
        <v>86.1</v>
      </c>
      <c r="G39" s="6">
        <v>69.400000000000006</v>
      </c>
      <c r="H39">
        <v>81.5</v>
      </c>
      <c r="I39">
        <v>79.599999999999994</v>
      </c>
      <c r="J39" t="e">
        <v>#N/A</v>
      </c>
      <c r="K39">
        <v>0.5</v>
      </c>
      <c r="L39">
        <v>68.400000000000006</v>
      </c>
      <c r="M39" s="13">
        <v>39383</v>
      </c>
      <c r="O39" s="8">
        <v>-4.9570361160313298E-2</v>
      </c>
      <c r="P39" s="2">
        <v>-24.5</v>
      </c>
    </row>
    <row r="40" spans="1:16" x14ac:dyDescent="0.2">
      <c r="A40" s="1">
        <v>37681</v>
      </c>
      <c r="B40" s="9" t="e">
        <v>#N/A</v>
      </c>
      <c r="C40" s="2" t="e">
        <v>#N/A</v>
      </c>
      <c r="D40" t="e">
        <v>#N/A</v>
      </c>
      <c r="E40" t="e">
        <v>#N/A</v>
      </c>
      <c r="F40">
        <v>86.1</v>
      </c>
      <c r="G40" s="6">
        <v>69.5</v>
      </c>
      <c r="H40">
        <v>82.2</v>
      </c>
      <c r="I40">
        <v>79.400000000000006</v>
      </c>
      <c r="J40" t="e">
        <v>#N/A</v>
      </c>
      <c r="K40">
        <v>0.5</v>
      </c>
      <c r="L40">
        <v>68.900000000000006</v>
      </c>
      <c r="M40" s="13">
        <v>39308</v>
      </c>
      <c r="O40" s="8">
        <v>0.193737746804094</v>
      </c>
      <c r="P40" s="2">
        <v>-23.4</v>
      </c>
    </row>
    <row r="41" spans="1:16" x14ac:dyDescent="0.2">
      <c r="A41" s="1">
        <v>37712</v>
      </c>
      <c r="B41" s="9">
        <v>248566</v>
      </c>
      <c r="C41" s="2">
        <v>281500</v>
      </c>
      <c r="D41">
        <v>94</v>
      </c>
      <c r="E41">
        <v>68.7</v>
      </c>
      <c r="F41">
        <v>85.8</v>
      </c>
      <c r="G41" s="6">
        <v>69.599999999999994</v>
      </c>
      <c r="H41">
        <v>84.7</v>
      </c>
      <c r="I41">
        <v>79.7</v>
      </c>
      <c r="J41">
        <v>309830</v>
      </c>
      <c r="K41">
        <v>1</v>
      </c>
      <c r="L41">
        <v>66.7</v>
      </c>
      <c r="M41" s="13">
        <v>39207</v>
      </c>
      <c r="O41" s="8">
        <v>1.3718970746455599E-2</v>
      </c>
      <c r="P41" s="2">
        <v>-21.7</v>
      </c>
    </row>
    <row r="42" spans="1:16" x14ac:dyDescent="0.2">
      <c r="A42" s="1">
        <v>37742</v>
      </c>
      <c r="B42" s="9" t="e">
        <v>#N/A</v>
      </c>
      <c r="C42" s="2" t="e">
        <v>#N/A</v>
      </c>
      <c r="D42" t="e">
        <v>#N/A</v>
      </c>
      <c r="E42" t="e">
        <v>#N/A</v>
      </c>
      <c r="F42">
        <v>85.3</v>
      </c>
      <c r="G42" s="7">
        <v>68</v>
      </c>
      <c r="H42">
        <v>83.7</v>
      </c>
      <c r="I42">
        <v>79.7</v>
      </c>
      <c r="J42" t="e">
        <v>#N/A</v>
      </c>
      <c r="K42">
        <v>0.6</v>
      </c>
      <c r="L42">
        <v>65.5</v>
      </c>
      <c r="M42" s="13">
        <v>39150</v>
      </c>
      <c r="O42" s="8">
        <v>7.6739289513859901E-2</v>
      </c>
      <c r="P42" s="2">
        <v>-20.9</v>
      </c>
    </row>
    <row r="43" spans="1:16" x14ac:dyDescent="0.2">
      <c r="A43" s="1">
        <v>37773</v>
      </c>
      <c r="B43" s="9" t="e">
        <v>#N/A</v>
      </c>
      <c r="C43" s="2" t="e">
        <v>#N/A</v>
      </c>
      <c r="D43" t="e">
        <v>#N/A</v>
      </c>
      <c r="E43" t="e">
        <v>#N/A</v>
      </c>
      <c r="F43">
        <v>84.7</v>
      </c>
      <c r="G43" s="6">
        <v>67.599999999999994</v>
      </c>
      <c r="H43">
        <v>86.4</v>
      </c>
      <c r="I43">
        <v>79.599999999999994</v>
      </c>
      <c r="J43" t="e">
        <v>#N/A</v>
      </c>
      <c r="K43">
        <v>0.8</v>
      </c>
      <c r="L43">
        <v>65.900000000000006</v>
      </c>
      <c r="M43" s="13">
        <v>39218</v>
      </c>
      <c r="O43" s="8">
        <v>7.9726906607758594E-2</v>
      </c>
      <c r="P43" s="2">
        <v>-18.8</v>
      </c>
    </row>
    <row r="44" spans="1:16" x14ac:dyDescent="0.2">
      <c r="A44" s="1">
        <v>37803</v>
      </c>
      <c r="B44" s="9">
        <v>249216</v>
      </c>
      <c r="C44" s="2">
        <v>289792</v>
      </c>
      <c r="D44">
        <v>94</v>
      </c>
      <c r="E44">
        <v>69.2</v>
      </c>
      <c r="F44">
        <v>86.4</v>
      </c>
      <c r="G44" s="6">
        <v>69.900000000000006</v>
      </c>
      <c r="H44">
        <v>87.6</v>
      </c>
      <c r="I44">
        <v>79.400000000000006</v>
      </c>
      <c r="J44">
        <v>312727</v>
      </c>
      <c r="K44">
        <v>0.6</v>
      </c>
      <c r="L44">
        <v>66.099999999999994</v>
      </c>
      <c r="M44" s="13">
        <v>39258</v>
      </c>
      <c r="O44" s="8">
        <v>-9.4085555459777503E-4</v>
      </c>
      <c r="P44" s="2">
        <v>-15.7</v>
      </c>
    </row>
    <row r="45" spans="1:16" x14ac:dyDescent="0.2">
      <c r="A45" s="1">
        <v>37834</v>
      </c>
      <c r="B45" s="9" t="e">
        <v>#N/A</v>
      </c>
      <c r="C45" s="2" t="e">
        <v>#N/A</v>
      </c>
      <c r="D45" t="e">
        <v>#N/A</v>
      </c>
      <c r="E45" t="e">
        <v>#N/A</v>
      </c>
      <c r="F45">
        <v>84.6</v>
      </c>
      <c r="G45" s="6">
        <v>67.599999999999994</v>
      </c>
      <c r="H45">
        <v>90.1</v>
      </c>
      <c r="I45">
        <v>79.099999999999994</v>
      </c>
      <c r="J45" t="e">
        <v>#N/A</v>
      </c>
      <c r="K45">
        <v>1</v>
      </c>
      <c r="L45">
        <v>66.8</v>
      </c>
      <c r="M45" s="13">
        <v>39198</v>
      </c>
      <c r="O45" s="8">
        <v>-6.7608556684577395E-2</v>
      </c>
      <c r="P45" s="2">
        <v>-18</v>
      </c>
    </row>
    <row r="46" spans="1:16" x14ac:dyDescent="0.2">
      <c r="A46" s="1">
        <v>37865</v>
      </c>
      <c r="B46" s="9" t="e">
        <v>#N/A</v>
      </c>
      <c r="C46" s="2" t="e">
        <v>#N/A</v>
      </c>
      <c r="D46" t="e">
        <v>#N/A</v>
      </c>
      <c r="E46" t="e">
        <v>#N/A</v>
      </c>
      <c r="F46">
        <v>84.2</v>
      </c>
      <c r="G46" s="6">
        <v>68.599999999999994</v>
      </c>
      <c r="H46">
        <v>91.5</v>
      </c>
      <c r="I46">
        <v>79.900000000000006</v>
      </c>
      <c r="J46" t="e">
        <v>#N/A</v>
      </c>
      <c r="K46">
        <v>1.1000000000000001</v>
      </c>
      <c r="L46">
        <v>66.5</v>
      </c>
      <c r="M46" s="13">
        <v>39186</v>
      </c>
      <c r="O46" s="8">
        <v>0.115627929501139</v>
      </c>
      <c r="P46" s="2">
        <v>-18.3</v>
      </c>
    </row>
    <row r="47" spans="1:16" x14ac:dyDescent="0.2">
      <c r="A47" s="1">
        <v>37895</v>
      </c>
      <c r="B47" s="9">
        <v>255993</v>
      </c>
      <c r="C47" s="2">
        <v>322273</v>
      </c>
      <c r="D47">
        <v>93.6</v>
      </c>
      <c r="E47">
        <v>69.2</v>
      </c>
      <c r="F47">
        <v>86.5</v>
      </c>
      <c r="G47" s="6">
        <v>69.5</v>
      </c>
      <c r="H47">
        <v>92.2</v>
      </c>
      <c r="I47">
        <v>80.3</v>
      </c>
      <c r="J47">
        <v>313566</v>
      </c>
      <c r="K47">
        <v>1.1000000000000001</v>
      </c>
      <c r="L47">
        <v>66.599999999999994</v>
      </c>
      <c r="M47" s="13">
        <v>39215</v>
      </c>
      <c r="O47" s="8">
        <v>2.4308327639889899E-2</v>
      </c>
      <c r="P47" s="2">
        <v>-18</v>
      </c>
    </row>
    <row r="48" spans="1:16" x14ac:dyDescent="0.2">
      <c r="A48" s="1">
        <v>37926</v>
      </c>
      <c r="B48" s="9" t="e">
        <v>#N/A</v>
      </c>
      <c r="C48" s="2" t="e">
        <v>#N/A</v>
      </c>
      <c r="D48" t="e">
        <v>#N/A</v>
      </c>
      <c r="E48" t="e">
        <v>#N/A</v>
      </c>
      <c r="F48">
        <v>87.1</v>
      </c>
      <c r="G48" s="6">
        <v>70.099999999999994</v>
      </c>
      <c r="H48">
        <v>94.4</v>
      </c>
      <c r="I48">
        <v>79.7</v>
      </c>
      <c r="J48" t="e">
        <v>#N/A</v>
      </c>
      <c r="K48">
        <v>1</v>
      </c>
      <c r="L48">
        <v>66.3</v>
      </c>
      <c r="M48" s="13">
        <v>39202</v>
      </c>
      <c r="O48" s="8">
        <v>5.6870941869297198E-2</v>
      </c>
      <c r="P48" s="2">
        <v>-16</v>
      </c>
    </row>
    <row r="49" spans="1:16" x14ac:dyDescent="0.2">
      <c r="A49" s="1">
        <v>37956</v>
      </c>
      <c r="B49" s="9" t="e">
        <v>#N/A</v>
      </c>
      <c r="C49" s="2" t="e">
        <v>#N/A</v>
      </c>
      <c r="D49" t="e">
        <v>#N/A</v>
      </c>
      <c r="E49" t="e">
        <v>#N/A</v>
      </c>
      <c r="F49">
        <v>87.6</v>
      </c>
      <c r="G49" s="7">
        <v>72</v>
      </c>
      <c r="H49">
        <v>93.2</v>
      </c>
      <c r="I49">
        <v>78.900000000000006</v>
      </c>
      <c r="J49" t="e">
        <v>#N/A</v>
      </c>
      <c r="K49">
        <v>0.9</v>
      </c>
      <c r="L49">
        <v>66.2</v>
      </c>
      <c r="M49" s="13">
        <v>39225</v>
      </c>
      <c r="O49" s="8">
        <v>2.3291925425830601E-2</v>
      </c>
      <c r="P49" s="2">
        <v>-17.7</v>
      </c>
    </row>
    <row r="50" spans="1:16" x14ac:dyDescent="0.2">
      <c r="A50" s="1">
        <v>37987</v>
      </c>
      <c r="B50" s="9">
        <v>248123</v>
      </c>
      <c r="C50" s="2">
        <v>275063</v>
      </c>
      <c r="D50">
        <v>94</v>
      </c>
      <c r="E50">
        <v>69.8</v>
      </c>
      <c r="F50">
        <v>87.7</v>
      </c>
      <c r="G50" s="6">
        <v>69.900000000000006</v>
      </c>
      <c r="H50">
        <v>90</v>
      </c>
      <c r="I50">
        <v>79.900000000000006</v>
      </c>
      <c r="J50">
        <v>314384</v>
      </c>
      <c r="K50">
        <v>1.3</v>
      </c>
      <c r="L50">
        <v>66.900000000000006</v>
      </c>
      <c r="M50" s="13">
        <v>39299</v>
      </c>
      <c r="O50" s="8">
        <v>-1.0014046089356301E-2</v>
      </c>
      <c r="P50" s="2">
        <v>-19.600000000000001</v>
      </c>
    </row>
    <row r="51" spans="1:16" x14ac:dyDescent="0.2">
      <c r="A51" s="1">
        <v>38018</v>
      </c>
      <c r="B51" s="9" t="e">
        <v>#N/A</v>
      </c>
      <c r="C51" s="2" t="e">
        <v>#N/A</v>
      </c>
      <c r="D51" t="e">
        <v>#N/A</v>
      </c>
      <c r="E51" t="e">
        <v>#N/A</v>
      </c>
      <c r="F51">
        <v>87.9</v>
      </c>
      <c r="G51" s="6">
        <v>71.2</v>
      </c>
      <c r="H51">
        <v>95.1</v>
      </c>
      <c r="I51">
        <v>80.2</v>
      </c>
      <c r="J51" t="e">
        <v>#N/A</v>
      </c>
      <c r="K51">
        <v>1.2</v>
      </c>
      <c r="L51">
        <v>66.8</v>
      </c>
      <c r="M51" s="13">
        <v>39316</v>
      </c>
      <c r="O51" s="8">
        <v>-4.1012181651057099E-2</v>
      </c>
      <c r="P51" s="2">
        <v>-16.2</v>
      </c>
    </row>
    <row r="52" spans="1:16" x14ac:dyDescent="0.2">
      <c r="A52" s="1">
        <v>38047</v>
      </c>
      <c r="B52" s="9" t="e">
        <v>#N/A</v>
      </c>
      <c r="C52" s="2" t="e">
        <v>#N/A</v>
      </c>
      <c r="D52" t="e">
        <v>#N/A</v>
      </c>
      <c r="E52" t="e">
        <v>#N/A</v>
      </c>
      <c r="F52">
        <v>87.1</v>
      </c>
      <c r="G52" s="7">
        <v>71</v>
      </c>
      <c r="H52">
        <v>92.6</v>
      </c>
      <c r="I52">
        <v>81.099999999999994</v>
      </c>
      <c r="J52" t="e">
        <v>#N/A</v>
      </c>
      <c r="K52">
        <v>1.5</v>
      </c>
      <c r="L52">
        <v>67.400000000000006</v>
      </c>
      <c r="M52" s="13">
        <v>39370</v>
      </c>
      <c r="O52" s="8">
        <v>3.2778115786023E-2</v>
      </c>
      <c r="P52" s="2">
        <v>-17.3</v>
      </c>
    </row>
    <row r="53" spans="1:16" x14ac:dyDescent="0.2">
      <c r="A53" s="1">
        <v>38078</v>
      </c>
      <c r="B53" s="9">
        <v>245773</v>
      </c>
      <c r="C53" s="2">
        <v>284343</v>
      </c>
      <c r="D53">
        <v>93.6</v>
      </c>
      <c r="E53">
        <v>69.8</v>
      </c>
      <c r="F53">
        <v>88.4</v>
      </c>
      <c r="G53" s="6">
        <v>72.5</v>
      </c>
      <c r="H53">
        <v>92.8</v>
      </c>
      <c r="I53">
        <v>81.599999999999994</v>
      </c>
      <c r="J53">
        <v>315859</v>
      </c>
      <c r="K53">
        <v>1.5</v>
      </c>
      <c r="L53">
        <v>68.5</v>
      </c>
      <c r="M53" s="13">
        <v>39437</v>
      </c>
      <c r="O53" s="8">
        <v>-1.6138738075330401E-2</v>
      </c>
      <c r="P53" s="2">
        <v>-17.8</v>
      </c>
    </row>
    <row r="54" spans="1:16" x14ac:dyDescent="0.2">
      <c r="A54" s="1">
        <v>38108</v>
      </c>
      <c r="B54" s="9" t="e">
        <v>#N/A</v>
      </c>
      <c r="C54" s="2" t="e">
        <v>#N/A</v>
      </c>
      <c r="D54" t="e">
        <v>#N/A</v>
      </c>
      <c r="E54" t="e">
        <v>#N/A</v>
      </c>
      <c r="F54">
        <v>89.2</v>
      </c>
      <c r="G54" s="6">
        <v>72.3</v>
      </c>
      <c r="H54">
        <v>92.5</v>
      </c>
      <c r="I54">
        <v>79.8</v>
      </c>
      <c r="J54" t="e">
        <v>#N/A</v>
      </c>
      <c r="K54">
        <v>1.7</v>
      </c>
      <c r="L54">
        <v>70.3</v>
      </c>
      <c r="M54" s="13">
        <v>39400</v>
      </c>
      <c r="O54" s="8">
        <v>3.2939462694782803E-2</v>
      </c>
      <c r="P54" s="2">
        <v>-18.3</v>
      </c>
    </row>
    <row r="55" spans="1:16" x14ac:dyDescent="0.2">
      <c r="A55" s="1">
        <v>38139</v>
      </c>
      <c r="B55" s="9" t="e">
        <v>#N/A</v>
      </c>
      <c r="C55" s="2" t="e">
        <v>#N/A</v>
      </c>
      <c r="D55" t="e">
        <v>#N/A</v>
      </c>
      <c r="E55" t="e">
        <v>#N/A</v>
      </c>
      <c r="F55">
        <v>88.5</v>
      </c>
      <c r="G55" s="6">
        <v>73.3</v>
      </c>
      <c r="H55">
        <v>91.7</v>
      </c>
      <c r="I55">
        <v>81</v>
      </c>
      <c r="J55" t="e">
        <v>#N/A</v>
      </c>
      <c r="K55">
        <v>1.7</v>
      </c>
      <c r="L55">
        <v>69.2</v>
      </c>
      <c r="M55" s="13">
        <v>39410</v>
      </c>
      <c r="O55" s="8">
        <v>-3.9540417611966902E-2</v>
      </c>
      <c r="P55" s="2">
        <v>-17.100000000000001</v>
      </c>
    </row>
    <row r="56" spans="1:16" x14ac:dyDescent="0.2">
      <c r="A56" s="1">
        <v>38169</v>
      </c>
      <c r="B56" s="9">
        <v>248827</v>
      </c>
      <c r="C56" s="2">
        <v>289674</v>
      </c>
      <c r="D56">
        <v>93.6</v>
      </c>
      <c r="E56">
        <v>69.599999999999994</v>
      </c>
      <c r="F56">
        <v>89.6</v>
      </c>
      <c r="G56" s="6">
        <v>73.7</v>
      </c>
      <c r="H56">
        <v>92.5</v>
      </c>
      <c r="I56">
        <v>81.099999999999994</v>
      </c>
      <c r="J56">
        <v>315926</v>
      </c>
      <c r="K56">
        <v>1.7</v>
      </c>
      <c r="L56">
        <v>70</v>
      </c>
      <c r="M56" s="13">
        <v>39382</v>
      </c>
      <c r="O56" s="8">
        <v>-2.87489484783769E-2</v>
      </c>
      <c r="P56" s="2">
        <v>-18.100000000000001</v>
      </c>
    </row>
    <row r="57" spans="1:16" x14ac:dyDescent="0.2">
      <c r="A57" s="1">
        <v>38200</v>
      </c>
      <c r="B57" s="9" t="e">
        <v>#N/A</v>
      </c>
      <c r="C57" s="2" t="e">
        <v>#N/A</v>
      </c>
      <c r="D57" t="e">
        <v>#N/A</v>
      </c>
      <c r="E57" t="e">
        <v>#N/A</v>
      </c>
      <c r="F57">
        <v>88.7</v>
      </c>
      <c r="G57" s="6">
        <v>72.900000000000006</v>
      </c>
      <c r="H57">
        <v>92.3</v>
      </c>
      <c r="I57">
        <v>80.5</v>
      </c>
      <c r="J57" t="e">
        <v>#N/A</v>
      </c>
      <c r="K57">
        <v>1.7</v>
      </c>
      <c r="L57">
        <v>71.099999999999994</v>
      </c>
      <c r="M57" s="13">
        <v>39376</v>
      </c>
      <c r="O57" s="8">
        <v>2.80529988849079E-2</v>
      </c>
      <c r="P57" s="2">
        <v>-17.7</v>
      </c>
    </row>
    <row r="58" spans="1:16" x14ac:dyDescent="0.2">
      <c r="A58" s="1">
        <v>38231</v>
      </c>
      <c r="B58" s="9" t="e">
        <v>#N/A</v>
      </c>
      <c r="C58" s="2" t="e">
        <v>#N/A</v>
      </c>
      <c r="D58" t="e">
        <v>#N/A</v>
      </c>
      <c r="E58" t="e">
        <v>#N/A</v>
      </c>
      <c r="F58">
        <v>88.5</v>
      </c>
      <c r="G58" s="6">
        <v>73.599999999999994</v>
      </c>
      <c r="H58">
        <v>94.1</v>
      </c>
      <c r="I58">
        <v>80.900000000000006</v>
      </c>
      <c r="J58" t="e">
        <v>#N/A</v>
      </c>
      <c r="K58">
        <v>1.4</v>
      </c>
      <c r="L58">
        <v>70.599999999999994</v>
      </c>
      <c r="M58" s="13">
        <v>39386</v>
      </c>
      <c r="O58" s="8">
        <v>1.7152798504905999E-2</v>
      </c>
      <c r="P58" s="2">
        <v>-15.8</v>
      </c>
    </row>
    <row r="59" spans="1:16" x14ac:dyDescent="0.2">
      <c r="A59" s="1">
        <v>38261</v>
      </c>
      <c r="B59" s="9">
        <v>255912</v>
      </c>
      <c r="C59" s="2">
        <v>321884</v>
      </c>
      <c r="D59">
        <v>93.3</v>
      </c>
      <c r="E59">
        <v>70.2</v>
      </c>
      <c r="F59">
        <v>89.6</v>
      </c>
      <c r="G59" s="6">
        <v>73.599999999999994</v>
      </c>
      <c r="H59">
        <v>93.7</v>
      </c>
      <c r="I59">
        <v>81.2</v>
      </c>
      <c r="J59">
        <v>318696</v>
      </c>
      <c r="K59">
        <v>1.4</v>
      </c>
      <c r="L59">
        <v>72.900000000000006</v>
      </c>
      <c r="M59" s="13">
        <v>39369</v>
      </c>
      <c r="O59" s="8">
        <v>4.1001260062236297E-2</v>
      </c>
      <c r="P59" s="2">
        <v>-17.399999999999999</v>
      </c>
    </row>
    <row r="60" spans="1:16" x14ac:dyDescent="0.2">
      <c r="A60" s="1">
        <v>38292</v>
      </c>
      <c r="B60" s="9" t="e">
        <v>#N/A</v>
      </c>
      <c r="C60" s="2" t="e">
        <v>#N/A</v>
      </c>
      <c r="D60" t="e">
        <v>#N/A</v>
      </c>
      <c r="E60" t="e">
        <v>#N/A</v>
      </c>
      <c r="F60">
        <v>88.2</v>
      </c>
      <c r="G60" s="6">
        <v>73.2</v>
      </c>
      <c r="H60">
        <v>93.6</v>
      </c>
      <c r="I60">
        <v>81.5</v>
      </c>
      <c r="J60" t="e">
        <v>#N/A</v>
      </c>
      <c r="K60">
        <v>1.4</v>
      </c>
      <c r="L60">
        <v>71</v>
      </c>
      <c r="M60" s="13">
        <v>39361</v>
      </c>
      <c r="O60" s="8">
        <v>3.10401525621966E-2</v>
      </c>
      <c r="P60" s="2">
        <v>-17.7</v>
      </c>
    </row>
    <row r="61" spans="1:16" x14ac:dyDescent="0.2">
      <c r="A61" s="1">
        <v>38322</v>
      </c>
      <c r="B61" s="9" t="e">
        <v>#N/A</v>
      </c>
      <c r="C61" s="2" t="e">
        <v>#N/A</v>
      </c>
      <c r="D61" t="e">
        <v>#N/A</v>
      </c>
      <c r="E61" t="e">
        <v>#N/A</v>
      </c>
      <c r="F61">
        <v>88.2</v>
      </c>
      <c r="G61" s="6">
        <v>74.2</v>
      </c>
      <c r="H61">
        <v>92</v>
      </c>
      <c r="I61">
        <v>81.3</v>
      </c>
      <c r="J61" t="e">
        <v>#N/A</v>
      </c>
      <c r="K61">
        <v>1.9</v>
      </c>
      <c r="L61">
        <v>69.3</v>
      </c>
      <c r="M61" s="13">
        <v>39325</v>
      </c>
      <c r="O61" s="8">
        <v>-2.8903549950776202E-4</v>
      </c>
      <c r="P61" s="2">
        <v>-16.7</v>
      </c>
    </row>
    <row r="62" spans="1:16" x14ac:dyDescent="0.2">
      <c r="A62" s="1">
        <v>38353</v>
      </c>
      <c r="B62" s="9">
        <v>253550</v>
      </c>
      <c r="C62" s="2">
        <v>274554</v>
      </c>
      <c r="D62">
        <v>92.4</v>
      </c>
      <c r="E62">
        <v>70.2</v>
      </c>
      <c r="F62">
        <v>90.2</v>
      </c>
      <c r="G62" s="6">
        <v>75.2</v>
      </c>
      <c r="H62">
        <v>95.2</v>
      </c>
      <c r="I62">
        <v>83.2</v>
      </c>
      <c r="J62">
        <v>322059</v>
      </c>
      <c r="K62">
        <v>1.2</v>
      </c>
      <c r="L62">
        <v>70.5</v>
      </c>
      <c r="M62" s="13">
        <v>39274</v>
      </c>
      <c r="O62" s="8">
        <v>2.22290045964222E-2</v>
      </c>
      <c r="P62" s="2">
        <v>-13.7</v>
      </c>
    </row>
    <row r="63" spans="1:16" x14ac:dyDescent="0.2">
      <c r="A63" s="1">
        <v>38384</v>
      </c>
      <c r="B63" s="9" t="e">
        <v>#N/A</v>
      </c>
      <c r="C63" s="2" t="e">
        <v>#N/A</v>
      </c>
      <c r="D63" t="e">
        <v>#N/A</v>
      </c>
      <c r="E63" t="e">
        <v>#N/A</v>
      </c>
      <c r="F63">
        <v>89.2</v>
      </c>
      <c r="G63" s="6">
        <v>73.5</v>
      </c>
      <c r="H63">
        <v>93.8</v>
      </c>
      <c r="I63">
        <v>82</v>
      </c>
      <c r="J63" t="e">
        <v>#N/A</v>
      </c>
      <c r="K63">
        <v>1.3</v>
      </c>
      <c r="L63">
        <v>71.099999999999994</v>
      </c>
      <c r="M63" s="13">
        <v>39274</v>
      </c>
      <c r="O63" s="8">
        <v>-3.95485320812128E-4</v>
      </c>
      <c r="P63" s="2">
        <v>-14.5</v>
      </c>
    </row>
    <row r="64" spans="1:16" x14ac:dyDescent="0.2">
      <c r="A64" s="1">
        <v>38412</v>
      </c>
      <c r="B64" s="9" t="e">
        <v>#N/A</v>
      </c>
      <c r="C64" s="2" t="e">
        <v>#N/A</v>
      </c>
      <c r="D64" t="e">
        <v>#N/A</v>
      </c>
      <c r="E64" t="e">
        <v>#N/A</v>
      </c>
      <c r="F64">
        <v>90.1</v>
      </c>
      <c r="G64" s="6">
        <v>75.2</v>
      </c>
      <c r="H64">
        <v>91.4</v>
      </c>
      <c r="I64">
        <v>82.3</v>
      </c>
      <c r="J64" t="e">
        <v>#N/A</v>
      </c>
      <c r="K64">
        <v>1.1000000000000001</v>
      </c>
      <c r="L64">
        <v>73.099999999999994</v>
      </c>
      <c r="M64" s="13">
        <v>39239</v>
      </c>
      <c r="O64" s="8">
        <v>-3.8424616894092302E-2</v>
      </c>
      <c r="P64" s="2">
        <v>-15.2</v>
      </c>
    </row>
    <row r="65" spans="1:16" x14ac:dyDescent="0.2">
      <c r="A65" s="1">
        <v>38443</v>
      </c>
      <c r="B65" s="9">
        <v>249012</v>
      </c>
      <c r="C65" s="2">
        <v>283593</v>
      </c>
      <c r="D65">
        <v>92.9</v>
      </c>
      <c r="E65">
        <v>70.2</v>
      </c>
      <c r="F65">
        <v>90.8</v>
      </c>
      <c r="G65" s="6">
        <v>74.599999999999994</v>
      </c>
      <c r="H65">
        <v>91.9</v>
      </c>
      <c r="I65">
        <v>81.5</v>
      </c>
      <c r="J65">
        <v>323183</v>
      </c>
      <c r="K65">
        <v>0.7</v>
      </c>
      <c r="L65">
        <v>74.7</v>
      </c>
      <c r="M65" s="13">
        <v>39226</v>
      </c>
      <c r="O65" s="8">
        <v>6.3821551296939602E-2</v>
      </c>
      <c r="P65" s="2">
        <v>-15.4</v>
      </c>
    </row>
    <row r="66" spans="1:16" x14ac:dyDescent="0.2">
      <c r="A66" s="1">
        <v>38473</v>
      </c>
      <c r="B66" s="9" t="e">
        <v>#N/A</v>
      </c>
      <c r="C66" s="2" t="e">
        <v>#N/A</v>
      </c>
      <c r="D66" t="e">
        <v>#N/A</v>
      </c>
      <c r="E66" t="e">
        <v>#N/A</v>
      </c>
      <c r="F66">
        <v>89.7</v>
      </c>
      <c r="G66" s="6">
        <v>74.5</v>
      </c>
      <c r="H66">
        <v>92.5</v>
      </c>
      <c r="I66">
        <v>81.8</v>
      </c>
      <c r="J66" t="e">
        <v>#N/A</v>
      </c>
      <c r="K66">
        <v>1.2</v>
      </c>
      <c r="L66">
        <v>74.5</v>
      </c>
      <c r="M66" s="13">
        <v>39232</v>
      </c>
      <c r="O66" s="8">
        <v>2.7779205722774598E-2</v>
      </c>
      <c r="P66" s="2">
        <v>-14.7</v>
      </c>
    </row>
    <row r="67" spans="1:16" x14ac:dyDescent="0.2">
      <c r="A67" s="1">
        <v>38504</v>
      </c>
      <c r="B67" s="9" t="e">
        <v>#N/A</v>
      </c>
      <c r="C67" s="2" t="e">
        <v>#N/A</v>
      </c>
      <c r="D67" t="e">
        <v>#N/A</v>
      </c>
      <c r="E67" t="e">
        <v>#N/A</v>
      </c>
      <c r="F67">
        <v>91.5</v>
      </c>
      <c r="G67" s="6">
        <v>75.599999999999994</v>
      </c>
      <c r="H67">
        <v>92</v>
      </c>
      <c r="I67">
        <v>82.2</v>
      </c>
      <c r="J67" t="e">
        <v>#N/A</v>
      </c>
      <c r="K67">
        <v>0.8</v>
      </c>
      <c r="L67">
        <v>76.2</v>
      </c>
      <c r="M67" s="13">
        <v>39274</v>
      </c>
      <c r="O67" s="8">
        <v>6.3407109683772903E-2</v>
      </c>
      <c r="P67" s="2">
        <v>-15.2</v>
      </c>
    </row>
    <row r="68" spans="1:16" x14ac:dyDescent="0.2">
      <c r="A68" s="1">
        <v>38534</v>
      </c>
      <c r="B68" s="9">
        <v>253961</v>
      </c>
      <c r="C68" s="2">
        <v>288524</v>
      </c>
      <c r="D68">
        <v>93.3</v>
      </c>
      <c r="E68">
        <v>70.5</v>
      </c>
      <c r="F68">
        <v>92.8</v>
      </c>
      <c r="G68" s="6">
        <v>76.400000000000006</v>
      </c>
      <c r="H68">
        <v>93.2</v>
      </c>
      <c r="I68">
        <v>82.2</v>
      </c>
      <c r="J68">
        <v>324776</v>
      </c>
      <c r="K68">
        <v>0.8</v>
      </c>
      <c r="L68">
        <v>78.099999999999994</v>
      </c>
      <c r="M68" s="13">
        <v>39271</v>
      </c>
      <c r="O68" s="8">
        <v>-1.16940295186438E-2</v>
      </c>
      <c r="P68" s="2">
        <v>-16</v>
      </c>
    </row>
    <row r="69" spans="1:16" x14ac:dyDescent="0.2">
      <c r="A69" s="1">
        <v>38565</v>
      </c>
      <c r="B69" s="9" t="e">
        <v>#N/A</v>
      </c>
      <c r="C69" s="2" t="e">
        <v>#N/A</v>
      </c>
      <c r="D69" t="e">
        <v>#N/A</v>
      </c>
      <c r="E69" t="e">
        <v>#N/A</v>
      </c>
      <c r="F69">
        <v>90.3</v>
      </c>
      <c r="G69" s="6">
        <v>76.2</v>
      </c>
      <c r="H69">
        <v>94.7</v>
      </c>
      <c r="I69">
        <v>82.7</v>
      </c>
      <c r="J69" t="e">
        <v>#N/A</v>
      </c>
      <c r="K69">
        <v>0.7</v>
      </c>
      <c r="L69">
        <v>79.2</v>
      </c>
      <c r="M69" s="13">
        <v>39339</v>
      </c>
      <c r="O69" s="8">
        <v>4.3440960416413398E-2</v>
      </c>
      <c r="P69" s="2">
        <v>-14.3</v>
      </c>
    </row>
    <row r="70" spans="1:16" x14ac:dyDescent="0.2">
      <c r="A70" s="1">
        <v>38596</v>
      </c>
      <c r="B70" s="9" t="e">
        <v>#N/A</v>
      </c>
      <c r="C70" s="2" t="e">
        <v>#N/A</v>
      </c>
      <c r="D70" t="e">
        <v>#N/A</v>
      </c>
      <c r="E70" t="e">
        <v>#N/A</v>
      </c>
      <c r="F70">
        <v>92.5</v>
      </c>
      <c r="G70" s="6">
        <v>78.3</v>
      </c>
      <c r="H70">
        <v>95.9</v>
      </c>
      <c r="I70">
        <v>82.3</v>
      </c>
      <c r="J70" t="e">
        <v>#N/A</v>
      </c>
      <c r="K70">
        <v>1</v>
      </c>
      <c r="L70">
        <v>81.8</v>
      </c>
      <c r="M70" s="13">
        <v>39397</v>
      </c>
      <c r="O70" s="8">
        <v>-2.30729380706549E-2</v>
      </c>
      <c r="P70" s="2">
        <v>-13.9</v>
      </c>
    </row>
    <row r="71" spans="1:16" x14ac:dyDescent="0.2">
      <c r="A71" s="1">
        <v>38626</v>
      </c>
      <c r="B71" s="9">
        <v>255075</v>
      </c>
      <c r="C71" s="2">
        <v>321762</v>
      </c>
      <c r="D71">
        <v>93.9</v>
      </c>
      <c r="E71">
        <v>70.599999999999994</v>
      </c>
      <c r="F71">
        <v>94.1</v>
      </c>
      <c r="G71" s="6">
        <v>78.5</v>
      </c>
      <c r="H71">
        <v>97.3</v>
      </c>
      <c r="I71">
        <v>82</v>
      </c>
      <c r="J71">
        <v>325763</v>
      </c>
      <c r="K71">
        <v>1.2</v>
      </c>
      <c r="L71">
        <v>82.1</v>
      </c>
      <c r="M71" s="13">
        <v>39413</v>
      </c>
      <c r="O71" s="8">
        <v>5.2238276234790597E-2</v>
      </c>
      <c r="P71" s="2">
        <v>-12.7</v>
      </c>
    </row>
    <row r="72" spans="1:16" x14ac:dyDescent="0.2">
      <c r="A72" s="1">
        <v>38657</v>
      </c>
      <c r="B72" s="9" t="e">
        <v>#N/A</v>
      </c>
      <c r="C72" s="2" t="e">
        <v>#N/A</v>
      </c>
      <c r="D72" t="e">
        <v>#N/A</v>
      </c>
      <c r="E72" t="e">
        <v>#N/A</v>
      </c>
      <c r="F72">
        <v>93.3</v>
      </c>
      <c r="G72" s="6">
        <v>78.900000000000006</v>
      </c>
      <c r="H72">
        <v>96.7</v>
      </c>
      <c r="I72">
        <v>82.6</v>
      </c>
      <c r="J72" t="e">
        <v>#N/A</v>
      </c>
      <c r="K72">
        <v>1.3</v>
      </c>
      <c r="L72">
        <v>79.3</v>
      </c>
      <c r="M72" s="13">
        <v>39455</v>
      </c>
      <c r="O72" s="8">
        <v>4.05388013129322E-2</v>
      </c>
      <c r="P72" s="2">
        <v>-13.1</v>
      </c>
    </row>
    <row r="73" spans="1:16" x14ac:dyDescent="0.2">
      <c r="A73" s="1">
        <v>38687</v>
      </c>
      <c r="B73" s="9" t="e">
        <v>#N/A</v>
      </c>
      <c r="C73" s="2" t="e">
        <v>#N/A</v>
      </c>
      <c r="D73" t="e">
        <v>#N/A</v>
      </c>
      <c r="E73" t="e">
        <v>#N/A</v>
      </c>
      <c r="F73">
        <v>93.3</v>
      </c>
      <c r="G73" s="7">
        <v>79</v>
      </c>
      <c r="H73">
        <v>98.2</v>
      </c>
      <c r="I73">
        <v>82.6</v>
      </c>
      <c r="J73" t="e">
        <v>#N/A</v>
      </c>
      <c r="K73">
        <v>0.9</v>
      </c>
      <c r="L73">
        <v>79.3</v>
      </c>
      <c r="M73" s="13">
        <v>39464</v>
      </c>
      <c r="O73" s="8">
        <v>4.7993384031359602E-2</v>
      </c>
      <c r="P73" s="2">
        <v>-11.7</v>
      </c>
    </row>
    <row r="74" spans="1:16" x14ac:dyDescent="0.2">
      <c r="A74" s="1">
        <v>38718</v>
      </c>
      <c r="B74" s="9">
        <v>262263</v>
      </c>
      <c r="C74" s="2">
        <v>276676</v>
      </c>
      <c r="D74">
        <v>94.3</v>
      </c>
      <c r="E74">
        <v>71</v>
      </c>
      <c r="F74">
        <v>94.2</v>
      </c>
      <c r="G74" s="6">
        <v>78.7</v>
      </c>
      <c r="H74">
        <v>101.6</v>
      </c>
      <c r="I74">
        <v>82.3</v>
      </c>
      <c r="J74">
        <v>329891</v>
      </c>
      <c r="K74">
        <v>0.7</v>
      </c>
      <c r="L74">
        <v>81.400000000000006</v>
      </c>
      <c r="M74" s="13">
        <v>39282</v>
      </c>
      <c r="O74" s="8">
        <v>2.12541772824348E-2</v>
      </c>
      <c r="P74" s="2">
        <v>-7.4</v>
      </c>
    </row>
    <row r="75" spans="1:16" x14ac:dyDescent="0.2">
      <c r="A75" s="1">
        <v>38749</v>
      </c>
      <c r="B75" s="9" t="e">
        <v>#N/A</v>
      </c>
      <c r="C75" s="2" t="e">
        <v>#N/A</v>
      </c>
      <c r="D75" t="e">
        <v>#N/A</v>
      </c>
      <c r="E75" t="e">
        <v>#N/A</v>
      </c>
      <c r="F75">
        <v>94.4</v>
      </c>
      <c r="G75" s="7">
        <v>80</v>
      </c>
      <c r="H75">
        <v>102.5</v>
      </c>
      <c r="I75">
        <v>82.5</v>
      </c>
      <c r="J75" t="e">
        <v>#N/A</v>
      </c>
      <c r="K75">
        <v>0.8</v>
      </c>
      <c r="L75">
        <v>81.5</v>
      </c>
      <c r="M75" s="13">
        <v>39298</v>
      </c>
      <c r="O75" s="8">
        <v>2.9585408250438799E-2</v>
      </c>
      <c r="P75" s="2">
        <v>-8.1999999999999993</v>
      </c>
    </row>
    <row r="76" spans="1:16" x14ac:dyDescent="0.2">
      <c r="A76" s="1">
        <v>38777</v>
      </c>
      <c r="B76" s="9" t="e">
        <v>#N/A</v>
      </c>
      <c r="C76" s="2" t="e">
        <v>#N/A</v>
      </c>
      <c r="D76" t="e">
        <v>#N/A</v>
      </c>
      <c r="E76" t="e">
        <v>#N/A</v>
      </c>
      <c r="F76">
        <v>93.6</v>
      </c>
      <c r="G76" s="6">
        <v>79.2</v>
      </c>
      <c r="H76">
        <v>102.7</v>
      </c>
      <c r="I76">
        <v>82.1</v>
      </c>
      <c r="J76" t="e">
        <v>#N/A</v>
      </c>
      <c r="K76">
        <v>0.7</v>
      </c>
      <c r="L76">
        <v>81.7</v>
      </c>
      <c r="M76" s="13">
        <v>39313</v>
      </c>
      <c r="O76" s="8">
        <v>6.6461275641351803E-3</v>
      </c>
      <c r="P76" s="2">
        <v>-8.6</v>
      </c>
    </row>
    <row r="77" spans="1:16" x14ac:dyDescent="0.2">
      <c r="A77" s="1">
        <v>38808</v>
      </c>
      <c r="B77" s="9">
        <v>261340</v>
      </c>
      <c r="C77" s="2">
        <v>288532</v>
      </c>
      <c r="D77">
        <v>95.2</v>
      </c>
      <c r="E77">
        <v>71.2</v>
      </c>
      <c r="F77">
        <v>95.5</v>
      </c>
      <c r="G77" s="6">
        <v>81.8</v>
      </c>
      <c r="H77">
        <v>103.6</v>
      </c>
      <c r="I77">
        <v>82.5</v>
      </c>
      <c r="J77">
        <v>332430</v>
      </c>
      <c r="K77">
        <v>0.9</v>
      </c>
      <c r="L77">
        <v>84.2</v>
      </c>
      <c r="M77" s="13">
        <v>39406</v>
      </c>
      <c r="O77" s="8">
        <v>-5.4193734252946199E-2</v>
      </c>
      <c r="P77" s="2">
        <v>-8.3000000000000007</v>
      </c>
    </row>
    <row r="78" spans="1:16" x14ac:dyDescent="0.2">
      <c r="A78" s="1">
        <v>38838</v>
      </c>
      <c r="B78" s="9" t="e">
        <v>#N/A</v>
      </c>
      <c r="C78" s="2" t="e">
        <v>#N/A</v>
      </c>
      <c r="D78" t="e">
        <v>#N/A</v>
      </c>
      <c r="E78" t="e">
        <v>#N/A</v>
      </c>
      <c r="F78">
        <v>96.4</v>
      </c>
      <c r="G78" s="6">
        <v>82.2</v>
      </c>
      <c r="H78">
        <v>105.5</v>
      </c>
      <c r="I78">
        <v>83.1</v>
      </c>
      <c r="J78" t="e">
        <v>#N/A</v>
      </c>
      <c r="K78">
        <v>0.7</v>
      </c>
      <c r="L78">
        <v>84.6</v>
      </c>
      <c r="M78" s="13">
        <v>39539</v>
      </c>
      <c r="O78" s="8">
        <v>-1.6789142560789099E-3</v>
      </c>
      <c r="P78" s="2">
        <v>-5.9</v>
      </c>
    </row>
    <row r="79" spans="1:16" x14ac:dyDescent="0.2">
      <c r="A79" s="1">
        <v>38869</v>
      </c>
      <c r="B79" s="9" t="e">
        <v>#N/A</v>
      </c>
      <c r="C79" s="2" t="e">
        <v>#N/A</v>
      </c>
      <c r="D79" t="e">
        <v>#N/A</v>
      </c>
      <c r="E79" t="e">
        <v>#N/A</v>
      </c>
      <c r="F79">
        <v>96.1</v>
      </c>
      <c r="G79" s="7">
        <v>82</v>
      </c>
      <c r="H79">
        <v>104.9</v>
      </c>
      <c r="I79">
        <v>83.2</v>
      </c>
      <c r="J79" t="e">
        <v>#N/A</v>
      </c>
      <c r="K79">
        <v>0.9</v>
      </c>
      <c r="L79">
        <v>85.2</v>
      </c>
      <c r="M79" s="13">
        <v>39646</v>
      </c>
      <c r="O79" s="8">
        <v>-2.3577839243316099E-4</v>
      </c>
      <c r="P79" s="2">
        <v>-7.4</v>
      </c>
    </row>
    <row r="80" spans="1:16" x14ac:dyDescent="0.2">
      <c r="A80" s="1">
        <v>38899</v>
      </c>
      <c r="B80" s="9">
        <v>265265</v>
      </c>
      <c r="C80" s="2">
        <v>295932</v>
      </c>
      <c r="D80">
        <v>95.6</v>
      </c>
      <c r="E80">
        <v>71.599999999999994</v>
      </c>
      <c r="F80">
        <v>97.7</v>
      </c>
      <c r="G80" s="7">
        <v>83</v>
      </c>
      <c r="H80">
        <v>104.7</v>
      </c>
      <c r="I80">
        <v>82.2</v>
      </c>
      <c r="J80">
        <v>332953</v>
      </c>
      <c r="K80">
        <v>1</v>
      </c>
      <c r="L80">
        <v>86</v>
      </c>
      <c r="M80" s="13">
        <v>39707</v>
      </c>
      <c r="O80" s="8">
        <v>3.0778150659468699E-2</v>
      </c>
      <c r="P80" s="2">
        <v>-8.5</v>
      </c>
    </row>
    <row r="81" spans="1:16" x14ac:dyDescent="0.2">
      <c r="A81" s="1">
        <v>38930</v>
      </c>
      <c r="B81" s="9" t="e">
        <v>#N/A</v>
      </c>
      <c r="C81" s="2" t="e">
        <v>#N/A</v>
      </c>
      <c r="D81" t="e">
        <v>#N/A</v>
      </c>
      <c r="E81" t="e">
        <v>#N/A</v>
      </c>
      <c r="F81">
        <v>98.2</v>
      </c>
      <c r="G81" s="6">
        <v>83.5</v>
      </c>
      <c r="H81">
        <v>104.5</v>
      </c>
      <c r="I81">
        <v>83</v>
      </c>
      <c r="J81" t="e">
        <v>#N/A</v>
      </c>
      <c r="K81">
        <v>1</v>
      </c>
      <c r="L81">
        <v>85.5</v>
      </c>
      <c r="M81" s="13">
        <v>39737</v>
      </c>
      <c r="O81" s="8">
        <v>2.4404696572020199E-2</v>
      </c>
      <c r="P81" s="2">
        <v>-9</v>
      </c>
    </row>
    <row r="82" spans="1:16" x14ac:dyDescent="0.2">
      <c r="A82" s="1">
        <v>38961</v>
      </c>
      <c r="B82" s="9" t="e">
        <v>#N/A</v>
      </c>
      <c r="C82" s="2" t="e">
        <v>#N/A</v>
      </c>
      <c r="D82" t="e">
        <v>#N/A</v>
      </c>
      <c r="E82" t="e">
        <v>#N/A</v>
      </c>
      <c r="F82">
        <v>97.9</v>
      </c>
      <c r="G82" s="6">
        <v>84.3</v>
      </c>
      <c r="H82">
        <v>105.4</v>
      </c>
      <c r="I82">
        <v>81.400000000000006</v>
      </c>
      <c r="J82" t="e">
        <v>#N/A</v>
      </c>
      <c r="K82">
        <v>1</v>
      </c>
      <c r="L82">
        <v>82.4</v>
      </c>
      <c r="M82" s="13">
        <v>39754</v>
      </c>
      <c r="O82" s="8">
        <v>4.3123189912208197E-2</v>
      </c>
      <c r="P82" s="2">
        <v>-9.1999999999999993</v>
      </c>
    </row>
    <row r="83" spans="1:16" x14ac:dyDescent="0.2">
      <c r="A83" s="1">
        <v>38991</v>
      </c>
      <c r="B83" s="9">
        <v>267822</v>
      </c>
      <c r="C83" s="2">
        <v>329209</v>
      </c>
      <c r="D83">
        <v>96.5</v>
      </c>
      <c r="E83">
        <v>71.599999999999994</v>
      </c>
      <c r="F83">
        <v>97.5</v>
      </c>
      <c r="G83" s="6">
        <v>84.5</v>
      </c>
      <c r="H83">
        <v>106.1</v>
      </c>
      <c r="I83">
        <v>81.900000000000006</v>
      </c>
      <c r="J83">
        <v>337286</v>
      </c>
      <c r="K83">
        <v>1.3</v>
      </c>
      <c r="L83">
        <v>82</v>
      </c>
      <c r="M83" s="13">
        <v>39772</v>
      </c>
      <c r="O83" s="8">
        <v>6.4032128136766201E-3</v>
      </c>
      <c r="P83" s="2">
        <v>-10.7</v>
      </c>
    </row>
    <row r="84" spans="1:16" x14ac:dyDescent="0.2">
      <c r="A84" s="1">
        <v>39022</v>
      </c>
      <c r="B84" s="9" t="e">
        <v>#N/A</v>
      </c>
      <c r="C84" s="2" t="e">
        <v>#N/A</v>
      </c>
      <c r="D84" t="e">
        <v>#N/A</v>
      </c>
      <c r="E84" t="e">
        <v>#N/A</v>
      </c>
      <c r="F84">
        <v>99.2</v>
      </c>
      <c r="G84" s="6">
        <v>86.3</v>
      </c>
      <c r="H84">
        <v>107.4</v>
      </c>
      <c r="I84">
        <v>82.1</v>
      </c>
      <c r="J84" t="e">
        <v>#N/A</v>
      </c>
      <c r="K84">
        <v>1.3</v>
      </c>
      <c r="L84">
        <v>81.5</v>
      </c>
      <c r="M84" s="13">
        <v>39874</v>
      </c>
      <c r="O84" s="8">
        <v>4.4595570244412699E-2</v>
      </c>
      <c r="P84" s="2">
        <v>-9.6</v>
      </c>
    </row>
    <row r="85" spans="1:16" x14ac:dyDescent="0.2">
      <c r="A85" s="1">
        <v>39052</v>
      </c>
      <c r="B85" s="9" t="e">
        <v>#N/A</v>
      </c>
      <c r="C85" s="2" t="e">
        <v>#N/A</v>
      </c>
      <c r="D85" t="e">
        <v>#N/A</v>
      </c>
      <c r="E85" t="e">
        <v>#N/A</v>
      </c>
      <c r="F85">
        <v>100.1</v>
      </c>
      <c r="G85" s="6">
        <v>85.7</v>
      </c>
      <c r="H85">
        <v>107.3</v>
      </c>
      <c r="I85">
        <v>85.9</v>
      </c>
      <c r="J85" t="e">
        <v>#N/A</v>
      </c>
      <c r="K85">
        <v>1.1000000000000001</v>
      </c>
      <c r="L85">
        <v>81.5</v>
      </c>
      <c r="M85" s="13">
        <v>39959</v>
      </c>
      <c r="O85" s="8">
        <v>2.8716976130818101E-2</v>
      </c>
      <c r="P85" s="2">
        <v>-8.1</v>
      </c>
    </row>
    <row r="86" spans="1:16" x14ac:dyDescent="0.2">
      <c r="A86" s="1">
        <v>39083</v>
      </c>
      <c r="B86" s="9">
        <v>277379</v>
      </c>
      <c r="C86" s="2">
        <v>284965</v>
      </c>
      <c r="D86">
        <v>96.7</v>
      </c>
      <c r="E86">
        <v>71.7</v>
      </c>
      <c r="F86">
        <v>99.9</v>
      </c>
      <c r="G86" s="6">
        <v>86.4</v>
      </c>
      <c r="H86">
        <v>107.5</v>
      </c>
      <c r="I86">
        <v>80.900000000000006</v>
      </c>
      <c r="J86">
        <v>334925</v>
      </c>
      <c r="K86">
        <v>1.8</v>
      </c>
      <c r="L86">
        <v>82.6</v>
      </c>
      <c r="M86" s="13">
        <v>40032</v>
      </c>
      <c r="O86" s="8">
        <v>-1.0910493683644201E-2</v>
      </c>
      <c r="P86" s="2">
        <v>-7.7</v>
      </c>
    </row>
    <row r="87" spans="1:16" x14ac:dyDescent="0.2">
      <c r="A87" s="1">
        <v>39114</v>
      </c>
      <c r="B87" s="9" t="e">
        <v>#N/A</v>
      </c>
      <c r="C87" s="2" t="e">
        <v>#N/A</v>
      </c>
      <c r="D87" t="e">
        <v>#N/A</v>
      </c>
      <c r="E87" t="e">
        <v>#N/A</v>
      </c>
      <c r="F87">
        <v>100.7</v>
      </c>
      <c r="G87" s="6">
        <v>86.8</v>
      </c>
      <c r="H87">
        <v>105.8</v>
      </c>
      <c r="I87">
        <v>82.3</v>
      </c>
      <c r="J87" t="e">
        <v>#N/A</v>
      </c>
      <c r="K87">
        <v>1.8</v>
      </c>
      <c r="L87">
        <v>83.3</v>
      </c>
      <c r="M87" s="13">
        <v>40077</v>
      </c>
      <c r="O87" s="8">
        <v>2.9577111641844001E-2</v>
      </c>
      <c r="P87" s="2">
        <v>-5.4</v>
      </c>
    </row>
    <row r="88" spans="1:16" x14ac:dyDescent="0.2">
      <c r="A88" s="1">
        <v>39142</v>
      </c>
      <c r="B88" s="9" t="e">
        <v>#N/A</v>
      </c>
      <c r="C88" s="2" t="e">
        <v>#N/A</v>
      </c>
      <c r="D88" t="e">
        <v>#N/A</v>
      </c>
      <c r="E88" t="e">
        <v>#N/A</v>
      </c>
      <c r="F88">
        <v>101.2</v>
      </c>
      <c r="G88" s="6">
        <v>87.8</v>
      </c>
      <c r="H88">
        <v>106.8</v>
      </c>
      <c r="I88">
        <v>82.3</v>
      </c>
      <c r="J88" t="e">
        <v>#N/A</v>
      </c>
      <c r="K88">
        <v>1.8</v>
      </c>
      <c r="L88">
        <v>84.6</v>
      </c>
      <c r="M88" s="13">
        <v>40115</v>
      </c>
      <c r="O88" s="8">
        <v>6.8691491180905104E-2</v>
      </c>
      <c r="P88" s="2">
        <v>-4.7</v>
      </c>
    </row>
    <row r="89" spans="1:16" x14ac:dyDescent="0.2">
      <c r="A89" s="1">
        <v>39173</v>
      </c>
      <c r="B89" s="9">
        <v>276283</v>
      </c>
      <c r="C89" s="2">
        <v>297427</v>
      </c>
      <c r="D89">
        <v>97.2</v>
      </c>
      <c r="E89">
        <v>72.400000000000006</v>
      </c>
      <c r="F89">
        <v>100.4</v>
      </c>
      <c r="G89" s="6">
        <v>86.9</v>
      </c>
      <c r="H89">
        <v>108.2</v>
      </c>
      <c r="I89">
        <v>84.5</v>
      </c>
      <c r="J89">
        <v>339228</v>
      </c>
      <c r="K89">
        <v>2.1</v>
      </c>
      <c r="L89">
        <v>85.7</v>
      </c>
      <c r="M89" s="13">
        <v>40189</v>
      </c>
      <c r="O89" s="8">
        <v>6.2035674360270597E-2</v>
      </c>
      <c r="P89" s="2">
        <v>-2.5</v>
      </c>
    </row>
    <row r="90" spans="1:16" x14ac:dyDescent="0.2">
      <c r="A90" s="1">
        <v>39203</v>
      </c>
      <c r="B90" s="9" t="e">
        <v>#N/A</v>
      </c>
      <c r="C90" s="2" t="e">
        <v>#N/A</v>
      </c>
      <c r="D90" t="e">
        <v>#N/A</v>
      </c>
      <c r="E90" t="e">
        <v>#N/A</v>
      </c>
      <c r="F90">
        <v>102.3</v>
      </c>
      <c r="G90" s="6">
        <v>88.2</v>
      </c>
      <c r="H90">
        <v>108.5</v>
      </c>
      <c r="I90">
        <v>80.7</v>
      </c>
      <c r="J90" t="e">
        <v>#N/A</v>
      </c>
      <c r="K90">
        <v>2.1</v>
      </c>
      <c r="L90">
        <v>86.3</v>
      </c>
      <c r="M90" s="13">
        <v>40227</v>
      </c>
      <c r="O90" s="8">
        <v>1.5642480139463899E-2</v>
      </c>
      <c r="P90" s="2">
        <v>0</v>
      </c>
    </row>
    <row r="91" spans="1:16" x14ac:dyDescent="0.2">
      <c r="A91" s="1">
        <v>39234</v>
      </c>
      <c r="B91" s="9" t="e">
        <v>#N/A</v>
      </c>
      <c r="C91" s="2" t="e">
        <v>#N/A</v>
      </c>
      <c r="D91" t="e">
        <v>#N/A</v>
      </c>
      <c r="E91" t="e">
        <v>#N/A</v>
      </c>
      <c r="F91">
        <v>102.5</v>
      </c>
      <c r="G91" s="6">
        <v>87.9</v>
      </c>
      <c r="H91">
        <v>108.7</v>
      </c>
      <c r="I91">
        <v>81.7</v>
      </c>
      <c r="J91" t="e">
        <v>#N/A</v>
      </c>
      <c r="K91">
        <v>1.9</v>
      </c>
      <c r="L91">
        <v>86.5</v>
      </c>
      <c r="M91" s="13">
        <v>40244</v>
      </c>
      <c r="O91" s="8">
        <v>-5.4296858645066899E-2</v>
      </c>
      <c r="P91" s="2">
        <v>-0.8</v>
      </c>
    </row>
    <row r="92" spans="1:16" x14ac:dyDescent="0.2">
      <c r="A92" s="1">
        <v>39264</v>
      </c>
      <c r="B92" s="9">
        <v>277114</v>
      </c>
      <c r="C92" s="2">
        <v>302901</v>
      </c>
      <c r="D92">
        <v>97.2</v>
      </c>
      <c r="E92">
        <v>72.900000000000006</v>
      </c>
      <c r="F92">
        <v>103.1</v>
      </c>
      <c r="G92" s="6">
        <v>88.4</v>
      </c>
      <c r="H92">
        <v>108.4</v>
      </c>
      <c r="I92">
        <v>81.7</v>
      </c>
      <c r="J92">
        <v>340019</v>
      </c>
      <c r="K92">
        <v>2.1</v>
      </c>
      <c r="L92">
        <v>87.3</v>
      </c>
      <c r="M92" s="13">
        <v>40308</v>
      </c>
      <c r="O92" s="8">
        <v>7.0987927379011504E-3</v>
      </c>
      <c r="P92" s="2">
        <v>-1</v>
      </c>
    </row>
    <row r="93" spans="1:16" x14ac:dyDescent="0.2">
      <c r="A93" s="1">
        <v>39295</v>
      </c>
      <c r="B93" s="9" t="e">
        <v>#N/A</v>
      </c>
      <c r="C93" s="2" t="e">
        <v>#N/A</v>
      </c>
      <c r="D93" t="e">
        <v>#N/A</v>
      </c>
      <c r="E93" t="e">
        <v>#N/A</v>
      </c>
      <c r="F93">
        <v>103.3</v>
      </c>
      <c r="G93" s="6">
        <v>88.3</v>
      </c>
      <c r="H93">
        <v>107.3</v>
      </c>
      <c r="I93">
        <v>81.5</v>
      </c>
      <c r="J93" t="e">
        <v>#N/A</v>
      </c>
      <c r="K93">
        <v>2.2000000000000002</v>
      </c>
      <c r="L93">
        <v>86.2</v>
      </c>
      <c r="M93" s="13">
        <v>40354</v>
      </c>
      <c r="O93" s="8">
        <v>2.8820634673508001E-2</v>
      </c>
      <c r="P93" s="2">
        <v>-4.2</v>
      </c>
    </row>
    <row r="94" spans="1:16" x14ac:dyDescent="0.2">
      <c r="A94" s="1">
        <v>39326</v>
      </c>
      <c r="B94" s="9" t="e">
        <v>#N/A</v>
      </c>
      <c r="C94" s="2" t="e">
        <v>#N/A</v>
      </c>
      <c r="D94" t="e">
        <v>#N/A</v>
      </c>
      <c r="E94" t="e">
        <v>#N/A</v>
      </c>
      <c r="F94">
        <v>104.3</v>
      </c>
      <c r="G94" s="6">
        <v>89.7</v>
      </c>
      <c r="H94">
        <v>105.4</v>
      </c>
      <c r="I94">
        <v>82</v>
      </c>
      <c r="J94" t="e">
        <v>#N/A</v>
      </c>
      <c r="K94">
        <v>2.2000000000000002</v>
      </c>
      <c r="L94">
        <v>87.3</v>
      </c>
      <c r="M94" s="13">
        <v>40369</v>
      </c>
      <c r="O94" s="8">
        <v>1.98625169456275E-2</v>
      </c>
      <c r="P94" s="2">
        <v>-5.8</v>
      </c>
    </row>
    <row r="95" spans="1:16" x14ac:dyDescent="0.2">
      <c r="A95" s="1">
        <v>39356</v>
      </c>
      <c r="B95" s="9">
        <v>280041</v>
      </c>
      <c r="C95" s="2">
        <v>338711</v>
      </c>
      <c r="D95">
        <v>97.8</v>
      </c>
      <c r="E95">
        <v>73.5</v>
      </c>
      <c r="F95">
        <v>104.5</v>
      </c>
      <c r="G95" s="6">
        <v>90.1</v>
      </c>
      <c r="H95">
        <v>105.7</v>
      </c>
      <c r="I95">
        <v>81.400000000000006</v>
      </c>
      <c r="J95">
        <v>342755</v>
      </c>
      <c r="K95">
        <v>2.2999999999999998</v>
      </c>
      <c r="L95">
        <v>87.1</v>
      </c>
      <c r="M95" s="13">
        <v>40452</v>
      </c>
      <c r="O95" s="8">
        <v>-1.8717050656217499E-2</v>
      </c>
      <c r="P95" s="2">
        <v>-5.7</v>
      </c>
    </row>
    <row r="96" spans="1:16" x14ac:dyDescent="0.2">
      <c r="A96" s="1">
        <v>39387</v>
      </c>
      <c r="B96" s="9" t="e">
        <v>#N/A</v>
      </c>
      <c r="C96" s="2" t="e">
        <v>#N/A</v>
      </c>
      <c r="D96" t="e">
        <v>#N/A</v>
      </c>
      <c r="E96" t="e">
        <v>#N/A</v>
      </c>
      <c r="F96">
        <v>104.1</v>
      </c>
      <c r="G96" s="6">
        <v>90.3</v>
      </c>
      <c r="H96">
        <v>103.6</v>
      </c>
      <c r="I96">
        <v>80.8</v>
      </c>
      <c r="J96" t="e">
        <v>#N/A</v>
      </c>
      <c r="K96">
        <v>2.5</v>
      </c>
      <c r="L96">
        <v>90.5</v>
      </c>
      <c r="M96" s="13">
        <v>40497</v>
      </c>
      <c r="O96" s="8">
        <v>2.4697174735417E-2</v>
      </c>
      <c r="P96" s="2">
        <v>-8.6</v>
      </c>
    </row>
    <row r="97" spans="1:16" x14ac:dyDescent="0.2">
      <c r="A97" s="1">
        <v>39417</v>
      </c>
      <c r="B97" s="9" t="e">
        <v>#N/A</v>
      </c>
      <c r="C97" s="2" t="e">
        <v>#N/A</v>
      </c>
      <c r="D97" t="e">
        <v>#N/A</v>
      </c>
      <c r="E97" t="e">
        <v>#N/A</v>
      </c>
      <c r="F97">
        <v>105</v>
      </c>
      <c r="G97" s="6">
        <v>90.9</v>
      </c>
      <c r="H97">
        <v>103.2</v>
      </c>
      <c r="I97">
        <v>81</v>
      </c>
      <c r="J97" t="e">
        <v>#N/A</v>
      </c>
      <c r="K97">
        <v>2.5</v>
      </c>
      <c r="L97">
        <v>88.5</v>
      </c>
      <c r="M97" s="13">
        <v>40519</v>
      </c>
      <c r="O97" s="8">
        <v>-0.16331721706246699</v>
      </c>
      <c r="P97" s="2">
        <v>-8.1</v>
      </c>
    </row>
    <row r="98" spans="1:16" x14ac:dyDescent="0.2">
      <c r="A98" s="1">
        <v>39448</v>
      </c>
      <c r="B98" s="9">
        <v>285682</v>
      </c>
      <c r="C98" s="2">
        <v>296074</v>
      </c>
      <c r="D98">
        <v>98.3</v>
      </c>
      <c r="E98">
        <v>74.599999999999994</v>
      </c>
      <c r="F98">
        <v>106</v>
      </c>
      <c r="G98" s="6">
        <v>93.4</v>
      </c>
      <c r="H98">
        <v>102.6</v>
      </c>
      <c r="I98">
        <v>81.900000000000006</v>
      </c>
      <c r="J98">
        <v>345259</v>
      </c>
      <c r="K98">
        <v>2.1</v>
      </c>
      <c r="L98">
        <v>90.4</v>
      </c>
      <c r="M98" s="13">
        <v>40715</v>
      </c>
      <c r="O98" s="8">
        <v>-1.52386819990173E-2</v>
      </c>
      <c r="P98" s="2">
        <v>-8</v>
      </c>
    </row>
    <row r="99" spans="1:16" x14ac:dyDescent="0.2">
      <c r="A99" s="1">
        <v>39479</v>
      </c>
      <c r="B99" s="9" t="e">
        <v>#N/A</v>
      </c>
      <c r="C99" s="2" t="e">
        <v>#N/A</v>
      </c>
      <c r="D99" t="e">
        <v>#N/A</v>
      </c>
      <c r="E99" t="e">
        <v>#N/A</v>
      </c>
      <c r="F99">
        <v>105.6</v>
      </c>
      <c r="G99" s="7">
        <v>93</v>
      </c>
      <c r="H99">
        <v>102.6</v>
      </c>
      <c r="I99">
        <v>82</v>
      </c>
      <c r="J99" t="e">
        <v>#N/A</v>
      </c>
      <c r="K99">
        <v>2.1</v>
      </c>
      <c r="L99">
        <v>90.8</v>
      </c>
      <c r="M99" s="13">
        <v>40762</v>
      </c>
      <c r="O99" s="8">
        <v>-3.2097622823616903E-2</v>
      </c>
      <c r="P99" s="2">
        <v>-9.1999999999999993</v>
      </c>
    </row>
    <row r="100" spans="1:16" x14ac:dyDescent="0.2">
      <c r="A100" s="1">
        <v>39508</v>
      </c>
      <c r="B100" s="9" t="e">
        <v>#N/A</v>
      </c>
      <c r="C100" s="2" t="e">
        <v>#N/A</v>
      </c>
      <c r="D100" t="e">
        <v>#N/A</v>
      </c>
      <c r="E100" t="e">
        <v>#N/A</v>
      </c>
      <c r="F100">
        <v>105.4</v>
      </c>
      <c r="G100" s="6">
        <v>92.2</v>
      </c>
      <c r="H100">
        <v>102.3</v>
      </c>
      <c r="I100">
        <v>80.900000000000006</v>
      </c>
      <c r="J100" t="e">
        <v>#N/A</v>
      </c>
      <c r="K100">
        <v>2.5</v>
      </c>
      <c r="L100">
        <v>92.9</v>
      </c>
      <c r="M100" s="13">
        <v>40783</v>
      </c>
      <c r="O100" s="8">
        <v>6.14040464165004E-2</v>
      </c>
      <c r="P100" s="2">
        <v>-9.3000000000000007</v>
      </c>
    </row>
    <row r="101" spans="1:16" x14ac:dyDescent="0.2">
      <c r="A101" s="1">
        <v>39539</v>
      </c>
      <c r="B101" s="9">
        <v>285924</v>
      </c>
      <c r="C101" s="2">
        <v>309758</v>
      </c>
      <c r="D101">
        <v>98</v>
      </c>
      <c r="E101">
        <v>74</v>
      </c>
      <c r="F101">
        <v>106</v>
      </c>
      <c r="G101" s="6">
        <v>92.6</v>
      </c>
      <c r="H101">
        <v>100.8</v>
      </c>
      <c r="I101">
        <v>81.2</v>
      </c>
      <c r="J101">
        <v>345668</v>
      </c>
      <c r="K101">
        <v>1.8</v>
      </c>
      <c r="L101">
        <v>93.7</v>
      </c>
      <c r="M101" s="13">
        <v>40795</v>
      </c>
      <c r="O101" s="8">
        <v>2.10707389491969E-2</v>
      </c>
      <c r="P101" s="2">
        <v>-8</v>
      </c>
    </row>
    <row r="102" spans="1:16" x14ac:dyDescent="0.2">
      <c r="A102" s="1">
        <v>39569</v>
      </c>
      <c r="B102" s="9" t="e">
        <v>#N/A</v>
      </c>
      <c r="C102" s="2" t="e">
        <v>#N/A</v>
      </c>
      <c r="D102" t="e">
        <v>#N/A</v>
      </c>
      <c r="E102" t="e">
        <v>#N/A</v>
      </c>
      <c r="F102">
        <v>103.6</v>
      </c>
      <c r="G102" s="6">
        <v>91.1</v>
      </c>
      <c r="H102">
        <v>100.3</v>
      </c>
      <c r="I102">
        <v>81</v>
      </c>
      <c r="J102" t="e">
        <v>#N/A</v>
      </c>
      <c r="K102">
        <v>1.8</v>
      </c>
      <c r="L102">
        <v>96.9</v>
      </c>
      <c r="M102" s="13">
        <v>40794</v>
      </c>
      <c r="O102" s="8">
        <v>-0.100486200815029</v>
      </c>
      <c r="P102" s="2">
        <v>-10.3</v>
      </c>
    </row>
    <row r="103" spans="1:16" x14ac:dyDescent="0.2">
      <c r="A103" s="1">
        <v>39600</v>
      </c>
      <c r="B103" s="9" t="e">
        <v>#N/A</v>
      </c>
      <c r="C103" s="2" t="e">
        <v>#N/A</v>
      </c>
      <c r="D103" t="e">
        <v>#N/A</v>
      </c>
      <c r="E103" t="e">
        <v>#N/A</v>
      </c>
      <c r="F103">
        <v>104.7</v>
      </c>
      <c r="G103" s="6">
        <v>91.2</v>
      </c>
      <c r="H103">
        <v>97.8</v>
      </c>
      <c r="I103">
        <v>80.400000000000006</v>
      </c>
      <c r="J103" t="e">
        <v>#N/A</v>
      </c>
      <c r="K103">
        <v>1.9</v>
      </c>
      <c r="L103">
        <v>98.7</v>
      </c>
      <c r="M103" s="13">
        <v>40807</v>
      </c>
      <c r="O103" s="8">
        <v>9.4962420404005599E-3</v>
      </c>
      <c r="P103" s="2">
        <v>-12.3</v>
      </c>
    </row>
    <row r="104" spans="1:16" x14ac:dyDescent="0.2">
      <c r="A104" s="1">
        <v>39630</v>
      </c>
      <c r="B104" s="9">
        <v>285543</v>
      </c>
      <c r="C104" s="2">
        <v>314570</v>
      </c>
      <c r="D104">
        <v>97.7</v>
      </c>
      <c r="E104">
        <v>74.7</v>
      </c>
      <c r="F104">
        <v>103.1</v>
      </c>
      <c r="G104" s="6">
        <v>90.2</v>
      </c>
      <c r="H104">
        <v>93.8</v>
      </c>
      <c r="I104">
        <v>80.400000000000006</v>
      </c>
      <c r="J104">
        <v>348031</v>
      </c>
      <c r="K104">
        <v>2</v>
      </c>
      <c r="L104">
        <v>100.1</v>
      </c>
      <c r="M104" s="13">
        <v>40872</v>
      </c>
      <c r="O104" s="8">
        <v>-8.8763372832740793E-3</v>
      </c>
      <c r="P104" s="2">
        <v>-15.8</v>
      </c>
    </row>
    <row r="105" spans="1:16" x14ac:dyDescent="0.2">
      <c r="A105" s="1">
        <v>39661</v>
      </c>
      <c r="B105" s="9" t="e">
        <v>#N/A</v>
      </c>
      <c r="C105" s="2" t="e">
        <v>#N/A</v>
      </c>
      <c r="D105" t="e">
        <v>#N/A</v>
      </c>
      <c r="E105" t="e">
        <v>#N/A</v>
      </c>
      <c r="F105">
        <v>104.8</v>
      </c>
      <c r="G105" s="6">
        <v>92.4</v>
      </c>
      <c r="H105">
        <v>90.8</v>
      </c>
      <c r="I105">
        <v>81.400000000000006</v>
      </c>
      <c r="J105" t="e">
        <v>#N/A</v>
      </c>
      <c r="K105">
        <v>2</v>
      </c>
      <c r="L105">
        <v>97.1</v>
      </c>
      <c r="M105" s="13">
        <v>40872</v>
      </c>
      <c r="O105" s="8">
        <v>-9.6584333056723495E-2</v>
      </c>
      <c r="P105" s="2">
        <v>-16.7</v>
      </c>
    </row>
    <row r="106" spans="1:16" x14ac:dyDescent="0.2">
      <c r="A106" s="1">
        <v>39692</v>
      </c>
      <c r="B106" s="9" t="e">
        <v>#N/A</v>
      </c>
      <c r="C106" s="2" t="e">
        <v>#N/A</v>
      </c>
      <c r="D106" t="e">
        <v>#N/A</v>
      </c>
      <c r="E106" t="e">
        <v>#N/A</v>
      </c>
      <c r="F106">
        <v>102.8</v>
      </c>
      <c r="G106" s="6">
        <v>90.2</v>
      </c>
      <c r="H106">
        <v>90.2</v>
      </c>
      <c r="I106">
        <v>82.8</v>
      </c>
      <c r="J106" t="e">
        <v>#N/A</v>
      </c>
      <c r="K106">
        <v>1.9</v>
      </c>
      <c r="L106">
        <v>97.7</v>
      </c>
      <c r="M106" s="13">
        <v>40924</v>
      </c>
      <c r="O106" s="8">
        <v>-0.15616288908964299</v>
      </c>
      <c r="P106" s="2">
        <v>-15</v>
      </c>
    </row>
    <row r="107" spans="1:16" x14ac:dyDescent="0.2">
      <c r="A107" s="1">
        <v>39722</v>
      </c>
      <c r="B107" s="9">
        <v>286322</v>
      </c>
      <c r="C107" s="2">
        <v>351310</v>
      </c>
      <c r="D107">
        <v>97.2</v>
      </c>
      <c r="E107">
        <v>76.3</v>
      </c>
      <c r="F107">
        <v>100.6</v>
      </c>
      <c r="G107" s="6">
        <v>89.3</v>
      </c>
      <c r="H107">
        <v>85.1</v>
      </c>
      <c r="I107">
        <v>81.400000000000006</v>
      </c>
      <c r="J107">
        <v>344306</v>
      </c>
      <c r="K107">
        <v>1.6</v>
      </c>
      <c r="L107">
        <v>95.4</v>
      </c>
      <c r="M107" s="13">
        <v>40977</v>
      </c>
      <c r="O107" s="8">
        <v>-6.5989918842177503E-2</v>
      </c>
      <c r="P107" s="2">
        <v>-18</v>
      </c>
    </row>
    <row r="108" spans="1:16" x14ac:dyDescent="0.2">
      <c r="A108" s="1">
        <v>39753</v>
      </c>
      <c r="B108" s="9" t="e">
        <v>#N/A</v>
      </c>
      <c r="C108" s="2" t="e">
        <v>#N/A</v>
      </c>
      <c r="D108" t="e">
        <v>#N/A</v>
      </c>
      <c r="E108" t="e">
        <v>#N/A</v>
      </c>
      <c r="F108">
        <v>96.1</v>
      </c>
      <c r="G108" s="6">
        <v>84.8</v>
      </c>
      <c r="H108">
        <v>79.400000000000006</v>
      </c>
      <c r="I108">
        <v>81.900000000000006</v>
      </c>
      <c r="J108" t="e">
        <v>#N/A</v>
      </c>
      <c r="K108">
        <v>1.3</v>
      </c>
      <c r="L108">
        <v>91.6</v>
      </c>
      <c r="M108" s="13">
        <v>40968</v>
      </c>
      <c r="O108" s="8">
        <v>2.9699566303380099E-2</v>
      </c>
      <c r="P108" s="2">
        <v>-17.600000000000001</v>
      </c>
    </row>
    <row r="109" spans="1:16" x14ac:dyDescent="0.2">
      <c r="A109" s="1">
        <v>39783</v>
      </c>
      <c r="B109" s="9" t="e">
        <v>#N/A</v>
      </c>
      <c r="C109" s="2" t="e">
        <v>#N/A</v>
      </c>
      <c r="D109" t="e">
        <v>#N/A</v>
      </c>
      <c r="E109" t="e">
        <v>#N/A</v>
      </c>
      <c r="F109">
        <v>92.7</v>
      </c>
      <c r="G109" s="6">
        <v>80.3</v>
      </c>
      <c r="H109">
        <v>74</v>
      </c>
      <c r="I109">
        <v>81.900000000000006</v>
      </c>
      <c r="J109" t="e">
        <v>#N/A</v>
      </c>
      <c r="K109">
        <v>1.4</v>
      </c>
      <c r="L109">
        <v>87.8</v>
      </c>
      <c r="M109" s="13">
        <v>40969</v>
      </c>
      <c r="O109" s="8">
        <v>-0.103244589896516</v>
      </c>
      <c r="P109" s="2">
        <v>-21</v>
      </c>
    </row>
    <row r="110" spans="1:16" x14ac:dyDescent="0.2">
      <c r="A110" s="1">
        <v>39814</v>
      </c>
      <c r="B110" s="9">
        <v>288160</v>
      </c>
      <c r="C110" s="2">
        <v>301410</v>
      </c>
      <c r="D110">
        <v>96.2</v>
      </c>
      <c r="E110">
        <v>76.900000000000006</v>
      </c>
      <c r="F110">
        <v>86.2</v>
      </c>
      <c r="G110" s="6">
        <v>72.099999999999994</v>
      </c>
      <c r="H110">
        <v>74.900000000000006</v>
      </c>
      <c r="I110">
        <v>79.7</v>
      </c>
      <c r="J110">
        <v>344732</v>
      </c>
      <c r="K110">
        <v>1.1000000000000001</v>
      </c>
      <c r="L110">
        <v>89.7</v>
      </c>
      <c r="M110" s="13">
        <v>41013</v>
      </c>
      <c r="O110" s="8">
        <v>-0.121048265599494</v>
      </c>
      <c r="P110" s="2">
        <v>-20.6</v>
      </c>
    </row>
    <row r="111" spans="1:16" x14ac:dyDescent="0.2">
      <c r="A111" s="1">
        <v>39845</v>
      </c>
      <c r="B111" s="9" t="e">
        <v>#N/A</v>
      </c>
      <c r="C111" s="2" t="e">
        <v>#N/A</v>
      </c>
      <c r="D111" t="e">
        <v>#N/A</v>
      </c>
      <c r="E111" t="e">
        <v>#N/A</v>
      </c>
      <c r="F111">
        <v>83.5</v>
      </c>
      <c r="G111" s="6">
        <v>69.3</v>
      </c>
      <c r="H111">
        <v>73.3</v>
      </c>
      <c r="I111">
        <v>78.900000000000006</v>
      </c>
      <c r="J111" t="e">
        <v>#N/A</v>
      </c>
      <c r="K111">
        <v>1.4</v>
      </c>
      <c r="L111">
        <v>89.7</v>
      </c>
      <c r="M111" s="13">
        <v>41035</v>
      </c>
      <c r="O111" s="8">
        <v>6.0817129044151499E-2</v>
      </c>
      <c r="P111" s="2">
        <v>-20.8</v>
      </c>
    </row>
    <row r="112" spans="1:16" x14ac:dyDescent="0.2">
      <c r="A112" s="1">
        <v>39873</v>
      </c>
      <c r="B112" s="9" t="e">
        <v>#N/A</v>
      </c>
      <c r="C112" s="2" t="e">
        <v>#N/A</v>
      </c>
      <c r="D112" t="e">
        <v>#N/A</v>
      </c>
      <c r="E112" t="e">
        <v>#N/A</v>
      </c>
      <c r="F112">
        <v>83.5</v>
      </c>
      <c r="G112" s="6">
        <v>70.2</v>
      </c>
      <c r="H112">
        <v>72.400000000000006</v>
      </c>
      <c r="I112">
        <v>79.099999999999994</v>
      </c>
      <c r="J112" t="e">
        <v>#N/A</v>
      </c>
      <c r="K112">
        <v>1</v>
      </c>
      <c r="L112">
        <v>88.7</v>
      </c>
      <c r="M112" s="13">
        <v>40989</v>
      </c>
      <c r="O112" s="8">
        <v>0.154968057772958</v>
      </c>
      <c r="P112" s="2">
        <v>-22.4</v>
      </c>
    </row>
    <row r="113" spans="1:16" x14ac:dyDescent="0.2">
      <c r="A113" s="1">
        <v>39904</v>
      </c>
      <c r="B113" s="9">
        <v>280900</v>
      </c>
      <c r="C113" s="2">
        <v>311244</v>
      </c>
      <c r="D113">
        <v>95</v>
      </c>
      <c r="E113">
        <v>76.5</v>
      </c>
      <c r="F113">
        <v>81</v>
      </c>
      <c r="G113" s="6">
        <v>68.5</v>
      </c>
      <c r="H113">
        <v>74.599999999999994</v>
      </c>
      <c r="I113">
        <v>80.900000000000006</v>
      </c>
      <c r="J113">
        <v>347050</v>
      </c>
      <c r="K113">
        <v>1.5</v>
      </c>
      <c r="L113">
        <v>88.8</v>
      </c>
      <c r="M113" s="13">
        <v>40959</v>
      </c>
      <c r="O113" s="8">
        <v>3.53002385304464E-2</v>
      </c>
      <c r="P113" s="2">
        <v>-20.6</v>
      </c>
    </row>
    <row r="114" spans="1:16" x14ac:dyDescent="0.2">
      <c r="A114" s="1">
        <v>39934</v>
      </c>
      <c r="B114" s="9" t="e">
        <v>#N/A</v>
      </c>
      <c r="C114" s="2" t="e">
        <v>#N/A</v>
      </c>
      <c r="D114" t="e">
        <v>#N/A</v>
      </c>
      <c r="E114" t="e">
        <v>#N/A</v>
      </c>
      <c r="F114">
        <v>84.5</v>
      </c>
      <c r="G114" s="6">
        <v>70.5</v>
      </c>
      <c r="H114">
        <v>76.8</v>
      </c>
      <c r="I114">
        <v>78.8</v>
      </c>
      <c r="J114" t="e">
        <v>#N/A</v>
      </c>
      <c r="K114">
        <v>1.1000000000000001</v>
      </c>
      <c r="L114">
        <v>89.3</v>
      </c>
      <c r="M114" s="13">
        <v>40894</v>
      </c>
      <c r="O114" s="8">
        <v>-2.7116945463070901E-2</v>
      </c>
      <c r="P114" s="2">
        <v>-19.7</v>
      </c>
    </row>
    <row r="115" spans="1:16" x14ac:dyDescent="0.2">
      <c r="A115" s="1">
        <v>39965</v>
      </c>
      <c r="B115" s="9" t="e">
        <v>#N/A</v>
      </c>
      <c r="C115" s="2" t="e">
        <v>#N/A</v>
      </c>
      <c r="D115" t="e">
        <v>#N/A</v>
      </c>
      <c r="E115" t="e">
        <v>#N/A</v>
      </c>
      <c r="F115">
        <v>85.9</v>
      </c>
      <c r="G115" s="6">
        <v>71.900000000000006</v>
      </c>
      <c r="H115">
        <v>79.8</v>
      </c>
      <c r="I115">
        <v>77.599999999999994</v>
      </c>
      <c r="J115" t="e">
        <v>#N/A</v>
      </c>
      <c r="K115">
        <v>1.2</v>
      </c>
      <c r="L115">
        <v>91</v>
      </c>
      <c r="M115" s="13">
        <v>40845</v>
      </c>
      <c r="O115" s="8">
        <v>0.103338355889289</v>
      </c>
      <c r="P115" s="2">
        <v>-18.3</v>
      </c>
    </row>
    <row r="116" spans="1:16" x14ac:dyDescent="0.2">
      <c r="A116" s="1">
        <v>39995</v>
      </c>
      <c r="B116" s="9">
        <v>277749</v>
      </c>
      <c r="C116" s="2">
        <v>315671</v>
      </c>
      <c r="D116">
        <v>94.9</v>
      </c>
      <c r="E116">
        <v>77</v>
      </c>
      <c r="F116">
        <v>84.9</v>
      </c>
      <c r="G116" s="6">
        <v>71.2</v>
      </c>
      <c r="H116">
        <v>82.2</v>
      </c>
      <c r="I116">
        <v>79</v>
      </c>
      <c r="J116">
        <v>346665</v>
      </c>
      <c r="K116">
        <v>1</v>
      </c>
      <c r="L116">
        <v>88.7</v>
      </c>
      <c r="M116" s="13">
        <v>40831</v>
      </c>
      <c r="O116" s="8">
        <v>2.4540046666183798E-2</v>
      </c>
      <c r="P116" s="2">
        <v>-15.3</v>
      </c>
    </row>
    <row r="117" spans="1:16" x14ac:dyDescent="0.2">
      <c r="A117" s="1">
        <v>40026</v>
      </c>
      <c r="B117" s="9" t="e">
        <v>#N/A</v>
      </c>
      <c r="C117" s="2" t="e">
        <v>#N/A</v>
      </c>
      <c r="D117" t="e">
        <v>#N/A</v>
      </c>
      <c r="E117" t="e">
        <v>#N/A</v>
      </c>
      <c r="F117">
        <v>86.1</v>
      </c>
      <c r="G117" s="6">
        <v>72.099999999999994</v>
      </c>
      <c r="H117">
        <v>87.9</v>
      </c>
      <c r="I117">
        <v>78.3</v>
      </c>
      <c r="J117" t="e">
        <v>#N/A</v>
      </c>
      <c r="K117">
        <v>1</v>
      </c>
      <c r="L117">
        <v>90.4</v>
      </c>
      <c r="M117" s="13">
        <v>40840</v>
      </c>
      <c r="O117" s="8">
        <v>3.7806053492298403E-2</v>
      </c>
      <c r="P117" s="2">
        <v>-12.2</v>
      </c>
    </row>
    <row r="118" spans="1:16" x14ac:dyDescent="0.2">
      <c r="A118" s="1">
        <v>40057</v>
      </c>
      <c r="B118" s="9" t="e">
        <v>#N/A</v>
      </c>
      <c r="C118" s="2" t="e">
        <v>#N/A</v>
      </c>
      <c r="D118" t="e">
        <v>#N/A</v>
      </c>
      <c r="E118" t="e">
        <v>#N/A</v>
      </c>
      <c r="F118">
        <v>89.5</v>
      </c>
      <c r="G118" s="6">
        <v>74.8</v>
      </c>
      <c r="H118">
        <v>90</v>
      </c>
      <c r="I118">
        <v>79.2</v>
      </c>
      <c r="J118" t="e">
        <v>#N/A</v>
      </c>
      <c r="K118">
        <v>0.8</v>
      </c>
      <c r="L118">
        <v>89</v>
      </c>
      <c r="M118" s="13">
        <v>40865</v>
      </c>
      <c r="O118" s="8">
        <v>-4.6933298011303699E-2</v>
      </c>
      <c r="P118" s="2">
        <v>-10</v>
      </c>
    </row>
    <row r="119" spans="1:16" x14ac:dyDescent="0.2">
      <c r="A119" s="1">
        <v>40087</v>
      </c>
      <c r="B119" s="9">
        <v>278803</v>
      </c>
      <c r="C119" s="2">
        <v>350455</v>
      </c>
      <c r="D119">
        <v>94.6</v>
      </c>
      <c r="E119">
        <v>76.599999999999994</v>
      </c>
      <c r="F119">
        <v>87.8</v>
      </c>
      <c r="G119" s="6">
        <v>73.7</v>
      </c>
      <c r="H119">
        <v>92.4</v>
      </c>
      <c r="I119">
        <v>79.099999999999994</v>
      </c>
      <c r="J119">
        <v>348324</v>
      </c>
      <c r="K119">
        <v>0.9</v>
      </c>
      <c r="L119">
        <v>88.8</v>
      </c>
      <c r="M119" s="13">
        <v>40849</v>
      </c>
      <c r="O119" s="8">
        <v>3.8224371112022502E-2</v>
      </c>
      <c r="P119" s="2">
        <v>-8.6</v>
      </c>
    </row>
    <row r="120" spans="1:16" x14ac:dyDescent="0.2">
      <c r="A120" s="1">
        <v>40118</v>
      </c>
      <c r="B120" s="9" t="e">
        <v>#N/A</v>
      </c>
      <c r="C120" s="2" t="e">
        <v>#N/A</v>
      </c>
      <c r="D120" t="e">
        <v>#N/A</v>
      </c>
      <c r="E120" t="e">
        <v>#N/A</v>
      </c>
      <c r="F120">
        <v>88.3</v>
      </c>
      <c r="G120" s="6">
        <v>74.3</v>
      </c>
      <c r="H120">
        <v>92.6</v>
      </c>
      <c r="I120">
        <v>79.7</v>
      </c>
      <c r="J120" t="e">
        <v>#N/A</v>
      </c>
      <c r="K120">
        <v>0.8</v>
      </c>
      <c r="L120">
        <v>89.3</v>
      </c>
      <c r="M120" s="13">
        <v>40855</v>
      </c>
      <c r="O120" s="8">
        <v>5.7249352097251502E-2</v>
      </c>
      <c r="P120" s="2">
        <v>-10.9</v>
      </c>
    </row>
    <row r="121" spans="1:16" x14ac:dyDescent="0.2">
      <c r="A121" s="1">
        <v>40148</v>
      </c>
      <c r="B121" s="9" t="e">
        <v>#N/A</v>
      </c>
      <c r="C121" s="2" t="e">
        <v>#N/A</v>
      </c>
      <c r="D121" t="e">
        <v>#N/A</v>
      </c>
      <c r="E121" t="e">
        <v>#N/A</v>
      </c>
      <c r="F121">
        <v>88.7</v>
      </c>
      <c r="G121" s="6">
        <v>74.7</v>
      </c>
      <c r="H121">
        <v>93.9</v>
      </c>
      <c r="I121">
        <v>80.5</v>
      </c>
      <c r="J121" t="e">
        <v>#N/A</v>
      </c>
      <c r="K121">
        <v>0.8</v>
      </c>
      <c r="L121">
        <v>88.6</v>
      </c>
      <c r="M121" s="13">
        <v>40898</v>
      </c>
      <c r="O121" s="8">
        <v>-6.0304192571880598E-2</v>
      </c>
      <c r="P121" s="2">
        <v>-9.1999999999999993</v>
      </c>
    </row>
    <row r="122" spans="1:16" x14ac:dyDescent="0.2">
      <c r="A122" s="1">
        <v>40179</v>
      </c>
      <c r="B122" s="9">
        <v>277778</v>
      </c>
      <c r="C122" s="2">
        <v>307003</v>
      </c>
      <c r="D122">
        <v>95.7</v>
      </c>
      <c r="E122">
        <v>77.400000000000006</v>
      </c>
      <c r="F122">
        <v>90</v>
      </c>
      <c r="G122" s="6">
        <v>74.8</v>
      </c>
      <c r="H122">
        <v>94.2</v>
      </c>
      <c r="I122">
        <v>78.5</v>
      </c>
      <c r="J122">
        <v>347460</v>
      </c>
      <c r="K122">
        <v>0.7</v>
      </c>
      <c r="L122">
        <v>90.6</v>
      </c>
      <c r="M122" s="13">
        <v>40881</v>
      </c>
      <c r="O122" s="8">
        <v>-1.8434640166748999E-3</v>
      </c>
      <c r="P122" s="2">
        <v>-11.5</v>
      </c>
    </row>
    <row r="123" spans="1:16" x14ac:dyDescent="0.2">
      <c r="A123" s="1">
        <v>40210</v>
      </c>
      <c r="B123" s="9" t="e">
        <v>#N/A</v>
      </c>
      <c r="C123" s="2" t="e">
        <v>#N/A</v>
      </c>
      <c r="D123" t="e">
        <v>#N/A</v>
      </c>
      <c r="E123" t="e">
        <v>#N/A</v>
      </c>
      <c r="F123">
        <v>89</v>
      </c>
      <c r="G123" s="7">
        <v>75</v>
      </c>
      <c r="H123">
        <v>95.1</v>
      </c>
      <c r="I123">
        <v>79.7</v>
      </c>
      <c r="J123" t="e">
        <v>#N/A</v>
      </c>
      <c r="K123">
        <v>0.4</v>
      </c>
      <c r="L123">
        <v>89.8</v>
      </c>
      <c r="M123" s="13">
        <v>40888</v>
      </c>
      <c r="O123" s="8">
        <v>9.4537566370185303E-2</v>
      </c>
      <c r="P123" s="2">
        <v>-11.5</v>
      </c>
    </row>
    <row r="124" spans="1:16" x14ac:dyDescent="0.2">
      <c r="A124" s="1">
        <v>40238</v>
      </c>
      <c r="B124" s="9" t="e">
        <v>#N/A</v>
      </c>
      <c r="C124" s="2" t="e">
        <v>#N/A</v>
      </c>
      <c r="D124" t="e">
        <v>#N/A</v>
      </c>
      <c r="E124" t="e">
        <v>#N/A</v>
      </c>
      <c r="F124">
        <v>91.1</v>
      </c>
      <c r="G124" s="6">
        <v>77.2</v>
      </c>
      <c r="H124">
        <v>97.8</v>
      </c>
      <c r="I124">
        <v>80.3</v>
      </c>
      <c r="J124" t="e">
        <v>#N/A</v>
      </c>
      <c r="K124">
        <v>0.9</v>
      </c>
      <c r="L124">
        <v>92.2</v>
      </c>
      <c r="M124" s="13">
        <v>40948</v>
      </c>
      <c r="O124" s="8">
        <v>-2.90491639881196E-3</v>
      </c>
      <c r="P124" s="2">
        <v>-9.5</v>
      </c>
    </row>
    <row r="125" spans="1:16" x14ac:dyDescent="0.2">
      <c r="A125" s="1">
        <v>40269</v>
      </c>
      <c r="B125" s="9">
        <v>286317</v>
      </c>
      <c r="C125" s="2">
        <v>320755</v>
      </c>
      <c r="D125">
        <v>96.5</v>
      </c>
      <c r="E125">
        <v>76.8</v>
      </c>
      <c r="F125">
        <v>93</v>
      </c>
      <c r="G125" s="6">
        <v>78.7</v>
      </c>
      <c r="H125">
        <v>103.2</v>
      </c>
      <c r="I125">
        <v>80</v>
      </c>
      <c r="J125">
        <v>353039</v>
      </c>
      <c r="K125">
        <v>0.4</v>
      </c>
      <c r="L125">
        <v>93.4</v>
      </c>
      <c r="M125" s="13">
        <v>41014</v>
      </c>
      <c r="O125" s="8">
        <v>-2.8327462453287201E-2</v>
      </c>
      <c r="P125" s="2">
        <v>-5.5</v>
      </c>
    </row>
    <row r="126" spans="1:16" x14ac:dyDescent="0.2">
      <c r="A126" s="1">
        <v>40299</v>
      </c>
      <c r="B126" s="9" t="e">
        <v>#N/A</v>
      </c>
      <c r="C126" s="2" t="e">
        <v>#N/A</v>
      </c>
      <c r="D126" t="e">
        <v>#N/A</v>
      </c>
      <c r="E126" t="e">
        <v>#N/A</v>
      </c>
      <c r="F126">
        <v>95.9</v>
      </c>
      <c r="G126" s="6">
        <v>81.5</v>
      </c>
      <c r="H126">
        <v>102.5</v>
      </c>
      <c r="I126">
        <v>80.5</v>
      </c>
      <c r="J126" t="e">
        <v>#N/A</v>
      </c>
      <c r="K126">
        <v>0.8</v>
      </c>
      <c r="L126">
        <v>93.6</v>
      </c>
      <c r="M126" s="13">
        <v>41058</v>
      </c>
      <c r="O126" s="8">
        <v>1.99489750576376E-4</v>
      </c>
      <c r="P126" s="2">
        <v>-9.9</v>
      </c>
    </row>
    <row r="127" spans="1:16" x14ac:dyDescent="0.2">
      <c r="A127" s="1">
        <v>40330</v>
      </c>
      <c r="B127" s="9" t="e">
        <v>#N/A</v>
      </c>
      <c r="C127" s="2" t="e">
        <v>#N/A</v>
      </c>
      <c r="D127" t="e">
        <v>#N/A</v>
      </c>
      <c r="E127" t="e">
        <v>#N/A</v>
      </c>
      <c r="F127">
        <v>95</v>
      </c>
      <c r="G127" s="6">
        <v>82.2</v>
      </c>
      <c r="H127">
        <v>103.8</v>
      </c>
      <c r="I127">
        <v>80.900000000000006</v>
      </c>
      <c r="J127" t="e">
        <v>#N/A</v>
      </c>
      <c r="K127">
        <v>0.5</v>
      </c>
      <c r="L127">
        <v>93.5</v>
      </c>
      <c r="M127" s="13">
        <v>41106</v>
      </c>
      <c r="O127" s="8">
        <v>3.01257507613002E-2</v>
      </c>
      <c r="P127" s="2">
        <v>-9</v>
      </c>
    </row>
    <row r="128" spans="1:16" x14ac:dyDescent="0.2">
      <c r="A128" s="1">
        <v>40360</v>
      </c>
      <c r="B128" s="9">
        <v>285622</v>
      </c>
      <c r="C128" s="2">
        <v>325887</v>
      </c>
      <c r="D128">
        <v>97</v>
      </c>
      <c r="E128">
        <v>77.3</v>
      </c>
      <c r="F128">
        <v>95</v>
      </c>
      <c r="G128" s="6">
        <v>80.900000000000006</v>
      </c>
      <c r="H128">
        <v>107.6</v>
      </c>
      <c r="I128">
        <v>81.400000000000006</v>
      </c>
      <c r="J128">
        <v>355872</v>
      </c>
      <c r="K128">
        <v>0.7</v>
      </c>
      <c r="L128">
        <v>92.8</v>
      </c>
      <c r="M128" s="13">
        <v>41122</v>
      </c>
      <c r="O128" s="8">
        <v>-3.6904127581514998E-2</v>
      </c>
      <c r="P128" s="2">
        <v>-3.7</v>
      </c>
    </row>
    <row r="129" spans="1:16" x14ac:dyDescent="0.2">
      <c r="A129" s="1">
        <v>40391</v>
      </c>
      <c r="B129" s="9" t="e">
        <v>#N/A</v>
      </c>
      <c r="C129" s="2" t="e">
        <v>#N/A</v>
      </c>
      <c r="D129" t="e">
        <v>#N/A</v>
      </c>
      <c r="E129" t="e">
        <v>#N/A</v>
      </c>
      <c r="F129">
        <v>96.2</v>
      </c>
      <c r="G129" s="6">
        <v>82.5</v>
      </c>
      <c r="H129">
        <v>109</v>
      </c>
      <c r="I129">
        <v>80.900000000000006</v>
      </c>
      <c r="J129" t="e">
        <v>#N/A</v>
      </c>
      <c r="K129">
        <v>0.8</v>
      </c>
      <c r="L129">
        <v>92.6</v>
      </c>
      <c r="M129" s="13">
        <v>41168</v>
      </c>
      <c r="O129" s="8">
        <v>5.0001166797875002E-2</v>
      </c>
      <c r="P129" s="2">
        <v>-1.4</v>
      </c>
    </row>
    <row r="130" spans="1:16" x14ac:dyDescent="0.2">
      <c r="A130" s="1">
        <v>40422</v>
      </c>
      <c r="B130" s="9" t="e">
        <v>#N/A</v>
      </c>
      <c r="C130" s="2" t="e">
        <v>#N/A</v>
      </c>
      <c r="D130" t="e">
        <v>#N/A</v>
      </c>
      <c r="E130" t="e">
        <v>#N/A</v>
      </c>
      <c r="F130">
        <v>97.4</v>
      </c>
      <c r="G130" s="6">
        <v>83.2</v>
      </c>
      <c r="H130">
        <v>110.8</v>
      </c>
      <c r="I130">
        <v>80.5</v>
      </c>
      <c r="J130" t="e">
        <v>#N/A</v>
      </c>
      <c r="K130">
        <v>0.9</v>
      </c>
      <c r="L130">
        <v>93</v>
      </c>
      <c r="M130" s="13">
        <v>41217</v>
      </c>
      <c r="O130" s="8">
        <v>5.8058200810457102E-2</v>
      </c>
      <c r="P130" s="2">
        <v>0.3</v>
      </c>
    </row>
    <row r="131" spans="1:16" x14ac:dyDescent="0.2">
      <c r="A131" s="1">
        <v>40452</v>
      </c>
      <c r="B131" s="9">
        <v>293370</v>
      </c>
      <c r="C131" s="2">
        <v>363458</v>
      </c>
      <c r="D131">
        <v>97.7</v>
      </c>
      <c r="E131">
        <v>77.599999999999994</v>
      </c>
      <c r="F131">
        <v>99.5</v>
      </c>
      <c r="G131" s="6">
        <v>85.7</v>
      </c>
      <c r="H131">
        <v>111.4</v>
      </c>
      <c r="I131">
        <v>81.400000000000006</v>
      </c>
      <c r="J131">
        <v>359307</v>
      </c>
      <c r="K131">
        <v>0.9</v>
      </c>
      <c r="L131">
        <v>93.3</v>
      </c>
      <c r="M131" s="13">
        <v>41228</v>
      </c>
      <c r="O131" s="8">
        <v>1.31109526893063E-2</v>
      </c>
      <c r="P131" s="2">
        <v>0</v>
      </c>
    </row>
    <row r="132" spans="1:16" x14ac:dyDescent="0.2">
      <c r="A132" s="1">
        <v>40483</v>
      </c>
      <c r="B132" s="9" t="e">
        <v>#N/A</v>
      </c>
      <c r="C132" s="2" t="e">
        <v>#N/A</v>
      </c>
      <c r="D132" t="e">
        <v>#N/A</v>
      </c>
      <c r="E132" t="e">
        <v>#N/A</v>
      </c>
      <c r="F132">
        <v>98.9</v>
      </c>
      <c r="G132" s="6">
        <v>86.3</v>
      </c>
      <c r="H132">
        <v>112.5</v>
      </c>
      <c r="I132">
        <v>80.400000000000006</v>
      </c>
      <c r="J132" t="e">
        <v>#N/A</v>
      </c>
      <c r="K132">
        <v>1.1000000000000001</v>
      </c>
      <c r="L132">
        <v>93.8</v>
      </c>
      <c r="M132" s="13">
        <v>41271</v>
      </c>
      <c r="O132" s="8">
        <v>3.3187639431439202E-2</v>
      </c>
      <c r="P132" s="2">
        <v>2.2000000000000002</v>
      </c>
    </row>
    <row r="133" spans="1:16" x14ac:dyDescent="0.2">
      <c r="A133" s="1">
        <v>40513</v>
      </c>
      <c r="B133" s="9" t="e">
        <v>#N/A</v>
      </c>
      <c r="C133" s="2" t="e">
        <v>#N/A</v>
      </c>
      <c r="D133" t="e">
        <v>#N/A</v>
      </c>
      <c r="E133" t="e">
        <v>#N/A</v>
      </c>
      <c r="F133">
        <v>100.8</v>
      </c>
      <c r="G133" s="6">
        <v>87.5</v>
      </c>
      <c r="H133">
        <v>112.8</v>
      </c>
      <c r="I133">
        <v>80.400000000000006</v>
      </c>
      <c r="J133" t="e">
        <v>#N/A</v>
      </c>
      <c r="K133">
        <v>1</v>
      </c>
      <c r="L133">
        <v>95.8</v>
      </c>
      <c r="M133" s="13">
        <v>41307</v>
      </c>
      <c r="O133" s="8">
        <v>2.33420962618727E-2</v>
      </c>
      <c r="P133" s="2">
        <v>1.3</v>
      </c>
    </row>
    <row r="134" spans="1:16" x14ac:dyDescent="0.2">
      <c r="A134" s="1">
        <v>40544</v>
      </c>
      <c r="B134" s="9">
        <v>301458</v>
      </c>
      <c r="C134" s="2">
        <v>320244</v>
      </c>
      <c r="D134">
        <v>98</v>
      </c>
      <c r="E134">
        <v>78.7</v>
      </c>
      <c r="F134">
        <v>100.1</v>
      </c>
      <c r="G134" s="6">
        <v>87.4</v>
      </c>
      <c r="H134">
        <v>111</v>
      </c>
      <c r="I134">
        <v>80.900000000000006</v>
      </c>
      <c r="J134">
        <v>360938</v>
      </c>
      <c r="K134">
        <v>1.1000000000000001</v>
      </c>
      <c r="L134">
        <v>98.3</v>
      </c>
      <c r="M134" s="13">
        <v>41330</v>
      </c>
      <c r="O134" s="8">
        <v>2.7157426752474099E-2</v>
      </c>
      <c r="P134" s="2">
        <v>0.9</v>
      </c>
    </row>
    <row r="135" spans="1:16" x14ac:dyDescent="0.2">
      <c r="A135" s="1">
        <v>40575</v>
      </c>
      <c r="B135" s="9" t="e">
        <v>#N/A</v>
      </c>
      <c r="C135" s="2" t="e">
        <v>#N/A</v>
      </c>
      <c r="D135" t="e">
        <v>#N/A</v>
      </c>
      <c r="E135" t="e">
        <v>#N/A</v>
      </c>
      <c r="F135">
        <v>101.1</v>
      </c>
      <c r="G135" s="6">
        <v>88.4</v>
      </c>
      <c r="H135">
        <v>112.6</v>
      </c>
      <c r="I135">
        <v>82</v>
      </c>
      <c r="J135" t="e">
        <v>#N/A</v>
      </c>
      <c r="K135">
        <v>1.2</v>
      </c>
      <c r="L135">
        <v>98.9</v>
      </c>
      <c r="M135" s="13">
        <v>41382</v>
      </c>
      <c r="O135" s="8">
        <v>-3.22810954099957E-2</v>
      </c>
      <c r="P135" s="2">
        <v>1.3</v>
      </c>
    </row>
    <row r="136" spans="1:16" x14ac:dyDescent="0.2">
      <c r="A136" s="1">
        <v>40603</v>
      </c>
      <c r="B136" s="9" t="e">
        <v>#N/A</v>
      </c>
      <c r="C136" s="2" t="e">
        <v>#N/A</v>
      </c>
      <c r="D136" t="e">
        <v>#N/A</v>
      </c>
      <c r="E136" t="e">
        <v>#N/A</v>
      </c>
      <c r="F136">
        <v>101.5</v>
      </c>
      <c r="G136" s="6">
        <v>89.3</v>
      </c>
      <c r="H136">
        <v>112.1</v>
      </c>
      <c r="I136">
        <v>80.3</v>
      </c>
      <c r="J136" t="e">
        <v>#N/A</v>
      </c>
      <c r="K136">
        <v>1.2</v>
      </c>
      <c r="L136">
        <v>101.8</v>
      </c>
      <c r="M136" s="13">
        <v>41421</v>
      </c>
      <c r="O136" s="8">
        <v>6.5034918411234002E-2</v>
      </c>
      <c r="P136" s="2">
        <v>0</v>
      </c>
    </row>
    <row r="137" spans="1:16" x14ac:dyDescent="0.2">
      <c r="A137" s="1">
        <v>40634</v>
      </c>
      <c r="B137" s="9">
        <v>306501</v>
      </c>
      <c r="C137" s="2">
        <v>336155</v>
      </c>
      <c r="D137">
        <v>98</v>
      </c>
      <c r="E137">
        <v>79.3</v>
      </c>
      <c r="F137">
        <v>101.7</v>
      </c>
      <c r="G137" s="6">
        <v>89.7</v>
      </c>
      <c r="H137">
        <v>111.4</v>
      </c>
      <c r="I137">
        <v>81.5</v>
      </c>
      <c r="J137">
        <v>364273</v>
      </c>
      <c r="K137">
        <v>1.6</v>
      </c>
      <c r="L137">
        <v>103.1</v>
      </c>
      <c r="M137" s="13">
        <v>41466</v>
      </c>
      <c r="O137" s="8">
        <v>-2.9819576373086E-2</v>
      </c>
      <c r="P137" s="2">
        <v>-0.7</v>
      </c>
    </row>
    <row r="138" spans="1:16" x14ac:dyDescent="0.2">
      <c r="A138" s="1">
        <v>40664</v>
      </c>
      <c r="B138" s="9" t="e">
        <v>#N/A</v>
      </c>
      <c r="C138" s="2" t="e">
        <v>#N/A</v>
      </c>
      <c r="D138" t="e">
        <v>#N/A</v>
      </c>
      <c r="E138" t="e">
        <v>#N/A</v>
      </c>
      <c r="F138">
        <v>102.7</v>
      </c>
      <c r="G138" s="6">
        <v>89.5</v>
      </c>
      <c r="H138">
        <v>111.1</v>
      </c>
      <c r="I138">
        <v>79.3</v>
      </c>
      <c r="J138" t="e">
        <v>#N/A</v>
      </c>
      <c r="K138">
        <v>1.4</v>
      </c>
      <c r="L138">
        <v>102.4</v>
      </c>
      <c r="M138" s="13">
        <v>41512</v>
      </c>
      <c r="O138" s="8">
        <v>1.1254472695887001E-2</v>
      </c>
      <c r="P138" s="2">
        <v>-1.3</v>
      </c>
    </row>
    <row r="139" spans="1:16" x14ac:dyDescent="0.2">
      <c r="A139" s="1">
        <v>40695</v>
      </c>
      <c r="B139" s="9" t="e">
        <v>#N/A</v>
      </c>
      <c r="C139" s="2" t="e">
        <v>#N/A</v>
      </c>
      <c r="D139" t="e">
        <v>#N/A</v>
      </c>
      <c r="E139" t="e">
        <v>#N/A</v>
      </c>
      <c r="F139">
        <v>101.1</v>
      </c>
      <c r="G139" s="6">
        <v>89.5</v>
      </c>
      <c r="H139">
        <v>110.9</v>
      </c>
      <c r="I139">
        <v>81.400000000000006</v>
      </c>
      <c r="J139" t="e">
        <v>#N/A</v>
      </c>
      <c r="K139">
        <v>1.5</v>
      </c>
      <c r="L139">
        <v>102</v>
      </c>
      <c r="M139" s="13">
        <v>41567</v>
      </c>
      <c r="O139" s="8">
        <v>-2.9925874226060901E-2</v>
      </c>
      <c r="P139" s="2">
        <v>0.2</v>
      </c>
    </row>
    <row r="140" spans="1:16" x14ac:dyDescent="0.2">
      <c r="A140" s="1">
        <v>40725</v>
      </c>
      <c r="B140" s="9">
        <v>305360</v>
      </c>
      <c r="C140" s="2">
        <v>339350</v>
      </c>
      <c r="D140">
        <v>98.2</v>
      </c>
      <c r="E140">
        <v>79.7</v>
      </c>
      <c r="F140">
        <v>104.4</v>
      </c>
      <c r="G140" s="6">
        <v>91.9</v>
      </c>
      <c r="H140">
        <v>110.1</v>
      </c>
      <c r="I140">
        <v>81.5</v>
      </c>
      <c r="J140">
        <v>366777</v>
      </c>
      <c r="K140">
        <v>1.5</v>
      </c>
      <c r="L140">
        <v>102.6</v>
      </c>
      <c r="M140" s="13">
        <v>41573</v>
      </c>
      <c r="O140" s="8">
        <v>-0.21309573317035399</v>
      </c>
      <c r="P140" s="2">
        <v>-0.1</v>
      </c>
    </row>
    <row r="141" spans="1:16" x14ac:dyDescent="0.2">
      <c r="A141" s="1">
        <v>40756</v>
      </c>
      <c r="B141" s="9" t="e">
        <v>#N/A</v>
      </c>
      <c r="C141" s="2" t="e">
        <v>#N/A</v>
      </c>
      <c r="D141" t="e">
        <v>#N/A</v>
      </c>
      <c r="E141" t="e">
        <v>#N/A</v>
      </c>
      <c r="F141">
        <v>103.5</v>
      </c>
      <c r="G141" s="6">
        <v>91.7</v>
      </c>
      <c r="H141">
        <v>106.3</v>
      </c>
      <c r="I141">
        <v>81.7</v>
      </c>
      <c r="J141" t="e">
        <v>#N/A</v>
      </c>
      <c r="K141">
        <v>1.5</v>
      </c>
      <c r="L141">
        <v>101.8</v>
      </c>
      <c r="M141" s="13">
        <v>41645</v>
      </c>
      <c r="O141" s="8">
        <v>-5.0127146976390001E-2</v>
      </c>
      <c r="P141" s="2">
        <v>-4.4000000000000004</v>
      </c>
    </row>
    <row r="142" spans="1:16" x14ac:dyDescent="0.2">
      <c r="A142" s="1">
        <v>40787</v>
      </c>
      <c r="B142" s="9" t="e">
        <v>#N/A</v>
      </c>
      <c r="C142" s="2" t="e">
        <v>#N/A</v>
      </c>
      <c r="D142" t="e">
        <v>#N/A</v>
      </c>
      <c r="E142" t="e">
        <v>#N/A</v>
      </c>
      <c r="F142">
        <v>101.9</v>
      </c>
      <c r="G142" s="7">
        <v>91</v>
      </c>
      <c r="H142">
        <v>104.7</v>
      </c>
      <c r="I142">
        <v>81.400000000000006</v>
      </c>
      <c r="J142" t="e">
        <v>#N/A</v>
      </c>
      <c r="K142">
        <v>1.6</v>
      </c>
      <c r="L142">
        <v>103.4</v>
      </c>
      <c r="M142" s="13">
        <v>41684</v>
      </c>
      <c r="O142" s="8">
        <v>0.109927632860542</v>
      </c>
      <c r="P142" s="2">
        <v>-3.9</v>
      </c>
    </row>
    <row r="143" spans="1:16" x14ac:dyDescent="0.2">
      <c r="A143" s="1">
        <v>40817</v>
      </c>
      <c r="B143" s="9">
        <v>307670</v>
      </c>
      <c r="C143" s="2">
        <v>377711</v>
      </c>
      <c r="D143">
        <v>98.2</v>
      </c>
      <c r="E143">
        <v>79.8</v>
      </c>
      <c r="F143">
        <v>103.1</v>
      </c>
      <c r="G143" s="6">
        <v>91.1</v>
      </c>
      <c r="H143">
        <v>103.3</v>
      </c>
      <c r="I143">
        <v>81.5</v>
      </c>
      <c r="J143">
        <v>369715</v>
      </c>
      <c r="K143">
        <v>1.6</v>
      </c>
      <c r="L143">
        <v>103.7</v>
      </c>
      <c r="M143" s="13">
        <v>41708</v>
      </c>
      <c r="O143" s="8">
        <v>-8.5853722212210198E-3</v>
      </c>
      <c r="P143" s="2">
        <v>-6.3</v>
      </c>
    </row>
    <row r="144" spans="1:16" x14ac:dyDescent="0.2">
      <c r="A144" s="1">
        <v>40848</v>
      </c>
      <c r="B144" s="9" t="e">
        <v>#N/A</v>
      </c>
      <c r="C144" s="2" t="e">
        <v>#N/A</v>
      </c>
      <c r="D144" t="e">
        <v>#N/A</v>
      </c>
      <c r="E144" t="e">
        <v>#N/A</v>
      </c>
      <c r="F144">
        <v>102.4</v>
      </c>
      <c r="G144" s="6">
        <v>90.5</v>
      </c>
      <c r="H144">
        <v>102.8</v>
      </c>
      <c r="I144">
        <v>81.3</v>
      </c>
      <c r="J144" t="e">
        <v>#N/A</v>
      </c>
      <c r="K144">
        <v>1.5</v>
      </c>
      <c r="L144">
        <v>104.2</v>
      </c>
      <c r="M144" s="13">
        <v>41760</v>
      </c>
      <c r="O144" s="8">
        <v>-3.1784894387906E-2</v>
      </c>
      <c r="P144" s="2">
        <v>-6.2</v>
      </c>
    </row>
    <row r="145" spans="1:16" x14ac:dyDescent="0.2">
      <c r="A145" s="1">
        <v>40878</v>
      </c>
      <c r="B145" s="9" t="e">
        <v>#N/A</v>
      </c>
      <c r="C145" s="2" t="e">
        <v>#N/A</v>
      </c>
      <c r="D145" t="e">
        <v>#N/A</v>
      </c>
      <c r="E145" t="e">
        <v>#N/A</v>
      </c>
      <c r="F145">
        <v>101.2</v>
      </c>
      <c r="G145" s="6">
        <v>89.5</v>
      </c>
      <c r="H145">
        <v>103.5</v>
      </c>
      <c r="I145">
        <v>81.2</v>
      </c>
      <c r="J145" t="e">
        <v>#N/A</v>
      </c>
      <c r="K145">
        <v>1.5</v>
      </c>
      <c r="L145">
        <v>103.4</v>
      </c>
      <c r="M145" s="13">
        <v>41815</v>
      </c>
      <c r="O145" s="8">
        <v>9.0787929760299604E-2</v>
      </c>
      <c r="P145" s="2">
        <v>-4.4000000000000004</v>
      </c>
    </row>
    <row r="146" spans="1:16" x14ac:dyDescent="0.2">
      <c r="A146" s="1">
        <v>40909</v>
      </c>
      <c r="B146" s="9">
        <v>311082</v>
      </c>
      <c r="C146" s="2">
        <v>332803</v>
      </c>
      <c r="D146">
        <v>98.2</v>
      </c>
      <c r="E146">
        <v>80.099999999999994</v>
      </c>
      <c r="F146">
        <v>101.6</v>
      </c>
      <c r="G146" s="6">
        <v>89.9</v>
      </c>
      <c r="H146">
        <v>103.5</v>
      </c>
      <c r="I146">
        <v>80.400000000000006</v>
      </c>
      <c r="J146">
        <v>373247</v>
      </c>
      <c r="K146">
        <v>1.6</v>
      </c>
      <c r="L146">
        <v>105.3</v>
      </c>
      <c r="M146" s="13">
        <v>41896</v>
      </c>
      <c r="O146" s="8">
        <v>5.96752641347056E-2</v>
      </c>
      <c r="P146" s="2">
        <v>-4.0999999999999996</v>
      </c>
    </row>
    <row r="147" spans="1:16" x14ac:dyDescent="0.2">
      <c r="A147" s="1">
        <v>40940</v>
      </c>
      <c r="B147" s="9" t="e">
        <v>#N/A</v>
      </c>
      <c r="C147" s="2" t="e">
        <v>#N/A</v>
      </c>
      <c r="D147" t="e">
        <v>#N/A</v>
      </c>
      <c r="E147" t="e">
        <v>#N/A</v>
      </c>
      <c r="F147">
        <v>102.2</v>
      </c>
      <c r="G147" s="6">
        <v>91.3</v>
      </c>
      <c r="H147">
        <v>103.8</v>
      </c>
      <c r="I147">
        <v>80.900000000000006</v>
      </c>
      <c r="J147" t="e">
        <v>#N/A</v>
      </c>
      <c r="K147">
        <v>1.8</v>
      </c>
      <c r="L147">
        <v>106.7</v>
      </c>
      <c r="M147" s="13">
        <v>41896</v>
      </c>
      <c r="O147" s="8">
        <v>1.3149590428955801E-2</v>
      </c>
      <c r="P147" s="2">
        <v>-4.5</v>
      </c>
    </row>
    <row r="148" spans="1:16" x14ac:dyDescent="0.2">
      <c r="A148" s="1">
        <v>40969</v>
      </c>
      <c r="B148" s="9" t="e">
        <v>#N/A</v>
      </c>
      <c r="C148" s="2" t="e">
        <v>#N/A</v>
      </c>
      <c r="D148" t="e">
        <v>#N/A</v>
      </c>
      <c r="E148" t="e">
        <v>#N/A</v>
      </c>
      <c r="F148">
        <v>102.9</v>
      </c>
      <c r="G148" s="7">
        <v>92</v>
      </c>
      <c r="H148">
        <v>103.3</v>
      </c>
      <c r="I148">
        <v>81.5</v>
      </c>
      <c r="J148" t="e">
        <v>#N/A</v>
      </c>
      <c r="K148">
        <v>1.7</v>
      </c>
      <c r="L148">
        <v>108.3</v>
      </c>
      <c r="M148" s="13">
        <v>41940</v>
      </c>
      <c r="O148" s="8">
        <v>-2.7086550263575801E-2</v>
      </c>
      <c r="P148" s="2">
        <v>-4.5999999999999996</v>
      </c>
    </row>
    <row r="149" spans="1:16" x14ac:dyDescent="0.2">
      <c r="A149" s="1">
        <v>41000</v>
      </c>
      <c r="B149" s="9">
        <v>314757</v>
      </c>
      <c r="C149" s="2">
        <v>350322</v>
      </c>
      <c r="D149">
        <v>98</v>
      </c>
      <c r="E149">
        <v>82.4</v>
      </c>
      <c r="F149">
        <v>101.4</v>
      </c>
      <c r="G149" s="6">
        <v>90.3</v>
      </c>
      <c r="H149">
        <v>104.1</v>
      </c>
      <c r="I149">
        <v>81.5</v>
      </c>
      <c r="J149">
        <v>374467</v>
      </c>
      <c r="K149">
        <v>1.7</v>
      </c>
      <c r="L149">
        <v>108.8</v>
      </c>
      <c r="M149" s="13">
        <v>41973</v>
      </c>
      <c r="O149" s="8">
        <v>-7.6319299145273703E-2</v>
      </c>
      <c r="P149" s="2">
        <v>-4</v>
      </c>
    </row>
    <row r="150" spans="1:16" x14ac:dyDescent="0.2">
      <c r="A150" s="1">
        <v>41030</v>
      </c>
      <c r="B150" s="9" t="e">
        <v>#N/A</v>
      </c>
      <c r="C150" s="2" t="e">
        <v>#N/A</v>
      </c>
      <c r="D150" t="e">
        <v>#N/A</v>
      </c>
      <c r="E150" t="e">
        <v>#N/A</v>
      </c>
      <c r="F150">
        <v>103.1</v>
      </c>
      <c r="G150" s="6">
        <v>91.9</v>
      </c>
      <c r="H150">
        <v>102.4</v>
      </c>
      <c r="I150">
        <v>81.3</v>
      </c>
      <c r="J150" t="e">
        <v>#N/A</v>
      </c>
      <c r="K150">
        <v>1.8</v>
      </c>
      <c r="L150">
        <v>107.4</v>
      </c>
      <c r="M150" s="13">
        <v>42025</v>
      </c>
      <c r="O150" s="8">
        <v>2.39588747716333E-2</v>
      </c>
      <c r="P150" s="2">
        <v>-4.3</v>
      </c>
    </row>
    <row r="151" spans="1:16" x14ac:dyDescent="0.2">
      <c r="A151" s="1">
        <v>41061</v>
      </c>
      <c r="B151" s="9" t="e">
        <v>#N/A</v>
      </c>
      <c r="C151" s="2" t="e">
        <v>#N/A</v>
      </c>
      <c r="D151" t="e">
        <v>#N/A</v>
      </c>
      <c r="E151" t="e">
        <v>#N/A</v>
      </c>
      <c r="F151">
        <v>102</v>
      </c>
      <c r="G151" s="6">
        <v>90.8</v>
      </c>
      <c r="H151">
        <v>101.6</v>
      </c>
      <c r="I151">
        <v>82</v>
      </c>
      <c r="J151" t="e">
        <v>#N/A</v>
      </c>
      <c r="K151">
        <v>1.7</v>
      </c>
      <c r="L151">
        <v>106.1</v>
      </c>
      <c r="M151" s="13">
        <v>42050</v>
      </c>
      <c r="O151" s="8">
        <v>5.3996345284742703E-2</v>
      </c>
      <c r="P151" s="2">
        <v>-3.9</v>
      </c>
    </row>
    <row r="152" spans="1:16" x14ac:dyDescent="0.2">
      <c r="A152" s="1">
        <v>41091</v>
      </c>
      <c r="B152" s="9">
        <v>319989</v>
      </c>
      <c r="C152" s="2">
        <v>353010</v>
      </c>
      <c r="D152">
        <v>98</v>
      </c>
      <c r="E152">
        <v>82.1</v>
      </c>
      <c r="F152">
        <v>102.8</v>
      </c>
      <c r="G152" s="6">
        <v>91.3</v>
      </c>
      <c r="H152">
        <v>98.7</v>
      </c>
      <c r="I152">
        <v>80.900000000000006</v>
      </c>
      <c r="J152">
        <v>377210</v>
      </c>
      <c r="K152">
        <v>1.5</v>
      </c>
      <c r="L152">
        <v>107.1</v>
      </c>
      <c r="M152" s="13">
        <v>42085</v>
      </c>
      <c r="O152" s="8">
        <v>2.8893744541173699E-2</v>
      </c>
      <c r="P152" s="2">
        <v>-5.5</v>
      </c>
    </row>
    <row r="153" spans="1:16" x14ac:dyDescent="0.2">
      <c r="A153" s="1">
        <v>41122</v>
      </c>
      <c r="B153" s="9" t="e">
        <v>#N/A</v>
      </c>
      <c r="C153" s="2" t="e">
        <v>#N/A</v>
      </c>
      <c r="D153" t="e">
        <v>#N/A</v>
      </c>
      <c r="E153" t="e">
        <v>#N/A</v>
      </c>
      <c r="F153">
        <v>103</v>
      </c>
      <c r="G153" s="6">
        <v>92.2</v>
      </c>
      <c r="H153">
        <v>97.9</v>
      </c>
      <c r="I153">
        <v>81.3</v>
      </c>
      <c r="J153" t="e">
        <v>#N/A</v>
      </c>
      <c r="K153">
        <v>1.6</v>
      </c>
      <c r="L153">
        <v>109.3</v>
      </c>
      <c r="M153" s="13">
        <v>42132</v>
      </c>
      <c r="O153" s="8">
        <v>3.4592989299461897E-2</v>
      </c>
      <c r="P153" s="2">
        <v>-6.8</v>
      </c>
    </row>
    <row r="154" spans="1:16" x14ac:dyDescent="0.2">
      <c r="A154" s="1">
        <v>41153</v>
      </c>
      <c r="B154" s="9" t="e">
        <v>#N/A</v>
      </c>
      <c r="C154" s="2" t="e">
        <v>#N/A</v>
      </c>
      <c r="D154" t="e">
        <v>#N/A</v>
      </c>
      <c r="E154" t="e">
        <v>#N/A</v>
      </c>
      <c r="F154">
        <v>101.7</v>
      </c>
      <c r="G154" s="6">
        <v>90.7</v>
      </c>
      <c r="H154">
        <v>96.6</v>
      </c>
      <c r="I154">
        <v>81.7</v>
      </c>
      <c r="J154" t="e">
        <v>#N/A</v>
      </c>
      <c r="K154">
        <v>1.5</v>
      </c>
      <c r="L154">
        <v>110.3</v>
      </c>
      <c r="M154" s="13">
        <v>42131</v>
      </c>
      <c r="O154" s="8">
        <v>6.1450296402370003E-3</v>
      </c>
      <c r="P154" s="2">
        <v>-7.9</v>
      </c>
    </row>
    <row r="155" spans="1:16" x14ac:dyDescent="0.2">
      <c r="A155" s="1">
        <v>41183</v>
      </c>
      <c r="B155" s="9">
        <v>315157</v>
      </c>
      <c r="C155" s="2">
        <v>392673</v>
      </c>
      <c r="D155">
        <v>98.1</v>
      </c>
      <c r="E155">
        <v>83.3</v>
      </c>
      <c r="F155">
        <v>100.3</v>
      </c>
      <c r="G155" s="6">
        <v>89.4</v>
      </c>
      <c r="H155">
        <v>95.6</v>
      </c>
      <c r="I155">
        <v>81.3</v>
      </c>
      <c r="J155">
        <v>377901</v>
      </c>
      <c r="K155">
        <v>1.6</v>
      </c>
      <c r="L155">
        <v>109.3</v>
      </c>
      <c r="M155" s="13">
        <v>42174</v>
      </c>
      <c r="O155" s="8">
        <v>1.9756381593703399E-2</v>
      </c>
      <c r="P155" s="2">
        <v>-7.7</v>
      </c>
    </row>
    <row r="156" spans="1:16" x14ac:dyDescent="0.2">
      <c r="A156" s="1">
        <v>41214</v>
      </c>
      <c r="B156" s="9" t="e">
        <v>#N/A</v>
      </c>
      <c r="C156" s="2" t="e">
        <v>#N/A</v>
      </c>
      <c r="D156" t="e">
        <v>#N/A</v>
      </c>
      <c r="E156" t="e">
        <v>#N/A</v>
      </c>
      <c r="F156">
        <v>99.7</v>
      </c>
      <c r="G156" s="6">
        <v>89.1</v>
      </c>
      <c r="H156">
        <v>97.3</v>
      </c>
      <c r="I156">
        <v>81</v>
      </c>
      <c r="J156" t="e">
        <v>#N/A</v>
      </c>
      <c r="K156">
        <v>1.7</v>
      </c>
      <c r="L156">
        <v>108.1</v>
      </c>
      <c r="M156" s="13">
        <v>42238</v>
      </c>
      <c r="O156" s="8">
        <v>2.7554233588855202E-2</v>
      </c>
      <c r="P156" s="2">
        <v>-6.9</v>
      </c>
    </row>
    <row r="157" spans="1:16" x14ac:dyDescent="0.2">
      <c r="A157" s="1">
        <v>41244</v>
      </c>
      <c r="B157" s="9" t="e">
        <v>#N/A</v>
      </c>
      <c r="C157" s="2" t="e">
        <v>#N/A</v>
      </c>
      <c r="D157" t="e">
        <v>#N/A</v>
      </c>
      <c r="E157" t="e">
        <v>#N/A</v>
      </c>
      <c r="F157">
        <v>100.1</v>
      </c>
      <c r="G157" s="6">
        <v>89.3</v>
      </c>
      <c r="H157">
        <v>98</v>
      </c>
      <c r="I157">
        <v>81.3</v>
      </c>
      <c r="J157" t="e">
        <v>#N/A</v>
      </c>
      <c r="K157">
        <v>1.9</v>
      </c>
      <c r="L157">
        <v>107.2</v>
      </c>
      <c r="M157" s="13">
        <v>42263</v>
      </c>
      <c r="O157" s="8">
        <v>2.1271271087686099E-2</v>
      </c>
      <c r="P157" s="2">
        <v>-7.3</v>
      </c>
    </row>
    <row r="158" spans="1:16" x14ac:dyDescent="0.2">
      <c r="A158" s="1">
        <v>41275</v>
      </c>
      <c r="B158" s="9">
        <v>316922</v>
      </c>
      <c r="C158" s="2">
        <v>343190</v>
      </c>
      <c r="D158">
        <v>97.4</v>
      </c>
      <c r="E158">
        <v>82.3</v>
      </c>
      <c r="F158">
        <v>99.2</v>
      </c>
      <c r="G158" s="6">
        <v>88.3</v>
      </c>
      <c r="H158">
        <v>99.7</v>
      </c>
      <c r="I158">
        <v>81.8</v>
      </c>
      <c r="J158">
        <v>378758</v>
      </c>
      <c r="K158">
        <v>1.6</v>
      </c>
      <c r="L158">
        <v>109.8</v>
      </c>
      <c r="M158" s="13">
        <v>42259</v>
      </c>
      <c r="O158" s="8">
        <v>-4.4271451052182399E-3</v>
      </c>
      <c r="P158" s="2">
        <v>-5.6</v>
      </c>
    </row>
    <row r="159" spans="1:16" x14ac:dyDescent="0.2">
      <c r="A159" s="1">
        <v>41306</v>
      </c>
      <c r="B159" s="9" t="e">
        <v>#N/A</v>
      </c>
      <c r="C159" s="2" t="e">
        <v>#N/A</v>
      </c>
      <c r="D159" t="e">
        <v>#N/A</v>
      </c>
      <c r="E159" t="e">
        <v>#N/A</v>
      </c>
      <c r="F159">
        <v>100</v>
      </c>
      <c r="G159" s="6">
        <v>88.6</v>
      </c>
      <c r="H159">
        <v>100.4</v>
      </c>
      <c r="I159">
        <v>81.099999999999994</v>
      </c>
      <c r="J159" t="e">
        <v>#N/A</v>
      </c>
      <c r="K159">
        <v>1.5</v>
      </c>
      <c r="L159">
        <v>111.1</v>
      </c>
      <c r="M159" s="13">
        <v>42299</v>
      </c>
      <c r="O159" s="8">
        <v>6.9009513620414999E-3</v>
      </c>
      <c r="P159" s="2">
        <v>-4.9000000000000004</v>
      </c>
    </row>
    <row r="160" spans="1:16" x14ac:dyDescent="0.2">
      <c r="A160" s="1">
        <v>41334</v>
      </c>
      <c r="B160" s="9" t="e">
        <v>#N/A</v>
      </c>
      <c r="C160" s="2" t="e">
        <v>#N/A</v>
      </c>
      <c r="D160" t="e">
        <v>#N/A</v>
      </c>
      <c r="E160" t="e">
        <v>#N/A</v>
      </c>
      <c r="F160">
        <v>101.7</v>
      </c>
      <c r="G160" s="6">
        <v>90.7</v>
      </c>
      <c r="H160">
        <v>100.7</v>
      </c>
      <c r="I160">
        <v>81.5</v>
      </c>
      <c r="J160" t="e">
        <v>#N/A</v>
      </c>
      <c r="K160">
        <v>2</v>
      </c>
      <c r="L160">
        <v>109.5</v>
      </c>
      <c r="M160" s="13">
        <v>42280</v>
      </c>
      <c r="O160" s="8">
        <v>1.50744151153557E-2</v>
      </c>
      <c r="P160" s="2">
        <v>-4.8</v>
      </c>
    </row>
    <row r="161" spans="1:16" x14ac:dyDescent="0.2">
      <c r="A161" s="1">
        <v>41365</v>
      </c>
      <c r="B161" s="9">
        <v>328108</v>
      </c>
      <c r="C161" s="2">
        <v>360058</v>
      </c>
      <c r="D161">
        <v>98</v>
      </c>
      <c r="E161">
        <v>83.5</v>
      </c>
      <c r="F161">
        <v>101.6</v>
      </c>
      <c r="G161" s="6">
        <v>90.4</v>
      </c>
      <c r="H161">
        <v>99.6</v>
      </c>
      <c r="I161">
        <v>81</v>
      </c>
      <c r="J161">
        <v>382189</v>
      </c>
      <c r="K161">
        <v>1.2</v>
      </c>
      <c r="L161">
        <v>110</v>
      </c>
      <c r="M161" s="13">
        <v>42278</v>
      </c>
      <c r="O161" s="8">
        <v>5.3525894907714602E-2</v>
      </c>
      <c r="P161" s="2">
        <v>-4.7</v>
      </c>
    </row>
    <row r="162" spans="1:16" x14ac:dyDescent="0.2">
      <c r="A162" s="1">
        <v>41395</v>
      </c>
      <c r="B162" s="9" t="e">
        <v>#N/A</v>
      </c>
      <c r="C162" s="2" t="e">
        <v>#N/A</v>
      </c>
      <c r="D162" t="e">
        <v>#N/A</v>
      </c>
      <c r="E162" t="e">
        <v>#N/A</v>
      </c>
      <c r="F162">
        <v>100.8</v>
      </c>
      <c r="G162" s="7">
        <v>90</v>
      </c>
      <c r="H162">
        <v>100.4</v>
      </c>
      <c r="I162">
        <v>81.599999999999994</v>
      </c>
      <c r="J162" t="e">
        <v>#N/A</v>
      </c>
      <c r="K162">
        <v>1.6</v>
      </c>
      <c r="L162">
        <v>109.5</v>
      </c>
      <c r="M162" s="13">
        <v>42325</v>
      </c>
      <c r="O162" s="8">
        <v>-4.7791556243044701E-2</v>
      </c>
      <c r="P162" s="2">
        <v>-4.7</v>
      </c>
    </row>
    <row r="163" spans="1:16" x14ac:dyDescent="0.2">
      <c r="A163" s="1">
        <v>41426</v>
      </c>
      <c r="B163" s="9" t="e">
        <v>#N/A</v>
      </c>
      <c r="C163" s="2" t="e">
        <v>#N/A</v>
      </c>
      <c r="D163" t="e">
        <v>#N/A</v>
      </c>
      <c r="E163" t="e">
        <v>#N/A</v>
      </c>
      <c r="F163">
        <v>102.6</v>
      </c>
      <c r="G163" s="6">
        <v>89.9</v>
      </c>
      <c r="H163">
        <v>101</v>
      </c>
      <c r="I163">
        <v>80.900000000000006</v>
      </c>
      <c r="J163" t="e">
        <v>#N/A</v>
      </c>
      <c r="K163">
        <v>1.7</v>
      </c>
      <c r="L163">
        <v>109.4</v>
      </c>
      <c r="M163" s="13">
        <v>42340</v>
      </c>
      <c r="O163" s="8">
        <v>3.90250697989281E-2</v>
      </c>
      <c r="P163" s="2">
        <v>-4.4000000000000004</v>
      </c>
    </row>
    <row r="164" spans="1:16" x14ac:dyDescent="0.2">
      <c r="A164" s="1">
        <v>41456</v>
      </c>
      <c r="B164" s="9">
        <v>326999</v>
      </c>
      <c r="C164" s="2">
        <v>363571</v>
      </c>
      <c r="D164">
        <v>98.7</v>
      </c>
      <c r="E164">
        <v>82.7</v>
      </c>
      <c r="F164">
        <v>101</v>
      </c>
      <c r="G164" s="6">
        <v>89.3</v>
      </c>
      <c r="H164">
        <v>101.3</v>
      </c>
      <c r="I164">
        <v>81.5</v>
      </c>
      <c r="J164">
        <v>385150</v>
      </c>
      <c r="K164">
        <v>1.8</v>
      </c>
      <c r="L164">
        <v>110.6</v>
      </c>
      <c r="M164" s="13">
        <v>42397</v>
      </c>
      <c r="O164" s="8">
        <v>-2.1103238979252498E-2</v>
      </c>
      <c r="P164" s="2">
        <v>-3.9</v>
      </c>
    </row>
    <row r="165" spans="1:16" x14ac:dyDescent="0.2">
      <c r="A165" s="1">
        <v>41487</v>
      </c>
      <c r="B165" s="9" t="e">
        <v>#N/A</v>
      </c>
      <c r="C165" s="2" t="e">
        <v>#N/A</v>
      </c>
      <c r="D165" t="e">
        <v>#N/A</v>
      </c>
      <c r="E165" t="e">
        <v>#N/A</v>
      </c>
      <c r="F165">
        <v>103</v>
      </c>
      <c r="G165" s="6">
        <v>91.4</v>
      </c>
      <c r="H165">
        <v>103.3</v>
      </c>
      <c r="I165">
        <v>81.5</v>
      </c>
      <c r="J165" t="e">
        <v>#N/A</v>
      </c>
      <c r="K165">
        <v>1.7</v>
      </c>
      <c r="L165">
        <v>110.4</v>
      </c>
      <c r="M165" s="13">
        <v>42407</v>
      </c>
      <c r="O165" s="8">
        <v>5.8858010903346497E-2</v>
      </c>
      <c r="P165" s="2">
        <v>-4.3</v>
      </c>
    </row>
    <row r="166" spans="1:16" x14ac:dyDescent="0.2">
      <c r="A166" s="1">
        <v>41518</v>
      </c>
      <c r="B166" s="9" t="e">
        <v>#N/A</v>
      </c>
      <c r="C166" s="2" t="e">
        <v>#N/A</v>
      </c>
      <c r="D166" t="e">
        <v>#N/A</v>
      </c>
      <c r="E166" t="e">
        <v>#N/A</v>
      </c>
      <c r="F166">
        <v>102.7</v>
      </c>
      <c r="G166" s="6">
        <v>91.3</v>
      </c>
      <c r="H166">
        <v>104.8</v>
      </c>
      <c r="I166">
        <v>82</v>
      </c>
      <c r="J166" t="e">
        <v>#N/A</v>
      </c>
      <c r="K166">
        <v>1.8</v>
      </c>
      <c r="L166">
        <v>110.8</v>
      </c>
      <c r="M166" s="13">
        <v>42441</v>
      </c>
      <c r="O166" s="8">
        <v>4.9875499288914299E-2</v>
      </c>
      <c r="P166" s="2">
        <v>-3.2</v>
      </c>
    </row>
    <row r="167" spans="1:16" x14ac:dyDescent="0.2">
      <c r="A167" s="1">
        <v>41548</v>
      </c>
      <c r="B167" s="9">
        <v>326083</v>
      </c>
      <c r="C167" s="2">
        <v>404624</v>
      </c>
      <c r="D167">
        <v>98.8</v>
      </c>
      <c r="E167">
        <v>83.9</v>
      </c>
      <c r="F167">
        <v>102</v>
      </c>
      <c r="G167" s="6">
        <v>90.6</v>
      </c>
      <c r="H167">
        <v>105</v>
      </c>
      <c r="I167">
        <v>81.3</v>
      </c>
      <c r="J167">
        <v>384282</v>
      </c>
      <c r="K167">
        <v>1.5</v>
      </c>
      <c r="L167">
        <v>109.2</v>
      </c>
      <c r="M167" s="13">
        <v>42492</v>
      </c>
      <c r="O167" s="8">
        <v>4.0286966294466701E-2</v>
      </c>
      <c r="P167" s="2">
        <v>-2.9</v>
      </c>
    </row>
    <row r="168" spans="1:16" x14ac:dyDescent="0.2">
      <c r="A168" s="1">
        <v>41579</v>
      </c>
      <c r="B168" s="9" t="e">
        <v>#N/A</v>
      </c>
      <c r="C168" s="2" t="e">
        <v>#N/A</v>
      </c>
      <c r="D168" t="e">
        <v>#N/A</v>
      </c>
      <c r="E168" t="e">
        <v>#N/A</v>
      </c>
      <c r="F168">
        <v>103.7</v>
      </c>
      <c r="G168" s="6">
        <v>92.6</v>
      </c>
      <c r="H168">
        <v>105.8</v>
      </c>
      <c r="I168">
        <v>82.5</v>
      </c>
      <c r="J168" t="e">
        <v>#N/A</v>
      </c>
      <c r="K168">
        <v>1.8</v>
      </c>
      <c r="L168">
        <v>108.2</v>
      </c>
      <c r="M168" s="13">
        <v>42513</v>
      </c>
      <c r="O168" s="8">
        <v>1.54939838815942E-2</v>
      </c>
      <c r="P168" s="2">
        <v>-1.9</v>
      </c>
    </row>
    <row r="169" spans="1:16" x14ac:dyDescent="0.2">
      <c r="A169" s="1">
        <v>41609</v>
      </c>
      <c r="B169" s="9" t="e">
        <v>#N/A</v>
      </c>
      <c r="C169" s="2" t="e">
        <v>#N/A</v>
      </c>
      <c r="D169" t="e">
        <v>#N/A</v>
      </c>
      <c r="E169" t="e">
        <v>#N/A</v>
      </c>
      <c r="F169">
        <v>103.9</v>
      </c>
      <c r="G169" s="6">
        <v>92.2</v>
      </c>
      <c r="H169">
        <v>105.9</v>
      </c>
      <c r="I169">
        <v>81.7</v>
      </c>
      <c r="J169" t="e">
        <v>#N/A</v>
      </c>
      <c r="K169">
        <v>1.2</v>
      </c>
      <c r="L169">
        <v>108.7</v>
      </c>
      <c r="M169" s="13">
        <v>42527</v>
      </c>
      <c r="O169" s="8">
        <v>-2.6056341199826201E-2</v>
      </c>
      <c r="P169" s="2">
        <v>-1.2</v>
      </c>
    </row>
    <row r="170" spans="1:16" x14ac:dyDescent="0.2">
      <c r="A170" s="1">
        <v>41640</v>
      </c>
      <c r="B170" s="9">
        <v>332240</v>
      </c>
      <c r="C170" s="2">
        <v>357955</v>
      </c>
      <c r="D170">
        <v>99.4</v>
      </c>
      <c r="E170">
        <v>84.1</v>
      </c>
      <c r="F170">
        <v>103.2</v>
      </c>
      <c r="G170" s="6">
        <v>93.7</v>
      </c>
      <c r="H170">
        <v>106.4</v>
      </c>
      <c r="I170">
        <v>82.1</v>
      </c>
      <c r="J170">
        <v>386864</v>
      </c>
      <c r="K170">
        <v>1.6</v>
      </c>
      <c r="L170">
        <v>107.9</v>
      </c>
      <c r="M170" s="13">
        <v>42616</v>
      </c>
      <c r="O170" s="8">
        <v>4.0598083124759703E-2</v>
      </c>
      <c r="P170" s="2">
        <v>0.1</v>
      </c>
    </row>
    <row r="171" spans="1:16" x14ac:dyDescent="0.2">
      <c r="A171" s="1">
        <v>41671</v>
      </c>
      <c r="B171" s="9" t="e">
        <v>#N/A</v>
      </c>
      <c r="C171" s="2" t="e">
        <v>#N/A</v>
      </c>
      <c r="D171" t="e">
        <v>#N/A</v>
      </c>
      <c r="E171" t="e">
        <v>#N/A</v>
      </c>
      <c r="F171">
        <v>103.2</v>
      </c>
      <c r="G171" s="6">
        <v>92.4</v>
      </c>
      <c r="H171">
        <v>107</v>
      </c>
      <c r="I171">
        <v>82.4</v>
      </c>
      <c r="J171" t="e">
        <v>#N/A</v>
      </c>
      <c r="K171">
        <v>1.4</v>
      </c>
      <c r="L171">
        <v>108.2</v>
      </c>
      <c r="M171" s="13">
        <v>42650</v>
      </c>
      <c r="O171" s="8">
        <v>-1.4149237607458801E-2</v>
      </c>
      <c r="P171" s="2">
        <v>0.3</v>
      </c>
    </row>
    <row r="172" spans="1:16" x14ac:dyDescent="0.2">
      <c r="A172" s="1">
        <v>41699</v>
      </c>
      <c r="B172" s="9" t="e">
        <v>#N/A</v>
      </c>
      <c r="C172" s="2" t="e">
        <v>#N/A</v>
      </c>
      <c r="D172" t="e">
        <v>#N/A</v>
      </c>
      <c r="E172" t="e">
        <v>#N/A</v>
      </c>
      <c r="F172">
        <v>103.5</v>
      </c>
      <c r="G172" s="6">
        <v>92.5</v>
      </c>
      <c r="H172">
        <v>106.6</v>
      </c>
      <c r="I172">
        <v>82.9</v>
      </c>
      <c r="J172" t="e">
        <v>#N/A</v>
      </c>
      <c r="K172">
        <v>1.1000000000000001</v>
      </c>
      <c r="L172">
        <v>107.8</v>
      </c>
      <c r="M172" s="13">
        <v>42674</v>
      </c>
      <c r="O172" s="8">
        <v>4.9397214256607898E-3</v>
      </c>
      <c r="P172" s="2">
        <v>-0.4</v>
      </c>
    </row>
    <row r="173" spans="1:16" x14ac:dyDescent="0.2">
      <c r="A173" s="1">
        <v>41730</v>
      </c>
      <c r="B173" s="9">
        <v>335206</v>
      </c>
      <c r="C173" s="2">
        <v>374965</v>
      </c>
      <c r="D173">
        <v>99.3</v>
      </c>
      <c r="E173">
        <v>84.7</v>
      </c>
      <c r="F173">
        <v>103.1</v>
      </c>
      <c r="G173" s="6">
        <v>91.9</v>
      </c>
      <c r="H173">
        <v>106.8</v>
      </c>
      <c r="I173">
        <v>82.5</v>
      </c>
      <c r="J173">
        <v>388072</v>
      </c>
      <c r="K173">
        <v>1.4</v>
      </c>
      <c r="L173">
        <v>108.6</v>
      </c>
      <c r="M173" s="13">
        <v>42729</v>
      </c>
      <c r="O173" s="8">
        <v>3.4796344239657301E-2</v>
      </c>
      <c r="P173" s="2">
        <v>-0.2</v>
      </c>
    </row>
    <row r="174" spans="1:16" x14ac:dyDescent="0.2">
      <c r="A174" s="1">
        <v>41760</v>
      </c>
      <c r="B174" s="9" t="e">
        <v>#N/A</v>
      </c>
      <c r="C174" s="2" t="e">
        <v>#N/A</v>
      </c>
      <c r="D174" t="e">
        <v>#N/A</v>
      </c>
      <c r="E174" t="e">
        <v>#N/A</v>
      </c>
      <c r="F174">
        <v>102.6</v>
      </c>
      <c r="G174" s="6">
        <v>90.6</v>
      </c>
      <c r="H174">
        <v>106.5</v>
      </c>
      <c r="I174">
        <v>81.599999999999994</v>
      </c>
      <c r="J174" t="e">
        <v>#N/A</v>
      </c>
      <c r="K174">
        <v>0.8</v>
      </c>
      <c r="L174">
        <v>108.6</v>
      </c>
      <c r="M174" s="13">
        <v>42735</v>
      </c>
      <c r="O174" s="8">
        <v>-1.1144666830492899E-2</v>
      </c>
      <c r="P174" s="2">
        <v>0.4</v>
      </c>
    </row>
    <row r="175" spans="1:16" x14ac:dyDescent="0.2">
      <c r="A175" s="1">
        <v>41791</v>
      </c>
      <c r="B175" s="9" t="e">
        <v>#N/A</v>
      </c>
      <c r="C175" s="2" t="e">
        <v>#N/A</v>
      </c>
      <c r="D175" t="e">
        <v>#N/A</v>
      </c>
      <c r="E175" t="e">
        <v>#N/A</v>
      </c>
      <c r="F175">
        <v>102.7</v>
      </c>
      <c r="G175" s="7">
        <v>92</v>
      </c>
      <c r="H175">
        <v>105.1</v>
      </c>
      <c r="I175">
        <v>82.8</v>
      </c>
      <c r="J175" t="e">
        <v>#N/A</v>
      </c>
      <c r="K175">
        <v>1</v>
      </c>
      <c r="L175">
        <v>109.1</v>
      </c>
      <c r="M175" s="13">
        <v>42759</v>
      </c>
      <c r="O175" s="8">
        <v>-4.4246059091339197E-2</v>
      </c>
      <c r="P175" s="2">
        <v>0.4</v>
      </c>
    </row>
    <row r="176" spans="1:16" x14ac:dyDescent="0.2">
      <c r="A176" s="1">
        <v>41821</v>
      </c>
      <c r="B176" s="9">
        <v>338672</v>
      </c>
      <c r="C176" s="2">
        <v>378024</v>
      </c>
      <c r="D176">
        <v>99.2</v>
      </c>
      <c r="E176">
        <v>85.2</v>
      </c>
      <c r="F176">
        <v>104.4</v>
      </c>
      <c r="G176" s="6">
        <v>93.1</v>
      </c>
      <c r="H176">
        <v>104.7</v>
      </c>
      <c r="I176">
        <v>81.8</v>
      </c>
      <c r="J176">
        <v>392163</v>
      </c>
      <c r="K176">
        <v>1.1000000000000001</v>
      </c>
      <c r="L176">
        <v>108.9</v>
      </c>
      <c r="M176" s="13">
        <v>42801</v>
      </c>
      <c r="O176" s="8">
        <v>6.6416828655899698E-3</v>
      </c>
      <c r="P176" s="2">
        <v>0.6</v>
      </c>
    </row>
    <row r="177" spans="1:16" x14ac:dyDescent="0.2">
      <c r="A177" s="1">
        <v>41852</v>
      </c>
      <c r="B177" s="9" t="e">
        <v>#N/A</v>
      </c>
      <c r="C177" s="2" t="e">
        <v>#N/A</v>
      </c>
      <c r="D177" t="e">
        <v>#N/A</v>
      </c>
      <c r="E177" t="e">
        <v>#N/A</v>
      </c>
      <c r="F177">
        <v>100.7</v>
      </c>
      <c r="G177" s="6">
        <v>90.6</v>
      </c>
      <c r="H177">
        <v>103.2</v>
      </c>
      <c r="I177">
        <v>82.9</v>
      </c>
      <c r="J177" t="e">
        <v>#N/A</v>
      </c>
      <c r="K177">
        <v>1.1000000000000001</v>
      </c>
      <c r="L177">
        <v>108.3</v>
      </c>
      <c r="M177" s="13">
        <v>42786</v>
      </c>
      <c r="O177" s="8">
        <v>4.3599878355316001E-4</v>
      </c>
      <c r="P177" s="2">
        <v>-2.1</v>
      </c>
    </row>
    <row r="178" spans="1:16" x14ac:dyDescent="0.2">
      <c r="A178" s="1">
        <v>41883</v>
      </c>
      <c r="B178" s="9" t="e">
        <v>#N/A</v>
      </c>
      <c r="C178" s="2" t="e">
        <v>#N/A</v>
      </c>
      <c r="D178" t="e">
        <v>#N/A</v>
      </c>
      <c r="E178" t="e">
        <v>#N/A</v>
      </c>
      <c r="F178">
        <v>103.2</v>
      </c>
      <c r="G178" s="6">
        <v>92.4</v>
      </c>
      <c r="H178">
        <v>102</v>
      </c>
      <c r="I178">
        <v>82</v>
      </c>
      <c r="J178" t="e">
        <v>#N/A</v>
      </c>
      <c r="K178">
        <v>1.2</v>
      </c>
      <c r="L178">
        <v>108.4</v>
      </c>
      <c r="M178" s="13">
        <v>42816</v>
      </c>
      <c r="O178" s="8">
        <v>-1.56833548136621E-2</v>
      </c>
      <c r="P178" s="2">
        <v>-3.1</v>
      </c>
    </row>
    <row r="179" spans="1:16" x14ac:dyDescent="0.2">
      <c r="A179" s="1">
        <v>41913</v>
      </c>
      <c r="B179" s="9">
        <v>344047</v>
      </c>
      <c r="C179" s="2">
        <v>420926</v>
      </c>
      <c r="D179">
        <v>99.5</v>
      </c>
      <c r="E179">
        <v>86</v>
      </c>
      <c r="F179">
        <v>103.5</v>
      </c>
      <c r="G179" s="6">
        <v>92.8</v>
      </c>
      <c r="H179">
        <v>101.9</v>
      </c>
      <c r="I179">
        <v>83.1</v>
      </c>
      <c r="J179">
        <v>395087</v>
      </c>
      <c r="K179">
        <v>1.1000000000000001</v>
      </c>
      <c r="L179">
        <v>106.9</v>
      </c>
      <c r="M179" s="13">
        <v>42858</v>
      </c>
      <c r="O179" s="8">
        <v>6.7768723717097898E-2</v>
      </c>
      <c r="P179" s="2">
        <v>-2.1</v>
      </c>
    </row>
    <row r="180" spans="1:16" x14ac:dyDescent="0.2">
      <c r="A180" s="1">
        <v>41944</v>
      </c>
      <c r="B180" s="9" t="e">
        <v>#N/A</v>
      </c>
      <c r="C180" s="2" t="e">
        <v>#N/A</v>
      </c>
      <c r="D180" t="e">
        <v>#N/A</v>
      </c>
      <c r="E180" t="e">
        <v>#N/A</v>
      </c>
      <c r="F180">
        <v>103.4</v>
      </c>
      <c r="G180" s="7">
        <v>93</v>
      </c>
      <c r="H180">
        <v>102</v>
      </c>
      <c r="I180">
        <v>82.8</v>
      </c>
      <c r="J180" t="e">
        <v>#N/A</v>
      </c>
      <c r="K180">
        <v>1</v>
      </c>
      <c r="L180">
        <v>105.7</v>
      </c>
      <c r="M180" s="13">
        <v>42828</v>
      </c>
      <c r="O180" s="8">
        <v>-1.7719685913595701E-2</v>
      </c>
      <c r="P180" s="2">
        <v>-2.8</v>
      </c>
    </row>
    <row r="181" spans="1:16" x14ac:dyDescent="0.2">
      <c r="A181" s="1">
        <v>41974</v>
      </c>
      <c r="B181" s="9" t="e">
        <v>#N/A</v>
      </c>
      <c r="C181" s="2" t="e">
        <v>#N/A</v>
      </c>
      <c r="D181" t="e">
        <v>#N/A</v>
      </c>
      <c r="E181" t="e">
        <v>#N/A</v>
      </c>
      <c r="F181">
        <v>105.2</v>
      </c>
      <c r="G181" s="6">
        <v>93.8</v>
      </c>
      <c r="H181">
        <v>102.9</v>
      </c>
      <c r="I181">
        <v>83.6</v>
      </c>
      <c r="J181" t="e">
        <v>#N/A</v>
      </c>
      <c r="K181">
        <v>0.9</v>
      </c>
      <c r="L181">
        <v>101.6</v>
      </c>
      <c r="M181" s="13">
        <v>42843</v>
      </c>
      <c r="O181" s="8">
        <v>8.6764256635232698E-2</v>
      </c>
      <c r="P181" s="2">
        <v>-1.6</v>
      </c>
    </row>
    <row r="182" spans="1:16" x14ac:dyDescent="0.2">
      <c r="A182" s="1">
        <v>42005</v>
      </c>
      <c r="B182" s="9">
        <v>345732</v>
      </c>
      <c r="C182" s="2">
        <v>370524</v>
      </c>
      <c r="D182">
        <v>99.7</v>
      </c>
      <c r="E182">
        <v>86.5</v>
      </c>
      <c r="F182">
        <v>102.7</v>
      </c>
      <c r="G182" s="7">
        <v>93</v>
      </c>
      <c r="H182">
        <v>104</v>
      </c>
      <c r="I182">
        <v>84.4</v>
      </c>
      <c r="J182">
        <v>394604</v>
      </c>
      <c r="K182">
        <v>0.7</v>
      </c>
      <c r="L182">
        <v>98.3</v>
      </c>
      <c r="M182" s="13">
        <v>42876</v>
      </c>
      <c r="O182" s="8">
        <v>6.4046183917533001E-2</v>
      </c>
      <c r="P182" s="2">
        <v>-0.4</v>
      </c>
    </row>
    <row r="183" spans="1:16" x14ac:dyDescent="0.2">
      <c r="A183" s="1">
        <v>42036</v>
      </c>
      <c r="B183" s="9" t="e">
        <v>#N/A</v>
      </c>
      <c r="C183" s="2" t="e">
        <v>#N/A</v>
      </c>
      <c r="D183" t="e">
        <v>#N/A</v>
      </c>
      <c r="E183" t="e">
        <v>#N/A</v>
      </c>
      <c r="F183">
        <v>103.7</v>
      </c>
      <c r="G183" s="7">
        <v>93</v>
      </c>
      <c r="H183">
        <v>104.5</v>
      </c>
      <c r="I183">
        <v>84.4</v>
      </c>
      <c r="J183" t="e">
        <v>#N/A</v>
      </c>
      <c r="K183">
        <v>0.9</v>
      </c>
      <c r="L183">
        <v>100.4</v>
      </c>
      <c r="M183" s="13">
        <v>42905</v>
      </c>
      <c r="O183" s="8">
        <v>4.8324522718719003E-2</v>
      </c>
      <c r="P183" s="2">
        <v>0.1</v>
      </c>
    </row>
    <row r="184" spans="1:16" x14ac:dyDescent="0.2">
      <c r="A184" s="1">
        <v>42064</v>
      </c>
      <c r="B184" s="9" t="e">
        <v>#N/A</v>
      </c>
      <c r="C184" s="2" t="e">
        <v>#N/A</v>
      </c>
      <c r="D184" t="e">
        <v>#N/A</v>
      </c>
      <c r="E184" t="e">
        <v>#N/A</v>
      </c>
      <c r="F184">
        <v>103.7</v>
      </c>
      <c r="G184" s="6">
        <v>93.3</v>
      </c>
      <c r="H184">
        <v>106</v>
      </c>
      <c r="I184">
        <v>84.1</v>
      </c>
      <c r="J184" t="e">
        <v>#N/A</v>
      </c>
      <c r="K184">
        <v>1</v>
      </c>
      <c r="L184">
        <v>101.8</v>
      </c>
      <c r="M184" s="13">
        <v>42980</v>
      </c>
      <c r="O184" s="8">
        <v>-4.37113158841669E-2</v>
      </c>
      <c r="P184" s="2">
        <v>1.2</v>
      </c>
    </row>
    <row r="185" spans="1:16" x14ac:dyDescent="0.2">
      <c r="A185" s="1">
        <v>42095</v>
      </c>
      <c r="B185" s="9">
        <v>348313</v>
      </c>
      <c r="C185" s="2">
        <v>390667</v>
      </c>
      <c r="D185">
        <v>100.2</v>
      </c>
      <c r="E185">
        <v>87.4</v>
      </c>
      <c r="F185">
        <v>104.6</v>
      </c>
      <c r="G185" s="6">
        <v>93.9</v>
      </c>
      <c r="H185">
        <v>106.1</v>
      </c>
      <c r="I185">
        <v>85.1</v>
      </c>
      <c r="J185">
        <v>400758</v>
      </c>
      <c r="K185">
        <v>2</v>
      </c>
      <c r="L185">
        <v>102.3</v>
      </c>
      <c r="M185" s="13">
        <v>43036</v>
      </c>
      <c r="O185" s="8">
        <v>-3.54725011116841E-3</v>
      </c>
      <c r="P185" s="2">
        <v>1.3</v>
      </c>
    </row>
    <row r="186" spans="1:16" x14ac:dyDescent="0.2">
      <c r="A186" s="1">
        <v>42125</v>
      </c>
      <c r="B186" s="9" t="e">
        <v>#N/A</v>
      </c>
      <c r="C186" s="2" t="e">
        <v>#N/A</v>
      </c>
      <c r="D186" t="e">
        <v>#N/A</v>
      </c>
      <c r="E186" t="e">
        <v>#N/A</v>
      </c>
      <c r="F186">
        <v>104.7</v>
      </c>
      <c r="G186" s="6">
        <v>94.8</v>
      </c>
      <c r="H186">
        <v>106.1</v>
      </c>
      <c r="I186">
        <v>85.7</v>
      </c>
      <c r="J186" t="e">
        <v>#N/A</v>
      </c>
      <c r="K186">
        <v>2.5</v>
      </c>
      <c r="L186">
        <v>103.3</v>
      </c>
      <c r="M186" s="13">
        <v>43070</v>
      </c>
      <c r="O186" s="8">
        <v>-4.1944964251854303E-2</v>
      </c>
      <c r="P186" s="2">
        <v>1</v>
      </c>
    </row>
    <row r="187" spans="1:16" x14ac:dyDescent="0.2">
      <c r="A187" s="1">
        <v>42156</v>
      </c>
      <c r="B187" s="9" t="e">
        <v>#N/A</v>
      </c>
      <c r="C187" s="2" t="e">
        <v>#N/A</v>
      </c>
      <c r="D187" t="e">
        <v>#N/A</v>
      </c>
      <c r="E187" t="e">
        <v>#N/A</v>
      </c>
      <c r="F187">
        <v>104.7</v>
      </c>
      <c r="G187" s="6">
        <v>94.2</v>
      </c>
      <c r="H187">
        <v>106.4</v>
      </c>
      <c r="I187">
        <v>85.4</v>
      </c>
      <c r="J187" t="e">
        <v>#N/A</v>
      </c>
      <c r="K187">
        <v>2.1</v>
      </c>
      <c r="L187">
        <v>102.8</v>
      </c>
      <c r="M187" s="13">
        <v>43120</v>
      </c>
      <c r="O187" s="8">
        <v>3.2718040351463501E-2</v>
      </c>
      <c r="P187" s="2">
        <v>0.3</v>
      </c>
    </row>
    <row r="188" spans="1:16" x14ac:dyDescent="0.2">
      <c r="A188" s="1">
        <v>42186</v>
      </c>
      <c r="B188" s="9">
        <v>353290</v>
      </c>
      <c r="C188" s="2">
        <v>393749</v>
      </c>
      <c r="D188">
        <v>100</v>
      </c>
      <c r="E188">
        <v>87.5</v>
      </c>
      <c r="F188">
        <v>106.1</v>
      </c>
      <c r="G188" s="6">
        <v>95.7</v>
      </c>
      <c r="H188">
        <v>106.4</v>
      </c>
      <c r="I188">
        <v>86.5</v>
      </c>
      <c r="J188">
        <v>403440</v>
      </c>
      <c r="K188">
        <v>2.2000000000000002</v>
      </c>
      <c r="L188">
        <v>102.3</v>
      </c>
      <c r="M188" s="13">
        <v>43177</v>
      </c>
      <c r="O188" s="8">
        <v>-9.7397802390855007E-2</v>
      </c>
      <c r="P188" s="2">
        <v>-0.4</v>
      </c>
    </row>
    <row r="189" spans="1:16" x14ac:dyDescent="0.2">
      <c r="A189" s="1">
        <v>42217</v>
      </c>
      <c r="B189" s="9" t="e">
        <v>#N/A</v>
      </c>
      <c r="C189" s="2" t="e">
        <v>#N/A</v>
      </c>
      <c r="D189" t="e">
        <v>#N/A</v>
      </c>
      <c r="E189" t="e">
        <v>#N/A</v>
      </c>
      <c r="F189">
        <v>103.5</v>
      </c>
      <c r="G189" s="6">
        <v>92.7</v>
      </c>
      <c r="H189">
        <v>106.6</v>
      </c>
      <c r="I189">
        <v>86.1</v>
      </c>
      <c r="J189" t="e">
        <v>#N/A</v>
      </c>
      <c r="K189">
        <v>2.2999999999999998</v>
      </c>
      <c r="L189">
        <v>100.2</v>
      </c>
      <c r="M189" s="13">
        <v>43209</v>
      </c>
      <c r="O189" s="8">
        <v>-6.0160962650682499E-2</v>
      </c>
      <c r="P189" s="2">
        <v>-0.7</v>
      </c>
    </row>
    <row r="190" spans="1:16" x14ac:dyDescent="0.2">
      <c r="A190" s="1">
        <v>42248</v>
      </c>
      <c r="B190" s="9" t="e">
        <v>#N/A</v>
      </c>
      <c r="C190" s="2" t="e">
        <v>#N/A</v>
      </c>
      <c r="D190" t="e">
        <v>#N/A</v>
      </c>
      <c r="E190" t="e">
        <v>#N/A</v>
      </c>
      <c r="F190">
        <v>103.7</v>
      </c>
      <c r="G190" s="6">
        <v>92.7</v>
      </c>
      <c r="H190">
        <v>106.9</v>
      </c>
      <c r="I190">
        <v>86.4</v>
      </c>
      <c r="J190" t="e">
        <v>#N/A</v>
      </c>
      <c r="K190">
        <v>2.2000000000000002</v>
      </c>
      <c r="L190">
        <v>98.4</v>
      </c>
      <c r="M190" s="13">
        <v>43249</v>
      </c>
      <c r="O190" s="8">
        <v>0.116138710406931</v>
      </c>
      <c r="P190" s="2">
        <v>-2.4</v>
      </c>
    </row>
    <row r="191" spans="1:16" x14ac:dyDescent="0.2">
      <c r="A191" s="1">
        <v>42278</v>
      </c>
      <c r="B191" s="9">
        <v>354197</v>
      </c>
      <c r="C191" s="2">
        <v>439064</v>
      </c>
      <c r="D191">
        <v>100.1</v>
      </c>
      <c r="E191">
        <v>88</v>
      </c>
      <c r="F191">
        <v>104.6</v>
      </c>
      <c r="G191" s="6">
        <v>94.4</v>
      </c>
      <c r="H191">
        <v>105.6</v>
      </c>
      <c r="I191">
        <v>86.2</v>
      </c>
      <c r="J191">
        <v>405951</v>
      </c>
      <c r="K191">
        <v>2.5</v>
      </c>
      <c r="L191">
        <v>97.6</v>
      </c>
      <c r="M191" s="13">
        <v>43296</v>
      </c>
      <c r="O191" s="8">
        <v>4.7875457776937601E-2</v>
      </c>
      <c r="P191" s="2">
        <v>-4.0999999999999996</v>
      </c>
    </row>
    <row r="192" spans="1:16" x14ac:dyDescent="0.2">
      <c r="A192" s="1">
        <v>42309</v>
      </c>
      <c r="B192" s="9" t="e">
        <v>#N/A</v>
      </c>
      <c r="C192" s="2" t="e">
        <v>#N/A</v>
      </c>
      <c r="D192" t="e">
        <v>#N/A</v>
      </c>
      <c r="E192" t="e">
        <v>#N/A</v>
      </c>
      <c r="F192">
        <v>103.3</v>
      </c>
      <c r="G192" s="6">
        <v>92.4</v>
      </c>
      <c r="H192">
        <v>106.4</v>
      </c>
      <c r="I192">
        <v>86.3</v>
      </c>
      <c r="J192" t="e">
        <v>#N/A</v>
      </c>
      <c r="K192">
        <v>1.2</v>
      </c>
      <c r="L192">
        <v>97.7</v>
      </c>
      <c r="M192" s="13">
        <v>43351</v>
      </c>
      <c r="O192" s="8">
        <v>-5.7798119798164301E-2</v>
      </c>
      <c r="P192" s="2">
        <v>-4.0999999999999996</v>
      </c>
    </row>
    <row r="193" spans="1:16" x14ac:dyDescent="0.2">
      <c r="A193" s="1">
        <v>42339</v>
      </c>
      <c r="B193" s="9" t="e">
        <v>#N/A</v>
      </c>
      <c r="C193" s="2" t="e">
        <v>#N/A</v>
      </c>
      <c r="D193" t="e">
        <v>#N/A</v>
      </c>
      <c r="E193" t="e">
        <v>#N/A</v>
      </c>
      <c r="F193">
        <v>103.8</v>
      </c>
      <c r="G193" s="7">
        <v>94</v>
      </c>
      <c r="H193">
        <v>106.2</v>
      </c>
      <c r="I193">
        <v>87.9</v>
      </c>
      <c r="J193" t="e">
        <v>#N/A</v>
      </c>
      <c r="K193">
        <v>1.1000000000000001</v>
      </c>
      <c r="L193">
        <v>95</v>
      </c>
      <c r="M193" s="13">
        <v>43394</v>
      </c>
      <c r="O193" s="8">
        <v>-9.2065742891163496E-2</v>
      </c>
      <c r="P193" s="2">
        <v>-2</v>
      </c>
    </row>
    <row r="194" spans="1:16" x14ac:dyDescent="0.2">
      <c r="A194" s="1">
        <v>42370</v>
      </c>
      <c r="B194" s="9">
        <v>360987</v>
      </c>
      <c r="C194" s="2">
        <v>387016</v>
      </c>
      <c r="D194">
        <v>100.5</v>
      </c>
      <c r="E194">
        <v>89.4</v>
      </c>
      <c r="F194">
        <v>105.5</v>
      </c>
      <c r="G194" s="6">
        <v>93.6</v>
      </c>
      <c r="H194">
        <v>105.6</v>
      </c>
      <c r="I194">
        <v>87.2</v>
      </c>
      <c r="J194">
        <v>407382</v>
      </c>
      <c r="K194">
        <v>1.1000000000000001</v>
      </c>
      <c r="L194">
        <v>92.7</v>
      </c>
      <c r="M194" s="13">
        <v>43391</v>
      </c>
      <c r="O194" s="8">
        <v>-3.1382033864236498E-2</v>
      </c>
      <c r="P194" s="2">
        <v>-2.2999999999999998</v>
      </c>
    </row>
    <row r="195" spans="1:16" x14ac:dyDescent="0.2">
      <c r="A195" s="1">
        <v>42401</v>
      </c>
      <c r="B195" s="9" t="e">
        <v>#N/A</v>
      </c>
      <c r="C195" s="2" t="e">
        <v>#N/A</v>
      </c>
      <c r="D195" t="e">
        <v>#N/A</v>
      </c>
      <c r="E195" t="e">
        <v>#N/A</v>
      </c>
      <c r="F195">
        <v>105.3</v>
      </c>
      <c r="G195" s="6">
        <v>93.9</v>
      </c>
      <c r="H195">
        <v>104.9</v>
      </c>
      <c r="I195">
        <v>86.9</v>
      </c>
      <c r="J195" t="e">
        <v>#N/A</v>
      </c>
      <c r="K195">
        <v>0.9</v>
      </c>
      <c r="L195">
        <v>91.8</v>
      </c>
      <c r="M195" s="13">
        <v>43457</v>
      </c>
      <c r="O195" s="8">
        <v>4.8322596012733102E-2</v>
      </c>
      <c r="P195" s="2">
        <v>-2.6</v>
      </c>
    </row>
    <row r="196" spans="1:16" x14ac:dyDescent="0.2">
      <c r="A196" s="1">
        <v>42430</v>
      </c>
      <c r="B196" s="9" t="e">
        <v>#N/A</v>
      </c>
      <c r="C196" s="2" t="e">
        <v>#N/A</v>
      </c>
      <c r="D196" t="e">
        <v>#N/A</v>
      </c>
      <c r="E196" t="e">
        <v>#N/A</v>
      </c>
      <c r="F196">
        <v>104.4</v>
      </c>
      <c r="G196" s="6">
        <v>93.1</v>
      </c>
      <c r="H196">
        <v>104.9</v>
      </c>
      <c r="I196">
        <v>86.3</v>
      </c>
      <c r="J196" t="e">
        <v>#N/A</v>
      </c>
      <c r="K196">
        <v>1.3</v>
      </c>
      <c r="L196">
        <v>92.7</v>
      </c>
      <c r="M196" s="13">
        <v>43522</v>
      </c>
      <c r="O196" s="8">
        <v>7.3443841583866699E-3</v>
      </c>
      <c r="P196" s="2">
        <v>-2.9</v>
      </c>
    </row>
    <row r="197" spans="1:16" x14ac:dyDescent="0.2">
      <c r="A197" s="1">
        <v>42461</v>
      </c>
      <c r="B197" s="9">
        <v>363890</v>
      </c>
      <c r="C197" s="2">
        <v>404672</v>
      </c>
      <c r="D197">
        <v>100.7</v>
      </c>
      <c r="E197">
        <v>88.1</v>
      </c>
      <c r="F197">
        <v>105.1</v>
      </c>
      <c r="G197" s="6">
        <v>93.2</v>
      </c>
      <c r="H197">
        <v>105.9</v>
      </c>
      <c r="I197">
        <v>86.3</v>
      </c>
      <c r="J197">
        <v>409793</v>
      </c>
      <c r="K197">
        <v>0.7</v>
      </c>
      <c r="L197">
        <v>93.6</v>
      </c>
      <c r="M197" s="13">
        <v>43557</v>
      </c>
      <c r="O197" s="8">
        <v>2.2045391335192101E-2</v>
      </c>
      <c r="P197" s="2">
        <v>-1.6</v>
      </c>
    </row>
    <row r="198" spans="1:16" x14ac:dyDescent="0.2">
      <c r="A198" s="1">
        <v>42491</v>
      </c>
      <c r="B198" s="9" t="e">
        <v>#N/A</v>
      </c>
      <c r="C198" s="2" t="e">
        <v>#N/A</v>
      </c>
      <c r="D198" t="e">
        <v>#N/A</v>
      </c>
      <c r="E198" t="e">
        <v>#N/A</v>
      </c>
      <c r="F198">
        <v>103.4</v>
      </c>
      <c r="G198" s="6">
        <v>93.1</v>
      </c>
      <c r="H198">
        <v>105.8</v>
      </c>
      <c r="I198">
        <v>86.6</v>
      </c>
      <c r="J198" t="e">
        <v>#N/A</v>
      </c>
      <c r="K198">
        <v>1</v>
      </c>
      <c r="L198">
        <v>95</v>
      </c>
      <c r="M198" s="13">
        <v>43614</v>
      </c>
      <c r="O198" s="8">
        <v>-5.8448700832512301E-2</v>
      </c>
      <c r="P198" s="2">
        <v>-1.6</v>
      </c>
    </row>
    <row r="199" spans="1:16" x14ac:dyDescent="0.2">
      <c r="A199" s="1">
        <v>42522</v>
      </c>
      <c r="B199" s="9" t="e">
        <v>#N/A</v>
      </c>
      <c r="C199" s="2" t="e">
        <v>#N/A</v>
      </c>
      <c r="D199" t="e">
        <v>#N/A</v>
      </c>
      <c r="E199" t="e">
        <v>#N/A</v>
      </c>
      <c r="F199">
        <v>105.3</v>
      </c>
      <c r="G199" s="7">
        <v>93</v>
      </c>
      <c r="H199">
        <v>106.5</v>
      </c>
      <c r="I199">
        <v>86.4</v>
      </c>
      <c r="J199" t="e">
        <v>#N/A</v>
      </c>
      <c r="K199">
        <v>1</v>
      </c>
      <c r="L199">
        <v>96.2</v>
      </c>
      <c r="M199" s="13">
        <v>43674</v>
      </c>
      <c r="O199" s="8">
        <v>6.5706877725263596E-2</v>
      </c>
      <c r="P199" s="2">
        <v>-0.5</v>
      </c>
    </row>
    <row r="200" spans="1:16" x14ac:dyDescent="0.2">
      <c r="A200" s="1">
        <v>42552</v>
      </c>
      <c r="B200" s="9">
        <v>367437</v>
      </c>
      <c r="C200" s="2">
        <v>408958</v>
      </c>
      <c r="D200">
        <v>101.1</v>
      </c>
      <c r="E200">
        <v>89.9</v>
      </c>
      <c r="F200">
        <v>104</v>
      </c>
      <c r="G200" s="6">
        <v>92.4</v>
      </c>
      <c r="H200">
        <v>106.4</v>
      </c>
      <c r="I200">
        <v>87.4</v>
      </c>
      <c r="J200">
        <v>413088</v>
      </c>
      <c r="K200">
        <v>1.3</v>
      </c>
      <c r="L200">
        <v>95.1</v>
      </c>
      <c r="M200" s="13">
        <v>43679</v>
      </c>
      <c r="O200" s="8">
        <v>2.4386120792158301E-2</v>
      </c>
      <c r="P200" s="2">
        <v>-1.3</v>
      </c>
    </row>
    <row r="201" spans="1:16" x14ac:dyDescent="0.2">
      <c r="A201" s="1">
        <v>42583</v>
      </c>
      <c r="B201" s="9" t="e">
        <v>#N/A</v>
      </c>
      <c r="C201" s="2" t="e">
        <v>#N/A</v>
      </c>
      <c r="D201" t="e">
        <v>#N/A</v>
      </c>
      <c r="E201" t="e">
        <v>#N/A</v>
      </c>
      <c r="F201">
        <v>105.6</v>
      </c>
      <c r="G201" s="6">
        <v>94.1</v>
      </c>
      <c r="H201">
        <v>105.7</v>
      </c>
      <c r="I201">
        <v>88</v>
      </c>
      <c r="J201" t="e">
        <v>#N/A</v>
      </c>
      <c r="K201">
        <v>1.1000000000000001</v>
      </c>
      <c r="L201">
        <v>94.3</v>
      </c>
      <c r="M201" s="13">
        <v>43759</v>
      </c>
      <c r="O201" s="8">
        <v>-7.7399951300858296E-3</v>
      </c>
      <c r="P201" s="2">
        <v>-1.3</v>
      </c>
    </row>
    <row r="202" spans="1:16" x14ac:dyDescent="0.2">
      <c r="A202" s="1">
        <v>42614</v>
      </c>
      <c r="B202" s="9" t="e">
        <v>#N/A</v>
      </c>
      <c r="C202" s="2" t="e">
        <v>#N/A</v>
      </c>
      <c r="D202" t="e">
        <v>#N/A</v>
      </c>
      <c r="E202" t="e">
        <v>#N/A</v>
      </c>
      <c r="F202">
        <v>105.4</v>
      </c>
      <c r="G202" s="6">
        <v>94.2</v>
      </c>
      <c r="H202">
        <v>106.7</v>
      </c>
      <c r="I202">
        <v>86.8</v>
      </c>
      <c r="J202" t="e">
        <v>#N/A</v>
      </c>
      <c r="K202">
        <v>1.1000000000000001</v>
      </c>
      <c r="L202">
        <v>94.9</v>
      </c>
      <c r="M202" s="13">
        <v>43829</v>
      </c>
      <c r="O202" s="8">
        <v>1.4544081581430401E-2</v>
      </c>
      <c r="P202" s="2">
        <v>-1.8</v>
      </c>
    </row>
    <row r="203" spans="1:16" x14ac:dyDescent="0.2">
      <c r="A203" s="1">
        <v>42644</v>
      </c>
      <c r="B203" s="9">
        <v>373178</v>
      </c>
      <c r="C203" s="2">
        <v>456755</v>
      </c>
      <c r="D203">
        <v>101.1</v>
      </c>
      <c r="E203">
        <v>89.8</v>
      </c>
      <c r="F203">
        <v>106</v>
      </c>
      <c r="G203" s="7">
        <v>95</v>
      </c>
      <c r="H203">
        <v>107.5</v>
      </c>
      <c r="I203">
        <v>89.5</v>
      </c>
      <c r="J203">
        <v>417797</v>
      </c>
      <c r="K203">
        <v>1</v>
      </c>
      <c r="L203">
        <v>96.2</v>
      </c>
      <c r="M203" s="13">
        <v>43868</v>
      </c>
      <c r="O203" s="8">
        <v>-2.3196069444981799E-3</v>
      </c>
      <c r="P203" s="2">
        <v>-1.8</v>
      </c>
    </row>
    <row r="204" spans="1:16" x14ac:dyDescent="0.2">
      <c r="A204" s="1">
        <v>42675</v>
      </c>
      <c r="B204" s="9" t="e">
        <v>#N/A</v>
      </c>
      <c r="C204" s="2" t="e">
        <v>#N/A</v>
      </c>
      <c r="D204" t="e">
        <v>#N/A</v>
      </c>
      <c r="E204" t="e">
        <v>#N/A</v>
      </c>
      <c r="F204">
        <v>105.8</v>
      </c>
      <c r="G204" s="6">
        <v>95.2</v>
      </c>
      <c r="H204">
        <v>107.7</v>
      </c>
      <c r="I204">
        <v>88</v>
      </c>
      <c r="J204" t="e">
        <v>#N/A</v>
      </c>
      <c r="K204">
        <v>1.1000000000000001</v>
      </c>
      <c r="L204">
        <v>95.2</v>
      </c>
      <c r="M204" s="13">
        <v>43924</v>
      </c>
      <c r="O204" s="8">
        <v>7.6050023049042195E-2</v>
      </c>
      <c r="P204" s="2">
        <v>-1</v>
      </c>
    </row>
    <row r="205" spans="1:16" x14ac:dyDescent="0.2">
      <c r="A205" s="1">
        <v>42705</v>
      </c>
      <c r="B205" s="9" t="e">
        <v>#N/A</v>
      </c>
      <c r="C205" s="2" t="e">
        <v>#N/A</v>
      </c>
      <c r="D205" t="e">
        <v>#N/A</v>
      </c>
      <c r="E205" t="e">
        <v>#N/A</v>
      </c>
      <c r="F205">
        <v>103.4</v>
      </c>
      <c r="G205" s="6">
        <v>93.6</v>
      </c>
      <c r="H205">
        <v>109.1</v>
      </c>
      <c r="I205">
        <v>89.4</v>
      </c>
      <c r="J205" t="e">
        <v>#N/A</v>
      </c>
      <c r="K205">
        <v>1.5</v>
      </c>
      <c r="L205">
        <v>97.3</v>
      </c>
      <c r="M205" s="13">
        <v>43981</v>
      </c>
      <c r="O205" s="8">
        <v>4.7140450460680904E-3</v>
      </c>
      <c r="P205" s="2">
        <v>-0.2</v>
      </c>
    </row>
    <row r="206" spans="1:16" x14ac:dyDescent="0.2">
      <c r="A206" s="1">
        <v>42736</v>
      </c>
      <c r="B206" s="9">
        <v>379210</v>
      </c>
      <c r="C206" s="2">
        <v>404132</v>
      </c>
      <c r="D206">
        <v>101.3</v>
      </c>
      <c r="E206">
        <v>91</v>
      </c>
      <c r="F206">
        <v>105.2</v>
      </c>
      <c r="G206" s="6">
        <v>95.1</v>
      </c>
      <c r="H206">
        <v>108.9</v>
      </c>
      <c r="I206">
        <v>88.3</v>
      </c>
      <c r="J206">
        <v>419976</v>
      </c>
      <c r="K206">
        <v>1.3</v>
      </c>
      <c r="L206">
        <v>98.2</v>
      </c>
      <c r="M206" s="13">
        <v>43997</v>
      </c>
      <c r="O206" s="8">
        <v>2.55986740488847E-2</v>
      </c>
      <c r="P206" s="2">
        <v>0</v>
      </c>
    </row>
    <row r="207" spans="1:16" x14ac:dyDescent="0.2">
      <c r="A207" s="1">
        <v>42767</v>
      </c>
      <c r="B207" s="9" t="e">
        <v>#N/A</v>
      </c>
      <c r="C207" s="2" t="e">
        <v>#N/A</v>
      </c>
      <c r="D207" t="e">
        <v>#N/A</v>
      </c>
      <c r="E207" t="e">
        <v>#N/A</v>
      </c>
      <c r="F207">
        <v>106</v>
      </c>
      <c r="G207" s="6">
        <v>97.4</v>
      </c>
      <c r="H207">
        <v>108.5</v>
      </c>
      <c r="I207">
        <v>88.6</v>
      </c>
      <c r="J207" t="e">
        <v>#N/A</v>
      </c>
      <c r="K207">
        <v>1.6</v>
      </c>
      <c r="L207">
        <v>98.4</v>
      </c>
      <c r="M207" s="13">
        <v>44045</v>
      </c>
      <c r="O207" s="8">
        <v>3.9633663532784497E-2</v>
      </c>
      <c r="P207" s="2">
        <v>-2</v>
      </c>
    </row>
    <row r="208" spans="1:16" x14ac:dyDescent="0.2">
      <c r="A208" s="1">
        <v>42795</v>
      </c>
      <c r="B208" s="9" t="e">
        <v>#N/A</v>
      </c>
      <c r="C208" s="2" t="e">
        <v>#N/A</v>
      </c>
      <c r="D208" t="e">
        <v>#N/A</v>
      </c>
      <c r="E208" t="e">
        <v>#N/A</v>
      </c>
      <c r="F208">
        <v>105.5</v>
      </c>
      <c r="G208" s="6">
        <v>97.3</v>
      </c>
      <c r="H208">
        <v>109.7</v>
      </c>
      <c r="I208">
        <v>91</v>
      </c>
      <c r="J208" t="e">
        <v>#N/A</v>
      </c>
      <c r="K208">
        <v>1.1000000000000001</v>
      </c>
      <c r="L208">
        <v>97.5</v>
      </c>
      <c r="M208" s="13">
        <v>44119</v>
      </c>
      <c r="O208" s="8">
        <v>1.0112021500111401E-2</v>
      </c>
      <c r="P208" s="2">
        <v>-0.8</v>
      </c>
    </row>
    <row r="209" spans="1:16" x14ac:dyDescent="0.2">
      <c r="A209" s="1">
        <v>42826</v>
      </c>
      <c r="B209" s="9">
        <v>379519</v>
      </c>
      <c r="C209" s="2">
        <v>423329</v>
      </c>
      <c r="D209">
        <v>101.9</v>
      </c>
      <c r="E209">
        <v>91.4</v>
      </c>
      <c r="F209">
        <v>107.5</v>
      </c>
      <c r="G209" s="6">
        <v>98.9</v>
      </c>
      <c r="H209">
        <v>111.3</v>
      </c>
      <c r="I209">
        <v>89.8</v>
      </c>
      <c r="J209">
        <v>426051</v>
      </c>
      <c r="K209">
        <v>1.7</v>
      </c>
      <c r="L209">
        <v>98.3</v>
      </c>
      <c r="M209" s="13">
        <v>44162</v>
      </c>
      <c r="O209" s="8">
        <v>1.41342164371014E-2</v>
      </c>
      <c r="P209" s="2">
        <v>0.5</v>
      </c>
    </row>
    <row r="210" spans="1:16" x14ac:dyDescent="0.2">
      <c r="A210" s="1">
        <v>42856</v>
      </c>
      <c r="B210" s="9" t="e">
        <v>#N/A</v>
      </c>
      <c r="C210" s="2" t="e">
        <v>#N/A</v>
      </c>
      <c r="D210" t="e">
        <v>#N/A</v>
      </c>
      <c r="E210" t="e">
        <v>#N/A</v>
      </c>
      <c r="F210">
        <v>107.8</v>
      </c>
      <c r="G210" s="6">
        <v>98.7</v>
      </c>
      <c r="H210">
        <v>110.6</v>
      </c>
      <c r="I210">
        <v>90.5</v>
      </c>
      <c r="J210" t="e">
        <v>#N/A</v>
      </c>
      <c r="K210">
        <v>1.3</v>
      </c>
      <c r="L210">
        <v>96.9</v>
      </c>
      <c r="M210" s="13">
        <v>44210</v>
      </c>
      <c r="O210" s="8">
        <v>-2.3251838565112599E-2</v>
      </c>
      <c r="P210" s="2">
        <v>1.3</v>
      </c>
    </row>
    <row r="211" spans="1:16" x14ac:dyDescent="0.2">
      <c r="A211" s="1">
        <v>42887</v>
      </c>
      <c r="B211" s="9" t="e">
        <v>#N/A</v>
      </c>
      <c r="C211" s="2" t="e">
        <v>#N/A</v>
      </c>
      <c r="D211" t="e">
        <v>#N/A</v>
      </c>
      <c r="E211" t="e">
        <v>#N/A</v>
      </c>
      <c r="F211">
        <v>107.7</v>
      </c>
      <c r="G211" s="6">
        <v>99.2</v>
      </c>
      <c r="H211">
        <v>112.1</v>
      </c>
      <c r="I211">
        <v>90.7</v>
      </c>
      <c r="J211" t="e">
        <v>#N/A</v>
      </c>
      <c r="K211">
        <v>1.9</v>
      </c>
      <c r="L211">
        <v>96.1</v>
      </c>
      <c r="M211" s="13">
        <v>44284</v>
      </c>
      <c r="O211" s="8">
        <v>-1.6926884920629E-2</v>
      </c>
      <c r="P211" s="2">
        <v>2.4</v>
      </c>
    </row>
    <row r="212" spans="1:16" x14ac:dyDescent="0.2">
      <c r="A212" s="1">
        <v>42917</v>
      </c>
      <c r="B212" s="9">
        <v>383562</v>
      </c>
      <c r="C212" s="2">
        <v>427573</v>
      </c>
      <c r="D212">
        <v>102.4</v>
      </c>
      <c r="E212">
        <v>91.8</v>
      </c>
      <c r="F212">
        <v>108.2</v>
      </c>
      <c r="G212" s="6">
        <v>99.3</v>
      </c>
      <c r="H212">
        <v>112.9</v>
      </c>
      <c r="I212">
        <v>90.6</v>
      </c>
      <c r="J212">
        <v>428042</v>
      </c>
      <c r="K212">
        <v>1.8</v>
      </c>
      <c r="L212">
        <v>95.9</v>
      </c>
      <c r="M212" s="13">
        <v>44336</v>
      </c>
      <c r="O212" s="8">
        <v>-5.1634039015926404E-3</v>
      </c>
      <c r="P212" s="2">
        <v>2.2999999999999998</v>
      </c>
    </row>
    <row r="213" spans="1:16" x14ac:dyDescent="0.2">
      <c r="A213" s="1">
        <v>42948</v>
      </c>
      <c r="B213" s="9" t="e">
        <v>#N/A</v>
      </c>
      <c r="C213" s="2" t="e">
        <v>#N/A</v>
      </c>
      <c r="D213" t="e">
        <v>#N/A</v>
      </c>
      <c r="E213" t="e">
        <v>#N/A</v>
      </c>
      <c r="F213">
        <v>110.6</v>
      </c>
      <c r="G213" s="6">
        <v>101.6</v>
      </c>
      <c r="H213">
        <v>112</v>
      </c>
      <c r="I213">
        <v>90.4</v>
      </c>
      <c r="J213" t="e">
        <v>#N/A</v>
      </c>
      <c r="K213">
        <v>1.9</v>
      </c>
      <c r="L213">
        <v>96.3</v>
      </c>
      <c r="M213" s="13">
        <v>44379</v>
      </c>
      <c r="O213" s="8">
        <v>6.21481709604765E-2</v>
      </c>
      <c r="P213" s="2">
        <v>1.1000000000000001</v>
      </c>
    </row>
    <row r="214" spans="1:16" x14ac:dyDescent="0.2">
      <c r="A214" s="1">
        <v>42979</v>
      </c>
      <c r="B214" s="9" t="e">
        <v>#N/A</v>
      </c>
      <c r="C214" s="2" t="e">
        <v>#N/A</v>
      </c>
      <c r="D214" t="e">
        <v>#N/A</v>
      </c>
      <c r="E214" t="e">
        <v>#N/A</v>
      </c>
      <c r="F214">
        <v>109.6</v>
      </c>
      <c r="G214" s="6">
        <v>101.3</v>
      </c>
      <c r="H214">
        <v>112.4</v>
      </c>
      <c r="I214">
        <v>91.9</v>
      </c>
      <c r="J214" t="e">
        <v>#N/A</v>
      </c>
      <c r="K214">
        <v>1.8</v>
      </c>
      <c r="L214">
        <v>97.5</v>
      </c>
      <c r="M214" s="13">
        <v>44423</v>
      </c>
      <c r="O214" s="8">
        <v>3.0757151494398699E-2</v>
      </c>
      <c r="P214" s="2">
        <v>0.9</v>
      </c>
    </row>
    <row r="215" spans="1:16" x14ac:dyDescent="0.2">
      <c r="A215" s="1">
        <v>43009</v>
      </c>
      <c r="B215" s="9">
        <v>386833</v>
      </c>
      <c r="C215" s="2">
        <v>477353</v>
      </c>
      <c r="D215">
        <v>102.7</v>
      </c>
      <c r="E215">
        <v>92.6</v>
      </c>
      <c r="F215">
        <v>108</v>
      </c>
      <c r="G215" s="6">
        <v>99.8</v>
      </c>
      <c r="H215">
        <v>113.6</v>
      </c>
      <c r="I215">
        <v>89</v>
      </c>
      <c r="J215">
        <v>431704</v>
      </c>
      <c r="K215">
        <v>1.5</v>
      </c>
      <c r="L215">
        <v>97.4</v>
      </c>
      <c r="M215" s="13">
        <v>44451</v>
      </c>
      <c r="O215" s="8">
        <v>-1.5662189706576499E-2</v>
      </c>
      <c r="P215" s="2">
        <v>1.8</v>
      </c>
    </row>
    <row r="216" spans="1:16" x14ac:dyDescent="0.2">
      <c r="A216" s="1">
        <v>43040</v>
      </c>
      <c r="B216" s="9" t="e">
        <v>#N/A</v>
      </c>
      <c r="C216" s="2" t="e">
        <v>#N/A</v>
      </c>
      <c r="D216" t="e">
        <v>#N/A</v>
      </c>
      <c r="E216" t="e">
        <v>#N/A</v>
      </c>
      <c r="F216">
        <v>111.8</v>
      </c>
      <c r="G216" s="6">
        <v>103.4</v>
      </c>
      <c r="H216">
        <v>114</v>
      </c>
      <c r="I216">
        <v>91.4</v>
      </c>
      <c r="J216" t="e">
        <v>#N/A</v>
      </c>
      <c r="K216">
        <v>1.6</v>
      </c>
      <c r="L216">
        <v>98.7</v>
      </c>
      <c r="M216" s="13">
        <v>44515</v>
      </c>
      <c r="O216" s="8">
        <v>-8.1985177085393008E-3</v>
      </c>
      <c r="P216" s="2">
        <v>1.6</v>
      </c>
    </row>
    <row r="217" spans="1:16" x14ac:dyDescent="0.2">
      <c r="A217" s="1">
        <v>43070</v>
      </c>
      <c r="B217" s="9" t="e">
        <v>#N/A</v>
      </c>
      <c r="C217" s="2" t="e">
        <v>#N/A</v>
      </c>
      <c r="D217" t="e">
        <v>#N/A</v>
      </c>
      <c r="E217" t="e">
        <v>#N/A</v>
      </c>
      <c r="F217">
        <v>111</v>
      </c>
      <c r="G217" s="6">
        <v>102.9</v>
      </c>
      <c r="H217">
        <v>114.8</v>
      </c>
      <c r="I217">
        <v>92.7</v>
      </c>
      <c r="J217" t="e">
        <v>#N/A</v>
      </c>
      <c r="K217">
        <v>1.5</v>
      </c>
      <c r="L217">
        <v>98.5</v>
      </c>
      <c r="M217" s="13">
        <v>44573</v>
      </c>
      <c r="O217" s="8">
        <v>2.0825785770625799E-2</v>
      </c>
      <c r="P217" s="2">
        <v>1.6</v>
      </c>
    </row>
    <row r="218" spans="1:16" x14ac:dyDescent="0.2">
      <c r="A218" s="1">
        <v>43101</v>
      </c>
      <c r="B218" s="9">
        <v>394459</v>
      </c>
      <c r="C218" s="2">
        <v>423703</v>
      </c>
      <c r="D218">
        <v>101.9</v>
      </c>
      <c r="E218">
        <v>93.4</v>
      </c>
      <c r="F218">
        <v>110.2</v>
      </c>
      <c r="G218" s="6">
        <v>101.9</v>
      </c>
      <c r="H218">
        <v>115.2</v>
      </c>
      <c r="I218">
        <v>90.8</v>
      </c>
      <c r="J218">
        <v>433891</v>
      </c>
      <c r="K218">
        <v>1.5</v>
      </c>
      <c r="L218">
        <v>98.9</v>
      </c>
      <c r="M218" s="13">
        <v>44659</v>
      </c>
      <c r="O218" s="8">
        <v>-5.8836178729487501E-2</v>
      </c>
      <c r="P218" s="2">
        <v>2.8</v>
      </c>
    </row>
    <row r="219" spans="1:16" x14ac:dyDescent="0.2">
      <c r="A219" s="1">
        <v>43132</v>
      </c>
      <c r="B219" s="9" t="e">
        <v>#N/A</v>
      </c>
      <c r="C219" s="2" t="e">
        <v>#N/A</v>
      </c>
      <c r="D219" t="e">
        <v>#N/A</v>
      </c>
      <c r="E219" t="e">
        <v>#N/A</v>
      </c>
      <c r="F219">
        <v>108.4</v>
      </c>
      <c r="G219" s="6">
        <v>100.3</v>
      </c>
      <c r="H219">
        <v>114.1</v>
      </c>
      <c r="I219">
        <v>89.8</v>
      </c>
      <c r="J219" t="e">
        <v>#N/A</v>
      </c>
      <c r="K219">
        <v>1.3</v>
      </c>
      <c r="L219">
        <v>98.5</v>
      </c>
      <c r="M219" s="13">
        <v>44686</v>
      </c>
      <c r="O219" s="8">
        <v>-2.76481920609708E-2</v>
      </c>
      <c r="P219" s="2">
        <v>2.6</v>
      </c>
    </row>
    <row r="220" spans="1:16" x14ac:dyDescent="0.2">
      <c r="A220" s="1">
        <v>43160</v>
      </c>
      <c r="B220" s="9" t="e">
        <v>#N/A</v>
      </c>
      <c r="C220" s="2" t="e">
        <v>#N/A</v>
      </c>
      <c r="D220" t="e">
        <v>#N/A</v>
      </c>
      <c r="E220" t="e">
        <v>#N/A</v>
      </c>
      <c r="F220">
        <v>110.1</v>
      </c>
      <c r="G220" s="6">
        <v>101.7</v>
      </c>
      <c r="H220">
        <v>112.6</v>
      </c>
      <c r="I220">
        <v>91.4</v>
      </c>
      <c r="J220" t="e">
        <v>#N/A</v>
      </c>
      <c r="K220">
        <v>1.8</v>
      </c>
      <c r="L220">
        <v>97.9</v>
      </c>
      <c r="M220" s="13">
        <v>44730</v>
      </c>
      <c r="O220" s="8">
        <v>4.1722284476579198E-2</v>
      </c>
      <c r="P220" s="2">
        <v>1.8</v>
      </c>
    </row>
    <row r="221" spans="1:16" x14ac:dyDescent="0.2">
      <c r="A221" s="1">
        <v>43191</v>
      </c>
      <c r="B221" s="9">
        <v>402160</v>
      </c>
      <c r="C221" s="2">
        <v>443495</v>
      </c>
      <c r="D221">
        <v>103.1</v>
      </c>
      <c r="E221">
        <v>93.9</v>
      </c>
      <c r="F221">
        <v>109.5</v>
      </c>
      <c r="G221" s="6">
        <v>102.1</v>
      </c>
      <c r="H221">
        <v>112.6</v>
      </c>
      <c r="I221">
        <v>93.3</v>
      </c>
      <c r="J221">
        <v>438477</v>
      </c>
      <c r="K221">
        <v>1.3</v>
      </c>
      <c r="L221">
        <v>99.5</v>
      </c>
      <c r="M221" s="13">
        <v>44784</v>
      </c>
      <c r="O221" s="8">
        <v>-5.7268535689125599E-4</v>
      </c>
      <c r="P221" s="2">
        <v>1.5</v>
      </c>
    </row>
    <row r="222" spans="1:16" x14ac:dyDescent="0.2">
      <c r="A222" s="1">
        <v>43221</v>
      </c>
      <c r="B222" s="9" t="e">
        <v>#N/A</v>
      </c>
      <c r="C222" s="2" t="e">
        <v>#N/A</v>
      </c>
      <c r="D222" t="e">
        <v>#N/A</v>
      </c>
      <c r="E222" t="e">
        <v>#N/A</v>
      </c>
      <c r="F222">
        <v>111.1</v>
      </c>
      <c r="G222" s="7">
        <v>103</v>
      </c>
      <c r="H222">
        <v>112.2</v>
      </c>
      <c r="I222">
        <v>91.7</v>
      </c>
      <c r="J222" t="e">
        <v>#N/A</v>
      </c>
      <c r="K222">
        <v>2</v>
      </c>
      <c r="L222">
        <v>101.9</v>
      </c>
      <c r="M222" s="13">
        <v>44847</v>
      </c>
      <c r="O222" s="8">
        <v>-2.3997857696789599E-2</v>
      </c>
      <c r="P222" s="2">
        <v>1.2</v>
      </c>
    </row>
    <row r="223" spans="1:16" x14ac:dyDescent="0.2">
      <c r="A223" s="1">
        <v>43252</v>
      </c>
      <c r="B223" s="9" t="e">
        <v>#N/A</v>
      </c>
      <c r="C223" s="2" t="e">
        <v>#N/A</v>
      </c>
      <c r="D223" t="e">
        <v>#N/A</v>
      </c>
      <c r="E223" t="e">
        <v>#N/A</v>
      </c>
      <c r="F223">
        <v>110.8</v>
      </c>
      <c r="G223" s="6">
        <v>103.2</v>
      </c>
      <c r="H223">
        <v>111.9</v>
      </c>
      <c r="I223">
        <v>92.6</v>
      </c>
      <c r="J223" t="e">
        <v>#N/A</v>
      </c>
      <c r="K223">
        <v>1.5</v>
      </c>
      <c r="L223">
        <v>102.4</v>
      </c>
      <c r="M223" s="13">
        <v>44871</v>
      </c>
      <c r="O223" s="8">
        <v>3.9787817818036003E-2</v>
      </c>
      <c r="P223" s="2">
        <v>1.1000000000000001</v>
      </c>
    </row>
    <row r="224" spans="1:16" x14ac:dyDescent="0.2">
      <c r="A224" s="1">
        <v>43282</v>
      </c>
      <c r="B224" s="9">
        <v>400832</v>
      </c>
      <c r="C224" s="2">
        <v>449750</v>
      </c>
      <c r="D224">
        <v>103</v>
      </c>
      <c r="E224">
        <v>94.9</v>
      </c>
      <c r="F224">
        <v>108.8</v>
      </c>
      <c r="G224" s="6">
        <v>101.6</v>
      </c>
      <c r="H224">
        <v>112.7</v>
      </c>
      <c r="I224">
        <v>92.2</v>
      </c>
      <c r="J224">
        <v>441238</v>
      </c>
      <c r="K224">
        <v>1.6</v>
      </c>
      <c r="L224">
        <v>102.3</v>
      </c>
      <c r="M224" s="13">
        <v>44913</v>
      </c>
      <c r="O224" s="8">
        <v>-3.5080923832737199E-2</v>
      </c>
      <c r="P224" s="2">
        <v>-0.4</v>
      </c>
    </row>
    <row r="225" spans="1:16" x14ac:dyDescent="0.2">
      <c r="A225" s="1">
        <v>43313</v>
      </c>
      <c r="B225" s="9" t="e">
        <v>#N/A</v>
      </c>
      <c r="C225" s="2" t="e">
        <v>#N/A</v>
      </c>
      <c r="D225" t="e">
        <v>#N/A</v>
      </c>
      <c r="E225" t="e">
        <v>#N/A</v>
      </c>
      <c r="F225">
        <v>110.3</v>
      </c>
      <c r="G225" s="6">
        <v>102.5</v>
      </c>
      <c r="H225">
        <v>112.4</v>
      </c>
      <c r="I225">
        <v>92.2</v>
      </c>
      <c r="J225" t="e">
        <v>#N/A</v>
      </c>
      <c r="K225">
        <v>1.5</v>
      </c>
      <c r="L225">
        <v>103.1</v>
      </c>
      <c r="M225" s="13">
        <v>44963</v>
      </c>
      <c r="O225" s="8">
        <v>-9.5348414473441796E-3</v>
      </c>
      <c r="P225" s="2">
        <v>0.4</v>
      </c>
    </row>
    <row r="226" spans="1:16" x14ac:dyDescent="0.2">
      <c r="A226" s="1">
        <v>43344</v>
      </c>
      <c r="B226" s="9" t="e">
        <v>#N/A</v>
      </c>
      <c r="C226" s="2" t="e">
        <v>#N/A</v>
      </c>
      <c r="D226" t="e">
        <v>#N/A</v>
      </c>
      <c r="E226" t="e">
        <v>#N/A</v>
      </c>
      <c r="F226">
        <v>109.1</v>
      </c>
      <c r="G226" s="6">
        <v>101.3</v>
      </c>
      <c r="H226">
        <v>112.5</v>
      </c>
      <c r="I226">
        <v>92.2</v>
      </c>
      <c r="J226" t="e">
        <v>#N/A</v>
      </c>
      <c r="K226">
        <v>1.5</v>
      </c>
      <c r="L226">
        <v>105.1</v>
      </c>
      <c r="M226" s="13">
        <v>44962</v>
      </c>
      <c r="O226" s="8">
        <v>-6.7486782228227696E-2</v>
      </c>
      <c r="P226" s="2">
        <v>0.4</v>
      </c>
    </row>
    <row r="227" spans="1:16" x14ac:dyDescent="0.2">
      <c r="A227" s="1">
        <v>43374</v>
      </c>
      <c r="B227" s="9">
        <v>400544</v>
      </c>
      <c r="C227" s="2">
        <v>499154</v>
      </c>
      <c r="D227">
        <v>103.6</v>
      </c>
      <c r="E227">
        <v>95.4</v>
      </c>
      <c r="F227">
        <v>108.7</v>
      </c>
      <c r="G227" s="6">
        <v>101.7</v>
      </c>
      <c r="H227">
        <v>111.1</v>
      </c>
      <c r="I227">
        <v>92.5</v>
      </c>
      <c r="J227">
        <v>445881</v>
      </c>
      <c r="K227">
        <v>1.9</v>
      </c>
      <c r="L227">
        <v>106.1</v>
      </c>
      <c r="M227" s="13">
        <v>45002</v>
      </c>
      <c r="O227" s="8">
        <v>-1.67607205951796E-2</v>
      </c>
      <c r="P227" s="2">
        <v>-0.1</v>
      </c>
    </row>
    <row r="228" spans="1:16" x14ac:dyDescent="0.2">
      <c r="A228" s="1">
        <v>43405</v>
      </c>
      <c r="B228" s="9" t="e">
        <v>#N/A</v>
      </c>
      <c r="C228" s="2" t="e">
        <v>#N/A</v>
      </c>
      <c r="D228" t="e">
        <v>#N/A</v>
      </c>
      <c r="E228" t="e">
        <v>#N/A</v>
      </c>
      <c r="F228">
        <v>106.8</v>
      </c>
      <c r="G228" s="6">
        <v>99.7</v>
      </c>
      <c r="H228">
        <v>112</v>
      </c>
      <c r="I228">
        <v>92.7</v>
      </c>
      <c r="J228" t="e">
        <v>#N/A</v>
      </c>
      <c r="K228">
        <v>1.3</v>
      </c>
      <c r="L228">
        <v>108</v>
      </c>
      <c r="M228" s="13">
        <v>45056</v>
      </c>
      <c r="O228" s="8">
        <v>-6.4036713152630001E-2</v>
      </c>
      <c r="P228" s="2">
        <v>-0.1</v>
      </c>
    </row>
    <row r="229" spans="1:16" x14ac:dyDescent="0.2">
      <c r="A229" s="1">
        <v>43435</v>
      </c>
      <c r="B229" s="9" t="e">
        <v>#N/A</v>
      </c>
      <c r="C229" s="2" t="e">
        <v>#N/A</v>
      </c>
      <c r="D229" t="e">
        <v>#N/A</v>
      </c>
      <c r="E229" t="e">
        <v>#N/A</v>
      </c>
      <c r="F229">
        <v>107.9</v>
      </c>
      <c r="G229" s="6">
        <v>102.3</v>
      </c>
      <c r="H229">
        <v>109.9</v>
      </c>
      <c r="I229">
        <v>92.7</v>
      </c>
      <c r="J229" t="e">
        <v>#N/A</v>
      </c>
      <c r="K229">
        <v>1.3</v>
      </c>
      <c r="L229">
        <v>103.5</v>
      </c>
      <c r="M229" s="13">
        <v>45087</v>
      </c>
      <c r="O229" s="8">
        <v>5.6534283831409099E-2</v>
      </c>
      <c r="P229" s="2">
        <v>-0.7</v>
      </c>
    </row>
    <row r="230" spans="1:16" x14ac:dyDescent="0.2">
      <c r="A230" s="1">
        <v>43466</v>
      </c>
      <c r="B230" s="9">
        <v>408289</v>
      </c>
      <c r="C230" s="2">
        <v>444425</v>
      </c>
      <c r="D230">
        <v>103.3</v>
      </c>
      <c r="E230">
        <v>95.5</v>
      </c>
      <c r="F230">
        <v>107.7</v>
      </c>
      <c r="G230" s="6">
        <v>102.9</v>
      </c>
      <c r="H230">
        <v>108.7</v>
      </c>
      <c r="I230">
        <v>94.1</v>
      </c>
      <c r="J230">
        <v>447334</v>
      </c>
      <c r="K230">
        <v>1.7</v>
      </c>
      <c r="L230">
        <v>101.5</v>
      </c>
      <c r="M230" s="13">
        <v>45131</v>
      </c>
      <c r="O230" s="8">
        <v>3.0197012166079101E-2</v>
      </c>
      <c r="P230" s="2">
        <v>-0.1</v>
      </c>
    </row>
    <row r="231" spans="1:16" x14ac:dyDescent="0.2">
      <c r="A231" s="1">
        <v>43497</v>
      </c>
      <c r="B231" s="9" t="e">
        <v>#N/A</v>
      </c>
      <c r="C231" s="2" t="e">
        <v>#N/A</v>
      </c>
      <c r="D231" t="e">
        <v>#N/A</v>
      </c>
      <c r="E231" t="e">
        <v>#N/A</v>
      </c>
      <c r="F231">
        <v>107.1</v>
      </c>
      <c r="G231" s="6">
        <v>101.8</v>
      </c>
      <c r="H231">
        <v>108.1</v>
      </c>
      <c r="I231">
        <v>94.1</v>
      </c>
      <c r="J231" t="e">
        <v>#N/A</v>
      </c>
      <c r="K231">
        <v>1.6</v>
      </c>
      <c r="L231">
        <v>101.7</v>
      </c>
      <c r="M231" s="13">
        <v>45170</v>
      </c>
      <c r="O231" s="8">
        <v>9.0274593453010298E-4</v>
      </c>
      <c r="P231" s="2">
        <v>-0.4</v>
      </c>
    </row>
    <row r="232" spans="1:16" x14ac:dyDescent="0.2">
      <c r="A232" s="1">
        <v>43525</v>
      </c>
      <c r="B232" s="9" t="e">
        <v>#N/A</v>
      </c>
      <c r="C232" s="2" t="e">
        <v>#N/A</v>
      </c>
      <c r="D232" t="e">
        <v>#N/A</v>
      </c>
      <c r="E232" t="e">
        <v>#N/A</v>
      </c>
      <c r="F232">
        <v>108.2</v>
      </c>
      <c r="G232" s="6">
        <v>102.9</v>
      </c>
      <c r="H232">
        <v>106.6</v>
      </c>
      <c r="I232">
        <v>94.9</v>
      </c>
      <c r="J232" t="e">
        <v>#N/A</v>
      </c>
      <c r="K232">
        <v>1.1000000000000001</v>
      </c>
      <c r="L232">
        <v>102.4</v>
      </c>
      <c r="M232" s="13">
        <v>45213</v>
      </c>
      <c r="O232" s="8">
        <v>6.85677754379697E-2</v>
      </c>
      <c r="P232" s="2">
        <v>0</v>
      </c>
    </row>
    <row r="233" spans="1:16" x14ac:dyDescent="0.2">
      <c r="A233" s="1">
        <v>43556</v>
      </c>
      <c r="B233" s="9">
        <v>417622</v>
      </c>
      <c r="C233" s="2">
        <v>464823</v>
      </c>
      <c r="D233">
        <v>102.8</v>
      </c>
      <c r="E233">
        <v>97.5</v>
      </c>
      <c r="F233">
        <v>106.7</v>
      </c>
      <c r="G233" s="7">
        <v>102</v>
      </c>
      <c r="H233">
        <v>105.6</v>
      </c>
      <c r="I233">
        <v>95</v>
      </c>
      <c r="J233">
        <v>453372</v>
      </c>
      <c r="K233">
        <v>1.8</v>
      </c>
      <c r="L233">
        <v>104.4</v>
      </c>
      <c r="M233" s="13">
        <v>45270</v>
      </c>
      <c r="O233" s="8">
        <v>-5.1296383916635997E-2</v>
      </c>
      <c r="P233" s="2">
        <v>-0.2</v>
      </c>
    </row>
    <row r="234" spans="1:16" x14ac:dyDescent="0.2">
      <c r="A234" s="1">
        <v>43586</v>
      </c>
      <c r="B234" s="9" t="e">
        <v>#N/A</v>
      </c>
      <c r="C234" s="2" t="e">
        <v>#N/A</v>
      </c>
      <c r="D234" t="e">
        <v>#N/A</v>
      </c>
      <c r="E234" t="e">
        <v>#N/A</v>
      </c>
      <c r="F234">
        <v>107.1</v>
      </c>
      <c r="G234" s="7">
        <v>101</v>
      </c>
      <c r="H234">
        <v>105.6</v>
      </c>
      <c r="I234">
        <v>93.1</v>
      </c>
      <c r="J234" t="e">
        <v>#N/A</v>
      </c>
      <c r="K234">
        <v>1</v>
      </c>
      <c r="L234">
        <v>106.1</v>
      </c>
      <c r="M234" s="13">
        <v>45288</v>
      </c>
      <c r="O234" s="8">
        <v>5.57194596484187E-2</v>
      </c>
      <c r="P234" s="2">
        <v>-0.8</v>
      </c>
    </row>
    <row r="235" spans="1:16" x14ac:dyDescent="0.2">
      <c r="A235" s="1">
        <v>43617</v>
      </c>
      <c r="B235" s="9" t="e">
        <v>#N/A</v>
      </c>
      <c r="C235" s="2" t="e">
        <v>#N/A</v>
      </c>
      <c r="D235" t="e">
        <v>#N/A</v>
      </c>
      <c r="E235" t="e">
        <v>#N/A</v>
      </c>
      <c r="F235">
        <v>105.7</v>
      </c>
      <c r="G235" s="6">
        <v>100.7</v>
      </c>
      <c r="H235">
        <v>102.8</v>
      </c>
      <c r="I235">
        <v>96.4</v>
      </c>
      <c r="J235" t="e">
        <v>#N/A</v>
      </c>
      <c r="K235">
        <v>1.5</v>
      </c>
      <c r="L235">
        <v>104.9</v>
      </c>
      <c r="M235" s="13">
        <v>45285</v>
      </c>
      <c r="O235" s="8">
        <v>-1.70624874615601E-2</v>
      </c>
      <c r="P235" s="2">
        <v>-2.4</v>
      </c>
    </row>
    <row r="236" spans="1:16" x14ac:dyDescent="0.2">
      <c r="A236" s="1">
        <v>43647</v>
      </c>
      <c r="B236" s="9">
        <v>416270</v>
      </c>
      <c r="C236" s="2">
        <v>471520</v>
      </c>
      <c r="D236">
        <v>103.6</v>
      </c>
      <c r="E236">
        <v>97.8</v>
      </c>
      <c r="F236">
        <v>105.3</v>
      </c>
      <c r="G236" s="6">
        <v>99.9</v>
      </c>
      <c r="H236">
        <v>100.3</v>
      </c>
      <c r="I236">
        <v>95.3</v>
      </c>
      <c r="J236">
        <v>457785</v>
      </c>
      <c r="K236">
        <v>1.1000000000000001</v>
      </c>
      <c r="L236">
        <v>104.7</v>
      </c>
      <c r="M236" s="13">
        <v>45317</v>
      </c>
      <c r="O236" s="8">
        <v>-2.0703362979372E-2</v>
      </c>
      <c r="P236" s="2">
        <v>-2.7</v>
      </c>
    </row>
    <row r="237" spans="1:16" x14ac:dyDescent="0.2">
      <c r="A237" s="1">
        <v>43678</v>
      </c>
      <c r="B237" s="9" t="e">
        <v>#N/A</v>
      </c>
      <c r="C237" s="2" t="e">
        <v>#N/A</v>
      </c>
      <c r="D237" t="e">
        <v>#N/A</v>
      </c>
      <c r="E237" t="e">
        <v>#N/A</v>
      </c>
      <c r="F237">
        <v>105.7</v>
      </c>
      <c r="G237" s="7">
        <v>101</v>
      </c>
      <c r="H237">
        <v>100.3</v>
      </c>
      <c r="I237">
        <v>95.4</v>
      </c>
      <c r="J237" t="e">
        <v>#N/A</v>
      </c>
      <c r="K237">
        <v>1</v>
      </c>
      <c r="L237">
        <v>103.8</v>
      </c>
      <c r="M237" s="13">
        <v>45313</v>
      </c>
      <c r="O237" s="8">
        <v>4.0124607332764101E-2</v>
      </c>
      <c r="P237" s="2">
        <v>-4</v>
      </c>
    </row>
    <row r="238" spans="1:16" x14ac:dyDescent="0.2">
      <c r="A238" s="1">
        <v>43709</v>
      </c>
      <c r="B238" s="9" t="e">
        <v>#N/A</v>
      </c>
      <c r="C238" s="2" t="e">
        <v>#N/A</v>
      </c>
      <c r="D238" t="e">
        <v>#N/A</v>
      </c>
      <c r="E238" t="e">
        <v>#N/A</v>
      </c>
      <c r="F238">
        <v>104.7</v>
      </c>
      <c r="G238" s="6">
        <v>100.3</v>
      </c>
      <c r="H238">
        <v>99.7</v>
      </c>
      <c r="I238">
        <v>96</v>
      </c>
      <c r="J238" t="e">
        <v>#N/A</v>
      </c>
      <c r="K238">
        <v>1.2</v>
      </c>
      <c r="L238">
        <v>103.8</v>
      </c>
      <c r="M238" s="13">
        <v>45335</v>
      </c>
      <c r="O238" s="8">
        <v>3.4691141411061097E-2</v>
      </c>
      <c r="P238" s="2">
        <v>-2.6</v>
      </c>
    </row>
    <row r="239" spans="1:16" x14ac:dyDescent="0.2">
      <c r="A239" s="1">
        <v>43739</v>
      </c>
      <c r="B239" s="9">
        <v>415383</v>
      </c>
      <c r="C239" s="2">
        <v>518295</v>
      </c>
      <c r="D239">
        <v>103</v>
      </c>
      <c r="E239">
        <v>98.1</v>
      </c>
      <c r="F239">
        <v>104.1</v>
      </c>
      <c r="G239" s="6">
        <v>99.6</v>
      </c>
      <c r="H239">
        <v>99.6</v>
      </c>
      <c r="I239">
        <v>94.6</v>
      </c>
      <c r="J239">
        <v>457773</v>
      </c>
      <c r="K239">
        <v>1.2</v>
      </c>
      <c r="L239">
        <v>103.8</v>
      </c>
      <c r="M239" s="13">
        <v>45368</v>
      </c>
      <c r="O239" s="8">
        <v>2.8319514088868999E-2</v>
      </c>
      <c r="P239" s="2">
        <v>-4.7</v>
      </c>
    </row>
    <row r="240" spans="1:16" x14ac:dyDescent="0.2">
      <c r="A240" s="1">
        <v>43770</v>
      </c>
      <c r="B240" s="9" t="e">
        <v>#N/A</v>
      </c>
      <c r="C240" s="2" t="e">
        <v>#N/A</v>
      </c>
      <c r="D240" t="e">
        <v>#N/A</v>
      </c>
      <c r="E240" t="e">
        <v>#N/A</v>
      </c>
      <c r="F240">
        <v>104.5</v>
      </c>
      <c r="G240" s="6">
        <v>98.7</v>
      </c>
      <c r="H240">
        <v>101.1</v>
      </c>
      <c r="I240">
        <v>95.3</v>
      </c>
      <c r="J240" t="e">
        <v>#N/A</v>
      </c>
      <c r="K240">
        <v>1.8</v>
      </c>
      <c r="L240">
        <v>103.7</v>
      </c>
      <c r="M240" s="13">
        <v>45403</v>
      </c>
      <c r="O240" s="8">
        <v>9.5372459589704295E-4</v>
      </c>
      <c r="P240" s="2">
        <v>-2</v>
      </c>
    </row>
    <row r="241" spans="1:16" x14ac:dyDescent="0.2">
      <c r="A241" s="1">
        <v>43800</v>
      </c>
      <c r="B241" s="9" t="e">
        <v>#N/A</v>
      </c>
      <c r="C241" s="2" t="e">
        <v>#N/A</v>
      </c>
      <c r="D241" t="e">
        <v>#N/A</v>
      </c>
      <c r="E241" t="e">
        <v>#N/A</v>
      </c>
      <c r="F241">
        <v>102</v>
      </c>
      <c r="G241" s="6">
        <v>98.9</v>
      </c>
      <c r="H241">
        <v>101.7</v>
      </c>
      <c r="I241">
        <v>96.1</v>
      </c>
      <c r="J241" t="e">
        <v>#N/A</v>
      </c>
      <c r="K241">
        <v>1.8</v>
      </c>
      <c r="L241">
        <v>103.6</v>
      </c>
      <c r="M241" s="13">
        <v>45418</v>
      </c>
      <c r="O241" s="8">
        <v>-2.03613643159084E-2</v>
      </c>
      <c r="P241" s="2">
        <v>-3.7</v>
      </c>
    </row>
    <row r="242" spans="1:16" x14ac:dyDescent="0.2">
      <c r="A242" s="1">
        <v>43831</v>
      </c>
      <c r="B242" s="9">
        <v>420817</v>
      </c>
      <c r="C242" s="2">
        <v>457741</v>
      </c>
      <c r="D242">
        <v>101</v>
      </c>
      <c r="E242">
        <v>99.1</v>
      </c>
      <c r="F242">
        <v>105.1</v>
      </c>
      <c r="G242" s="6">
        <v>100.5</v>
      </c>
      <c r="H242">
        <v>103.5</v>
      </c>
      <c r="I242">
        <v>96.2</v>
      </c>
      <c r="J242">
        <v>439494</v>
      </c>
      <c r="K242">
        <v>1.4</v>
      </c>
      <c r="L242">
        <v>104.9</v>
      </c>
      <c r="M242" s="13">
        <v>45455</v>
      </c>
      <c r="O242" s="8">
        <v>-8.7834336735301805E-2</v>
      </c>
      <c r="P242" s="2">
        <v>-2.9</v>
      </c>
    </row>
    <row r="243" spans="1:16" x14ac:dyDescent="0.2">
      <c r="A243" s="1">
        <v>43862</v>
      </c>
      <c r="B243" s="9" t="e">
        <v>#N/A</v>
      </c>
      <c r="C243" s="2" t="e">
        <v>#N/A</v>
      </c>
      <c r="D243" t="e">
        <v>#N/A</v>
      </c>
      <c r="E243" t="e">
        <v>#N/A</v>
      </c>
      <c r="F243">
        <v>105.8</v>
      </c>
      <c r="G243" s="6">
        <v>100.7</v>
      </c>
      <c r="H243">
        <v>103.4</v>
      </c>
      <c r="I243">
        <v>96.6</v>
      </c>
      <c r="J243" t="e">
        <v>#N/A</v>
      </c>
      <c r="K243">
        <v>1.6</v>
      </c>
      <c r="L243">
        <v>103.9</v>
      </c>
      <c r="M243" s="13">
        <v>45466</v>
      </c>
      <c r="O243" s="8">
        <v>-0.17957870764244499</v>
      </c>
      <c r="P243" s="2">
        <v>-2.2999999999999998</v>
      </c>
    </row>
    <row r="244" spans="1:16" x14ac:dyDescent="0.2">
      <c r="A244" s="1">
        <v>43891</v>
      </c>
      <c r="B244" s="9" t="e">
        <v>#N/A</v>
      </c>
      <c r="C244" s="2" t="e">
        <v>#N/A</v>
      </c>
      <c r="D244" t="e">
        <v>#N/A</v>
      </c>
      <c r="E244" t="e">
        <v>#N/A</v>
      </c>
      <c r="F244">
        <v>95</v>
      </c>
      <c r="G244" s="7">
        <v>91</v>
      </c>
      <c r="H244">
        <v>91.2</v>
      </c>
      <c r="I244">
        <v>95.8</v>
      </c>
      <c r="J244" t="e">
        <v>#N/A</v>
      </c>
      <c r="K244">
        <v>1.5</v>
      </c>
      <c r="L244">
        <v>101.6</v>
      </c>
      <c r="M244" s="13">
        <v>45344</v>
      </c>
      <c r="O244" s="8">
        <v>8.9088877352494905E-2</v>
      </c>
      <c r="P244" s="2">
        <v>-8.1999999999999993</v>
      </c>
    </row>
    <row r="245" spans="1:16" x14ac:dyDescent="0.2">
      <c r="A245" s="1">
        <v>43922</v>
      </c>
      <c r="B245" s="9">
        <v>385932</v>
      </c>
      <c r="C245" s="2">
        <v>449524</v>
      </c>
      <c r="D245">
        <v>94.7</v>
      </c>
      <c r="E245">
        <v>99.1</v>
      </c>
      <c r="F245">
        <v>74.7</v>
      </c>
      <c r="G245" s="6">
        <v>68.7</v>
      </c>
      <c r="H245">
        <v>66.8</v>
      </c>
      <c r="I245">
        <v>90.5</v>
      </c>
      <c r="J245">
        <v>393481</v>
      </c>
      <c r="K245">
        <v>1.6</v>
      </c>
      <c r="L245">
        <v>98.6</v>
      </c>
      <c r="M245" s="13">
        <v>44985</v>
      </c>
      <c r="O245" s="8">
        <v>6.4633517047441899E-2</v>
      </c>
      <c r="P245" s="2">
        <v>-18.100000000000001</v>
      </c>
    </row>
    <row r="246" spans="1:16" x14ac:dyDescent="0.2">
      <c r="A246" s="1">
        <v>43952</v>
      </c>
      <c r="B246" s="9" t="e">
        <v>#N/A</v>
      </c>
      <c r="C246" s="2" t="e">
        <v>#N/A</v>
      </c>
      <c r="D246" t="e">
        <v>#N/A</v>
      </c>
      <c r="E246" t="e">
        <v>#N/A</v>
      </c>
      <c r="F246">
        <v>83.1</v>
      </c>
      <c r="G246" s="6">
        <v>75.8</v>
      </c>
      <c r="H246">
        <v>72.099999999999994</v>
      </c>
      <c r="I246">
        <v>100.8</v>
      </c>
      <c r="J246" t="e">
        <v>#N/A</v>
      </c>
      <c r="K246">
        <v>1.6</v>
      </c>
      <c r="L246">
        <v>97.4</v>
      </c>
      <c r="M246" s="13">
        <v>44750</v>
      </c>
      <c r="O246" s="8">
        <v>6.0616659617544102E-2</v>
      </c>
      <c r="P246" s="2">
        <v>-15.5</v>
      </c>
    </row>
    <row r="247" spans="1:16" x14ac:dyDescent="0.2">
      <c r="A247" s="1">
        <v>43983</v>
      </c>
      <c r="B247" s="9" t="e">
        <v>#N/A</v>
      </c>
      <c r="C247" s="2" t="e">
        <v>#N/A</v>
      </c>
      <c r="D247" t="e">
        <v>#N/A</v>
      </c>
      <c r="E247" t="e">
        <v>#N/A</v>
      </c>
      <c r="F247">
        <v>92.6</v>
      </c>
      <c r="G247" s="6">
        <v>86.2</v>
      </c>
      <c r="H247">
        <v>81.599999999999994</v>
      </c>
      <c r="I247">
        <v>100.9</v>
      </c>
      <c r="J247" t="e">
        <v>#N/A</v>
      </c>
      <c r="K247">
        <v>1.6</v>
      </c>
      <c r="L247">
        <v>98.7</v>
      </c>
      <c r="M247" s="13">
        <v>44716</v>
      </c>
      <c r="O247" s="8">
        <v>1.97420032540307E-4</v>
      </c>
      <c r="P247" s="2">
        <v>-10.1</v>
      </c>
    </row>
    <row r="248" spans="1:16" x14ac:dyDescent="0.2">
      <c r="A248" s="1">
        <v>44013</v>
      </c>
      <c r="B248" s="9">
        <v>397531</v>
      </c>
      <c r="C248" s="2">
        <v>467072</v>
      </c>
      <c r="D248">
        <v>96.2</v>
      </c>
      <c r="E248">
        <v>102</v>
      </c>
      <c r="F248">
        <v>94.7</v>
      </c>
      <c r="G248" s="6">
        <v>90.3</v>
      </c>
      <c r="H248">
        <v>89.9</v>
      </c>
      <c r="I248">
        <v>100</v>
      </c>
      <c r="J248">
        <v>432916</v>
      </c>
      <c r="K248">
        <v>0.7</v>
      </c>
      <c r="L248">
        <v>98</v>
      </c>
      <c r="M248" s="13">
        <v>44740</v>
      </c>
      <c r="O248" s="8">
        <v>5.0054078357490497E-2</v>
      </c>
      <c r="P248" s="2">
        <v>-9.8000000000000007</v>
      </c>
    </row>
    <row r="249" spans="1:16" x14ac:dyDescent="0.2">
      <c r="A249" s="1">
        <v>44044</v>
      </c>
      <c r="B249" s="9" t="e">
        <v>#N/A</v>
      </c>
      <c r="C249" s="2" t="e">
        <v>#N/A</v>
      </c>
      <c r="D249" t="e">
        <v>#N/A</v>
      </c>
      <c r="E249" t="e">
        <v>#N/A</v>
      </c>
      <c r="F249">
        <v>94.7</v>
      </c>
      <c r="G249" s="6">
        <v>90.7</v>
      </c>
      <c r="H249">
        <v>96.4</v>
      </c>
      <c r="I249">
        <v>102</v>
      </c>
      <c r="J249" t="e">
        <v>#N/A</v>
      </c>
      <c r="K249">
        <v>0.7</v>
      </c>
      <c r="L249">
        <v>97.6</v>
      </c>
      <c r="M249" s="13">
        <v>44774</v>
      </c>
      <c r="O249" s="8">
        <v>-1.43664356381485E-2</v>
      </c>
      <c r="P249" s="2">
        <v>-7.8</v>
      </c>
    </row>
    <row r="250" spans="1:16" x14ac:dyDescent="0.2">
      <c r="A250" s="1">
        <v>44075</v>
      </c>
      <c r="B250" s="9" t="e">
        <v>#N/A</v>
      </c>
      <c r="C250" s="2" t="e">
        <v>#N/A</v>
      </c>
      <c r="D250" t="e">
        <v>#N/A</v>
      </c>
      <c r="E250" t="e">
        <v>#N/A</v>
      </c>
      <c r="F250">
        <v>96.9</v>
      </c>
      <c r="G250" s="6">
        <v>92.7</v>
      </c>
      <c r="H250">
        <v>98.1</v>
      </c>
      <c r="I250">
        <v>101.5</v>
      </c>
      <c r="J250" t="e">
        <v>#N/A</v>
      </c>
      <c r="K250">
        <v>0.4</v>
      </c>
      <c r="L250">
        <v>96.9</v>
      </c>
      <c r="M250" s="13">
        <v>44832</v>
      </c>
      <c r="O250" s="8">
        <v>-9.9126163878370505E-2</v>
      </c>
      <c r="P250" s="2">
        <v>-7.2</v>
      </c>
    </row>
    <row r="251" spans="1:16" x14ac:dyDescent="0.2">
      <c r="A251" s="1">
        <v>44105</v>
      </c>
      <c r="B251" s="9">
        <v>408373</v>
      </c>
      <c r="C251" s="2">
        <v>519719</v>
      </c>
      <c r="D251">
        <v>98.3</v>
      </c>
      <c r="E251">
        <v>99.9</v>
      </c>
      <c r="F251">
        <v>100.7</v>
      </c>
      <c r="G251" s="6">
        <v>95.7</v>
      </c>
      <c r="H251">
        <v>99.6</v>
      </c>
      <c r="I251">
        <v>103.3</v>
      </c>
      <c r="J251">
        <v>427231</v>
      </c>
      <c r="K251">
        <v>0.3</v>
      </c>
      <c r="L251">
        <v>97</v>
      </c>
      <c r="M251" s="13">
        <v>44871</v>
      </c>
      <c r="O251" s="8">
        <v>0.13985280517704099</v>
      </c>
      <c r="P251" s="2">
        <v>-9.1999999999999993</v>
      </c>
    </row>
    <row r="252" spans="1:16" x14ac:dyDescent="0.2">
      <c r="A252" s="1">
        <v>44136</v>
      </c>
      <c r="B252" s="9" t="e">
        <v>#N/A</v>
      </c>
      <c r="C252" s="2" t="e">
        <v>#N/A</v>
      </c>
      <c r="D252" t="e">
        <v>#N/A</v>
      </c>
      <c r="E252" t="e">
        <v>#N/A</v>
      </c>
      <c r="F252">
        <v>102</v>
      </c>
      <c r="G252" s="6">
        <v>96.1</v>
      </c>
      <c r="H252">
        <v>97.6</v>
      </c>
      <c r="I252">
        <v>104.3</v>
      </c>
      <c r="J252" t="e">
        <v>#N/A</v>
      </c>
      <c r="K252">
        <v>0.2</v>
      </c>
      <c r="L252">
        <v>96</v>
      </c>
      <c r="M252" s="13">
        <v>44835</v>
      </c>
      <c r="O252" s="8">
        <v>3.1666552648804497E-2</v>
      </c>
      <c r="P252" s="2">
        <v>-10.9</v>
      </c>
    </row>
    <row r="253" spans="1:16" x14ac:dyDescent="0.2">
      <c r="A253" s="1">
        <v>44166</v>
      </c>
      <c r="B253" s="9" t="e">
        <v>#N/A</v>
      </c>
      <c r="C253" s="2" t="e">
        <v>#N/A</v>
      </c>
      <c r="D253" t="e">
        <v>#N/A</v>
      </c>
      <c r="E253" t="e">
        <v>#N/A</v>
      </c>
      <c r="F253">
        <v>101.9</v>
      </c>
      <c r="G253" s="6">
        <v>97.9</v>
      </c>
      <c r="H253">
        <v>98.9</v>
      </c>
      <c r="I253">
        <v>99.9</v>
      </c>
      <c r="J253" t="e">
        <v>#N/A</v>
      </c>
      <c r="K253">
        <v>0</v>
      </c>
      <c r="L253">
        <v>97.4</v>
      </c>
      <c r="M253" s="13">
        <v>44846</v>
      </c>
      <c r="O253" s="8">
        <v>-2.1061019894339901E-2</v>
      </c>
      <c r="P253" s="2">
        <v>-9.6999999999999993</v>
      </c>
    </row>
    <row r="254" spans="1:16" x14ac:dyDescent="0.2">
      <c r="A254" s="1">
        <v>44197</v>
      </c>
      <c r="B254" s="9">
        <v>422583</v>
      </c>
      <c r="C254" s="2">
        <v>454561</v>
      </c>
      <c r="D254">
        <v>98.6</v>
      </c>
      <c r="E254">
        <v>99.3</v>
      </c>
      <c r="F254">
        <v>101.6</v>
      </c>
      <c r="G254" s="6">
        <v>95.9</v>
      </c>
      <c r="H254">
        <v>96.5</v>
      </c>
      <c r="I254">
        <v>90.2</v>
      </c>
      <c r="J254">
        <v>421967</v>
      </c>
      <c r="K254">
        <v>2.1</v>
      </c>
      <c r="L254">
        <v>102.6</v>
      </c>
      <c r="M254" s="13">
        <v>44811</v>
      </c>
      <c r="O254" s="8">
        <v>2.5969925810608498E-2</v>
      </c>
      <c r="P254" s="2">
        <v>-13</v>
      </c>
    </row>
    <row r="255" spans="1:16" x14ac:dyDescent="0.2">
      <c r="A255" s="1">
        <v>44228</v>
      </c>
      <c r="B255" s="9" t="e">
        <v>#N/A</v>
      </c>
      <c r="C255" s="2" t="e">
        <v>#N/A</v>
      </c>
      <c r="D255" t="e">
        <v>#N/A</v>
      </c>
      <c r="E255" t="e">
        <v>#N/A</v>
      </c>
      <c r="F255">
        <v>99.5</v>
      </c>
      <c r="G255" s="6">
        <v>94.3</v>
      </c>
      <c r="H255">
        <v>99.7</v>
      </c>
      <c r="I255">
        <v>93.4</v>
      </c>
      <c r="J255" t="e">
        <v>#N/A</v>
      </c>
      <c r="K255">
        <v>1.7</v>
      </c>
      <c r="L255">
        <v>104.1</v>
      </c>
      <c r="M255" s="13">
        <v>44795</v>
      </c>
      <c r="O255" s="8">
        <v>8.4931413271505093E-2</v>
      </c>
      <c r="P255" s="2">
        <v>-10.6</v>
      </c>
    </row>
    <row r="256" spans="1:16" x14ac:dyDescent="0.2">
      <c r="A256" s="1">
        <v>44256</v>
      </c>
      <c r="B256" s="9" t="e">
        <v>#N/A</v>
      </c>
      <c r="C256" s="2" t="e">
        <v>#N/A</v>
      </c>
      <c r="D256" t="e">
        <v>#N/A</v>
      </c>
      <c r="E256" t="e">
        <v>#N/A</v>
      </c>
      <c r="F256">
        <v>100.9</v>
      </c>
      <c r="G256" s="6">
        <v>99.8</v>
      </c>
      <c r="H256">
        <v>105.4</v>
      </c>
      <c r="I256">
        <v>103.2</v>
      </c>
      <c r="J256" t="e">
        <v>#N/A</v>
      </c>
      <c r="K256">
        <v>1.7</v>
      </c>
      <c r="L256">
        <v>106.2</v>
      </c>
      <c r="M256" s="13">
        <v>44847</v>
      </c>
      <c r="O256" s="8">
        <v>8.4640403455811305E-3</v>
      </c>
      <c r="P256" s="2">
        <v>-7.3</v>
      </c>
    </row>
    <row r="257" spans="1:16" x14ac:dyDescent="0.2">
      <c r="A257" s="1">
        <v>44287</v>
      </c>
      <c r="B257" s="9">
        <v>421254</v>
      </c>
      <c r="C257" s="2">
        <v>473510</v>
      </c>
      <c r="D257">
        <v>100.8</v>
      </c>
      <c r="E257">
        <v>99.1</v>
      </c>
      <c r="F257">
        <v>101</v>
      </c>
      <c r="G257" s="6">
        <v>97.7</v>
      </c>
      <c r="H257">
        <v>105.2</v>
      </c>
      <c r="I257">
        <v>97.1</v>
      </c>
      <c r="J257">
        <v>434890</v>
      </c>
      <c r="K257">
        <v>1.3</v>
      </c>
      <c r="L257">
        <v>106.1</v>
      </c>
      <c r="M257" s="13">
        <v>44870</v>
      </c>
      <c r="O257" s="8">
        <v>1.8668562777554201E-2</v>
      </c>
      <c r="P257" s="2">
        <v>-9.5</v>
      </c>
    </row>
    <row r="258" spans="1:16" x14ac:dyDescent="0.2">
      <c r="A258" s="1">
        <v>44317</v>
      </c>
      <c r="B258" s="9" t="e">
        <v>#N/A</v>
      </c>
      <c r="C258" s="2" t="e">
        <v>#N/A</v>
      </c>
      <c r="D258" t="e">
        <v>#N/A</v>
      </c>
      <c r="E258" t="e">
        <v>#N/A</v>
      </c>
      <c r="F258">
        <v>100.3</v>
      </c>
      <c r="G258" s="7">
        <v>98</v>
      </c>
      <c r="H258">
        <v>108.7</v>
      </c>
      <c r="I258">
        <v>100.1</v>
      </c>
      <c r="J258" t="e">
        <v>#N/A</v>
      </c>
      <c r="K258">
        <v>1.6</v>
      </c>
      <c r="L258">
        <v>106.7</v>
      </c>
      <c r="M258" s="13">
        <v>44890</v>
      </c>
      <c r="O258" s="8">
        <v>7.1019652901185299E-3</v>
      </c>
      <c r="P258" s="2">
        <v>-4.4000000000000004</v>
      </c>
    </row>
    <row r="259" spans="1:16" x14ac:dyDescent="0.2">
      <c r="A259" s="1">
        <v>44348</v>
      </c>
      <c r="B259" s="9" t="e">
        <v>#N/A</v>
      </c>
      <c r="C259" s="2" t="e">
        <v>#N/A</v>
      </c>
      <c r="D259" t="e">
        <v>#N/A</v>
      </c>
      <c r="E259" t="e">
        <v>#N/A</v>
      </c>
      <c r="F259">
        <v>98.3</v>
      </c>
      <c r="G259" s="6">
        <v>98.2</v>
      </c>
      <c r="H259">
        <v>115.6</v>
      </c>
      <c r="I259">
        <v>106.2</v>
      </c>
      <c r="J259" t="e">
        <v>#N/A</v>
      </c>
      <c r="K259">
        <v>1.3</v>
      </c>
      <c r="L259">
        <v>107.6</v>
      </c>
      <c r="M259" s="13">
        <v>45003</v>
      </c>
      <c r="O259" s="8">
        <v>8.5917461676032801E-4</v>
      </c>
      <c r="P259" s="2">
        <v>0.4</v>
      </c>
    </row>
    <row r="260" spans="1:16" x14ac:dyDescent="0.2">
      <c r="A260" s="1">
        <v>44378</v>
      </c>
      <c r="B260" s="9">
        <v>445161</v>
      </c>
      <c r="C260" s="2">
        <v>490030</v>
      </c>
      <c r="D260">
        <v>98.8</v>
      </c>
      <c r="E260">
        <v>104.1</v>
      </c>
      <c r="F260">
        <v>100.3</v>
      </c>
      <c r="G260" s="7">
        <v>101</v>
      </c>
      <c r="H260">
        <v>116.6</v>
      </c>
      <c r="I260">
        <v>99.8</v>
      </c>
      <c r="J260">
        <v>458988</v>
      </c>
      <c r="K260">
        <v>2.1</v>
      </c>
      <c r="L260">
        <v>109</v>
      </c>
      <c r="M260" s="13">
        <v>45083</v>
      </c>
      <c r="O260" s="8">
        <v>1.8528574508760401E-2</v>
      </c>
      <c r="P260" s="2">
        <v>-1.3</v>
      </c>
    </row>
    <row r="261" spans="1:16" x14ac:dyDescent="0.2">
      <c r="A261" s="1">
        <v>44409</v>
      </c>
      <c r="B261" s="9" t="e">
        <v>#N/A</v>
      </c>
      <c r="C261" s="2" t="e">
        <v>#N/A</v>
      </c>
      <c r="D261" t="e">
        <v>#N/A</v>
      </c>
      <c r="E261" t="e">
        <v>#N/A</v>
      </c>
      <c r="F261">
        <v>95</v>
      </c>
      <c r="G261" s="6">
        <v>96.4</v>
      </c>
      <c r="H261">
        <v>116.9</v>
      </c>
      <c r="I261">
        <v>101.8</v>
      </c>
      <c r="J261" t="e">
        <v>#N/A</v>
      </c>
      <c r="K261">
        <v>2.4</v>
      </c>
      <c r="L261">
        <v>109.4</v>
      </c>
      <c r="M261" s="13">
        <v>45146</v>
      </c>
      <c r="O261" s="8">
        <v>-3.6948084477158402E-2</v>
      </c>
      <c r="P261" s="2">
        <v>-3.2</v>
      </c>
    </row>
    <row r="262" spans="1:16" x14ac:dyDescent="0.2">
      <c r="A262" s="1">
        <v>44440</v>
      </c>
      <c r="B262" s="9" t="e">
        <v>#N/A</v>
      </c>
      <c r="C262" s="2" t="e">
        <v>#N/A</v>
      </c>
      <c r="D262" t="e">
        <v>#N/A</v>
      </c>
      <c r="E262" t="e">
        <v>#N/A</v>
      </c>
      <c r="F262">
        <v>95.7</v>
      </c>
      <c r="G262" s="6">
        <v>97.3</v>
      </c>
      <c r="H262">
        <v>118.3</v>
      </c>
      <c r="I262">
        <v>100.1</v>
      </c>
      <c r="J262" t="e">
        <v>#N/A</v>
      </c>
      <c r="K262">
        <v>2.9</v>
      </c>
      <c r="L262">
        <v>110.1</v>
      </c>
      <c r="M262" s="13">
        <v>45194</v>
      </c>
      <c r="O262" s="8">
        <v>2.7664870670250301E-2</v>
      </c>
      <c r="P262" s="2">
        <v>0.1</v>
      </c>
    </row>
    <row r="263" spans="1:16" x14ac:dyDescent="0.2">
      <c r="A263" s="1">
        <v>44470</v>
      </c>
      <c r="B263" s="9">
        <v>460192</v>
      </c>
      <c r="C263" s="2">
        <v>544931</v>
      </c>
      <c r="D263">
        <v>100.5</v>
      </c>
      <c r="E263">
        <v>103.1</v>
      </c>
      <c r="F263">
        <v>99.3</v>
      </c>
      <c r="G263" s="7">
        <v>101</v>
      </c>
      <c r="H263">
        <v>117.3</v>
      </c>
      <c r="I263">
        <v>102.6</v>
      </c>
      <c r="J263">
        <v>468410</v>
      </c>
      <c r="K263">
        <v>3</v>
      </c>
      <c r="L263">
        <v>114.6</v>
      </c>
      <c r="M263" s="13">
        <v>45224</v>
      </c>
      <c r="O263" s="8">
        <v>-3.8241794617819701E-2</v>
      </c>
      <c r="P263" s="2">
        <v>-1.8</v>
      </c>
    </row>
    <row r="264" spans="1:16" x14ac:dyDescent="0.2">
      <c r="A264" s="1">
        <v>44501</v>
      </c>
      <c r="B264" s="9" t="e">
        <v>#N/A</v>
      </c>
      <c r="C264" s="2" t="e">
        <v>#N/A</v>
      </c>
      <c r="D264" t="e">
        <v>#N/A</v>
      </c>
      <c r="E264" t="e">
        <v>#N/A</v>
      </c>
      <c r="F264">
        <v>99.7</v>
      </c>
      <c r="G264" s="6">
        <v>104.9</v>
      </c>
      <c r="H264">
        <v>115.4</v>
      </c>
      <c r="I264">
        <v>103.4</v>
      </c>
      <c r="J264" t="e">
        <v>#N/A</v>
      </c>
      <c r="K264">
        <v>4.0999999999999996</v>
      </c>
      <c r="L264">
        <v>116.7</v>
      </c>
      <c r="M264" s="13">
        <v>45289</v>
      </c>
      <c r="O264" s="8">
        <v>5.0663131173992702E-2</v>
      </c>
      <c r="P264" s="2">
        <v>-4.5999999999999996</v>
      </c>
    </row>
    <row r="265" spans="1:16" x14ac:dyDescent="0.2">
      <c r="A265" s="1">
        <v>44531</v>
      </c>
      <c r="B265" s="9" t="e">
        <v>#N/A</v>
      </c>
      <c r="C265" s="2" t="e">
        <v>#N/A</v>
      </c>
      <c r="D265" t="e">
        <v>#N/A</v>
      </c>
      <c r="E265" t="e">
        <v>#N/A</v>
      </c>
      <c r="F265">
        <v>100.9</v>
      </c>
      <c r="G265" s="7">
        <v>106</v>
      </c>
      <c r="H265">
        <v>112.9</v>
      </c>
      <c r="I265">
        <v>102.1</v>
      </c>
      <c r="J265" t="e">
        <v>#N/A</v>
      </c>
      <c r="K265">
        <v>4.0999999999999996</v>
      </c>
      <c r="L265">
        <v>115</v>
      </c>
      <c r="M265" s="13">
        <v>45345</v>
      </c>
      <c r="O265" s="8">
        <v>-2.6386232778426302E-2</v>
      </c>
      <c r="P265" s="2">
        <v>-7.1</v>
      </c>
    </row>
    <row r="266" spans="1:16" x14ac:dyDescent="0.2">
      <c r="A266" s="1">
        <v>44562</v>
      </c>
      <c r="B266" s="9">
        <v>462121</v>
      </c>
      <c r="C266" s="2">
        <v>488285</v>
      </c>
      <c r="D266">
        <v>101.3</v>
      </c>
      <c r="E266">
        <v>102.2</v>
      </c>
      <c r="F266">
        <v>100.8</v>
      </c>
      <c r="G266" s="6">
        <v>110.6</v>
      </c>
      <c r="H266">
        <v>113.4</v>
      </c>
      <c r="I266">
        <v>103.1</v>
      </c>
      <c r="J266">
        <v>491661</v>
      </c>
      <c r="K266">
        <v>3.2</v>
      </c>
      <c r="L266">
        <v>123.7</v>
      </c>
      <c r="M266" s="13">
        <v>45429</v>
      </c>
      <c r="O266" s="8">
        <v>-6.7523522443023495E-2</v>
      </c>
      <c r="P266" s="2">
        <v>-5.3</v>
      </c>
    </row>
    <row r="267" spans="1:16" x14ac:dyDescent="0.2">
      <c r="A267" s="1">
        <v>44593</v>
      </c>
      <c r="B267" s="9" t="e">
        <v>#N/A</v>
      </c>
      <c r="C267" s="2" t="e">
        <v>#N/A</v>
      </c>
      <c r="D267" t="e">
        <v>#N/A</v>
      </c>
      <c r="E267" t="e">
        <v>#N/A</v>
      </c>
      <c r="F267">
        <v>101.1</v>
      </c>
      <c r="G267" s="6">
        <v>110.1</v>
      </c>
      <c r="H267">
        <v>114.9</v>
      </c>
      <c r="I267">
        <v>103.5</v>
      </c>
      <c r="J267" t="e">
        <v>#N/A</v>
      </c>
      <c r="K267">
        <v>3.3</v>
      </c>
      <c r="L267">
        <v>127.4</v>
      </c>
      <c r="M267" s="13">
        <v>45472</v>
      </c>
      <c r="O267" s="8">
        <v>-3.2047333526570299E-3</v>
      </c>
      <c r="P267" s="2">
        <v>-6.2</v>
      </c>
    </row>
    <row r="268" spans="1:16" x14ac:dyDescent="0.2">
      <c r="A268" s="1">
        <v>44621</v>
      </c>
      <c r="B268" s="9" t="e">
        <v>#N/A</v>
      </c>
      <c r="C268" s="2" t="e">
        <v>#N/A</v>
      </c>
      <c r="D268" t="e">
        <v>#N/A</v>
      </c>
      <c r="E268" t="e">
        <v>#N/A</v>
      </c>
      <c r="F268">
        <v>95.7</v>
      </c>
      <c r="G268" s="6">
        <v>108.1</v>
      </c>
      <c r="H268">
        <v>106.7</v>
      </c>
      <c r="I268">
        <v>104</v>
      </c>
      <c r="J268" t="e">
        <v>#N/A</v>
      </c>
      <c r="K268">
        <v>3.7</v>
      </c>
      <c r="L268">
        <v>146.1</v>
      </c>
      <c r="M268" s="13">
        <v>45527</v>
      </c>
      <c r="O268" s="8">
        <v>-2.22275647371468E-2</v>
      </c>
      <c r="P268" s="2">
        <v>-15.3</v>
      </c>
    </row>
    <row r="269" spans="1:16" x14ac:dyDescent="0.2">
      <c r="A269" s="1">
        <v>44652</v>
      </c>
      <c r="B269" s="9">
        <v>460322</v>
      </c>
      <c r="C269" s="2">
        <v>502359</v>
      </c>
      <c r="D269">
        <v>101.3</v>
      </c>
      <c r="E269">
        <v>105.1</v>
      </c>
      <c r="F269">
        <v>97.7</v>
      </c>
      <c r="G269" s="6">
        <v>111.2</v>
      </c>
      <c r="H269">
        <v>106.1</v>
      </c>
      <c r="I269">
        <v>100</v>
      </c>
      <c r="J269">
        <v>503690</v>
      </c>
      <c r="K269">
        <v>4.4000000000000004</v>
      </c>
      <c r="L269">
        <v>142.69999999999999</v>
      </c>
      <c r="M269" s="13">
        <v>45558</v>
      </c>
      <c r="O269" s="8">
        <v>2.0394401058499802E-2</v>
      </c>
      <c r="P269" s="2">
        <v>-18.899999999999999</v>
      </c>
    </row>
    <row r="270" spans="1:16" x14ac:dyDescent="0.2">
      <c r="A270" s="1">
        <v>44682</v>
      </c>
      <c r="B270" s="9" t="e">
        <v>#N/A</v>
      </c>
      <c r="C270" s="2" t="e">
        <v>#N/A</v>
      </c>
      <c r="D270" t="e">
        <v>#N/A</v>
      </c>
      <c r="E270" t="e">
        <v>#N/A</v>
      </c>
      <c r="F270">
        <v>99.2</v>
      </c>
      <c r="G270" s="7">
        <v>114</v>
      </c>
      <c r="H270">
        <v>106.6</v>
      </c>
      <c r="I270">
        <v>99.8</v>
      </c>
      <c r="J270" t="e">
        <v>#N/A</v>
      </c>
      <c r="K270">
        <v>5</v>
      </c>
      <c r="L270">
        <v>146.69999999999999</v>
      </c>
      <c r="M270" s="13">
        <v>45599</v>
      </c>
      <c r="O270" s="8">
        <v>-0.118242463260449</v>
      </c>
      <c r="P270" s="2">
        <v>-18.3</v>
      </c>
    </row>
    <row r="271" spans="1:16" x14ac:dyDescent="0.2">
      <c r="A271" s="1">
        <v>44713</v>
      </c>
      <c r="B271" s="9" t="e">
        <v>#N/A</v>
      </c>
      <c r="C271" s="2" t="e">
        <v>#N/A</v>
      </c>
      <c r="D271" t="e">
        <v>#N/A</v>
      </c>
      <c r="E271" t="e">
        <v>#N/A</v>
      </c>
      <c r="F271">
        <v>99.5</v>
      </c>
      <c r="G271" s="6">
        <v>118.3</v>
      </c>
      <c r="H271">
        <v>105</v>
      </c>
      <c r="I271">
        <v>98.2</v>
      </c>
      <c r="J271" t="e">
        <v>#N/A</v>
      </c>
      <c r="K271">
        <v>4.5</v>
      </c>
      <c r="L271">
        <v>147.80000000000001</v>
      </c>
      <c r="M271" s="13">
        <v>45628</v>
      </c>
      <c r="O271" s="8">
        <v>5.3331130023282797E-2</v>
      </c>
      <c r="P271" s="2">
        <v>-19.899999999999999</v>
      </c>
    </row>
    <row r="272" spans="1:16" x14ac:dyDescent="0.2">
      <c r="A272" s="1">
        <v>44743</v>
      </c>
      <c r="B272" s="9">
        <v>466855</v>
      </c>
      <c r="C272" s="2">
        <v>513564</v>
      </c>
      <c r="D272">
        <v>101.8</v>
      </c>
      <c r="E272">
        <v>104.7</v>
      </c>
      <c r="F272">
        <v>99.6</v>
      </c>
      <c r="G272" s="6">
        <v>117.4</v>
      </c>
      <c r="H272">
        <v>99.9</v>
      </c>
      <c r="I272">
        <v>98.2</v>
      </c>
      <c r="J272">
        <v>516015</v>
      </c>
      <c r="K272">
        <v>4.9000000000000004</v>
      </c>
      <c r="L272">
        <v>147.80000000000001</v>
      </c>
      <c r="M272" s="13">
        <v>45616</v>
      </c>
      <c r="O272" s="8">
        <v>-4.9334796182296997E-2</v>
      </c>
      <c r="P272" s="2">
        <v>-25.3</v>
      </c>
    </row>
    <row r="273" spans="1:16" x14ac:dyDescent="0.2">
      <c r="A273" s="1">
        <v>44774</v>
      </c>
      <c r="B273" s="9" t="e">
        <v>#N/A</v>
      </c>
      <c r="C273" s="2" t="e">
        <v>#N/A</v>
      </c>
      <c r="D273" t="e">
        <v>#N/A</v>
      </c>
      <c r="E273" t="e">
        <v>#N/A</v>
      </c>
      <c r="F273">
        <v>98.3</v>
      </c>
      <c r="G273" s="6">
        <v>118.1</v>
      </c>
      <c r="H273">
        <v>98.4</v>
      </c>
      <c r="I273">
        <v>97.6</v>
      </c>
      <c r="J273" t="e">
        <v>#N/A</v>
      </c>
      <c r="K273">
        <v>5.3</v>
      </c>
      <c r="L273">
        <v>148.6</v>
      </c>
      <c r="M273" s="13">
        <v>45676</v>
      </c>
      <c r="O273" s="8">
        <v>-5.7781139976897898E-2</v>
      </c>
      <c r="P273" s="2">
        <v>-24</v>
      </c>
    </row>
    <row r="274" spans="1:16" x14ac:dyDescent="0.2">
      <c r="A274" s="1">
        <v>44805</v>
      </c>
      <c r="B274" s="9" t="e">
        <v>#N/A</v>
      </c>
      <c r="C274" s="2" t="e">
        <v>#N/A</v>
      </c>
      <c r="D274" t="e">
        <v>#N/A</v>
      </c>
      <c r="E274" t="e">
        <v>#N/A</v>
      </c>
      <c r="F274">
        <v>100.4</v>
      </c>
      <c r="G274" s="6">
        <v>119.3</v>
      </c>
      <c r="H274">
        <v>94.3</v>
      </c>
      <c r="I274">
        <v>99.6</v>
      </c>
      <c r="J274" t="e">
        <v>#N/A</v>
      </c>
      <c r="K274">
        <v>6.5</v>
      </c>
      <c r="L274">
        <v>158.80000000000001</v>
      </c>
      <c r="M274" s="13">
        <v>45723</v>
      </c>
      <c r="O274" s="8">
        <v>8.9888239618305804E-2</v>
      </c>
      <c r="P274" s="2">
        <v>-29.4</v>
      </c>
    </row>
    <row r="275" spans="1:16" x14ac:dyDescent="0.2">
      <c r="A275" s="1">
        <v>44835</v>
      </c>
      <c r="B275" s="9">
        <v>473771</v>
      </c>
      <c r="C275" s="2">
        <v>577445</v>
      </c>
      <c r="D275">
        <v>101</v>
      </c>
      <c r="E275">
        <v>109.1</v>
      </c>
      <c r="F275">
        <v>99.2</v>
      </c>
      <c r="G275" s="7">
        <v>120</v>
      </c>
      <c r="H275">
        <v>92.9</v>
      </c>
      <c r="I275">
        <v>95.8</v>
      </c>
      <c r="J275">
        <v>521415</v>
      </c>
      <c r="K275">
        <v>7.2</v>
      </c>
      <c r="L275">
        <v>164.5</v>
      </c>
      <c r="M275" s="13">
        <v>45757</v>
      </c>
      <c r="O275" s="8">
        <v>8.2742838172361402E-2</v>
      </c>
      <c r="P275" s="2">
        <v>-28.4</v>
      </c>
    </row>
    <row r="276" spans="1:16" x14ac:dyDescent="0.2">
      <c r="A276" s="1">
        <v>44866</v>
      </c>
      <c r="B276" s="9" t="e">
        <v>#N/A</v>
      </c>
      <c r="C276" s="2" t="e">
        <v>#N/A</v>
      </c>
      <c r="D276" t="e">
        <v>#N/A</v>
      </c>
      <c r="E276" t="e">
        <v>#N/A</v>
      </c>
      <c r="F276">
        <v>100</v>
      </c>
      <c r="G276" s="6">
        <v>121.6</v>
      </c>
      <c r="H276">
        <v>94.2</v>
      </c>
      <c r="I276">
        <v>96.8</v>
      </c>
      <c r="J276" t="e">
        <v>#N/A</v>
      </c>
      <c r="K276">
        <v>7.4</v>
      </c>
      <c r="L276">
        <v>163.5</v>
      </c>
      <c r="M276" s="13">
        <v>45773</v>
      </c>
      <c r="O276" s="8">
        <v>-3.3438119878111301E-2</v>
      </c>
      <c r="P276" s="2">
        <v>-25.1</v>
      </c>
    </row>
    <row r="277" spans="1:16" x14ac:dyDescent="0.2">
      <c r="A277" s="1">
        <v>44896</v>
      </c>
      <c r="B277" s="9" t="e">
        <v>#N/A</v>
      </c>
      <c r="C277" s="2" t="e">
        <v>#N/A</v>
      </c>
      <c r="D277" t="e">
        <v>#N/A</v>
      </c>
      <c r="E277" t="e">
        <v>#N/A</v>
      </c>
      <c r="F277">
        <v>97.8</v>
      </c>
      <c r="G277" s="6">
        <v>118.4</v>
      </c>
      <c r="H277">
        <v>96.4</v>
      </c>
      <c r="I277">
        <v>96</v>
      </c>
      <c r="J277" t="e">
        <v>#N/A</v>
      </c>
      <c r="K277">
        <v>7.5</v>
      </c>
      <c r="L277">
        <v>143.9</v>
      </c>
      <c r="M277" s="13">
        <v>45799</v>
      </c>
      <c r="O277" s="8">
        <v>8.2980635179399798E-2</v>
      </c>
      <c r="P277" s="2">
        <v>-22.1</v>
      </c>
    </row>
    <row r="278" spans="1:16" x14ac:dyDescent="0.2">
      <c r="A278" s="1">
        <v>44927</v>
      </c>
      <c r="B278" s="9">
        <v>469669</v>
      </c>
      <c r="C278" s="2">
        <v>520999</v>
      </c>
      <c r="D278">
        <v>102.1</v>
      </c>
      <c r="E278">
        <v>107</v>
      </c>
      <c r="F278">
        <v>99.2</v>
      </c>
      <c r="G278" s="6">
        <v>116.8</v>
      </c>
      <c r="H278">
        <v>98.5</v>
      </c>
      <c r="I278">
        <v>96.5</v>
      </c>
      <c r="J278">
        <v>532709</v>
      </c>
      <c r="K278">
        <v>7.2</v>
      </c>
      <c r="L278">
        <v>154.80000000000001</v>
      </c>
      <c r="M278" s="13">
        <v>45846</v>
      </c>
      <c r="O278" s="8">
        <v>1.55361363662418E-2</v>
      </c>
      <c r="P278" s="2">
        <v>-19.2</v>
      </c>
    </row>
    <row r="279" spans="1:16" x14ac:dyDescent="0.2">
      <c r="A279" s="1">
        <v>44958</v>
      </c>
      <c r="B279" s="9" t="e">
        <v>#N/A</v>
      </c>
      <c r="C279" s="2" t="e">
        <v>#N/A</v>
      </c>
      <c r="D279" t="e">
        <v>#N/A</v>
      </c>
      <c r="E279" t="e">
        <v>#N/A</v>
      </c>
      <c r="F279">
        <v>101.5</v>
      </c>
      <c r="G279" s="6">
        <v>119.4</v>
      </c>
      <c r="H279">
        <v>98.3</v>
      </c>
      <c r="I279">
        <v>96.7</v>
      </c>
      <c r="J279" t="e">
        <v>#N/A</v>
      </c>
      <c r="K279">
        <v>7.8</v>
      </c>
      <c r="L279">
        <v>154.9</v>
      </c>
      <c r="M279" s="13">
        <v>45885</v>
      </c>
      <c r="O279" s="8">
        <v>1.7016631153158102E-2</v>
      </c>
      <c r="P279" s="2">
        <v>-15.8</v>
      </c>
    </row>
    <row r="280" spans="1:16" x14ac:dyDescent="0.2">
      <c r="A280" s="1">
        <v>44986</v>
      </c>
      <c r="B280" s="9" t="e">
        <v>#N/A</v>
      </c>
      <c r="C280" s="2" t="e">
        <v>#N/A</v>
      </c>
      <c r="D280" t="e">
        <v>#N/A</v>
      </c>
      <c r="E280" t="e">
        <v>#N/A</v>
      </c>
      <c r="F280">
        <v>99.1</v>
      </c>
      <c r="G280" s="6">
        <v>117.6</v>
      </c>
      <c r="H280">
        <v>97.6</v>
      </c>
      <c r="I280">
        <v>95.4</v>
      </c>
      <c r="J280" t="e">
        <v>#N/A</v>
      </c>
      <c r="K280">
        <v>8.3000000000000007</v>
      </c>
      <c r="L280">
        <v>155</v>
      </c>
      <c r="M280" s="13">
        <v>45917</v>
      </c>
      <c r="O280" s="8">
        <v>1.8607743939233101E-2</v>
      </c>
      <c r="P280" s="2">
        <v>-17.100000000000001</v>
      </c>
    </row>
    <row r="281" spans="1:16" x14ac:dyDescent="0.2">
      <c r="A281" s="1">
        <v>45017</v>
      </c>
      <c r="B281" s="9">
        <v>478594</v>
      </c>
      <c r="C281" s="2">
        <v>538096</v>
      </c>
      <c r="D281">
        <v>102.2</v>
      </c>
      <c r="E281">
        <v>109.3</v>
      </c>
      <c r="F281">
        <v>98.1</v>
      </c>
      <c r="G281" s="6">
        <v>115.8</v>
      </c>
      <c r="H281">
        <v>98.5</v>
      </c>
      <c r="I281">
        <v>95.8</v>
      </c>
      <c r="J281">
        <v>541587</v>
      </c>
      <c r="K281">
        <v>7.6</v>
      </c>
      <c r="L281">
        <v>156.1</v>
      </c>
      <c r="M281" s="13">
        <v>45925</v>
      </c>
      <c r="O281" s="8">
        <v>-1.6359326694969301E-2</v>
      </c>
      <c r="P281" s="2">
        <v>-13.3</v>
      </c>
    </row>
    <row r="282" spans="1:16" x14ac:dyDescent="0.2">
      <c r="A282" s="1">
        <v>45047</v>
      </c>
      <c r="B282" s="9" t="e">
        <v>#N/A</v>
      </c>
      <c r="C282" s="2" t="e">
        <v>#N/A</v>
      </c>
      <c r="D282" t="e">
        <v>#N/A</v>
      </c>
      <c r="E282" t="e">
        <v>#N/A</v>
      </c>
      <c r="F282">
        <v>99.7</v>
      </c>
      <c r="G282" s="6">
        <v>118.1</v>
      </c>
      <c r="H282">
        <v>95.3</v>
      </c>
      <c r="I282">
        <v>97.8</v>
      </c>
      <c r="J282" t="e">
        <v>#N/A</v>
      </c>
      <c r="K282">
        <v>6.7</v>
      </c>
      <c r="L282">
        <v>154</v>
      </c>
      <c r="M282" s="13">
        <v>45940</v>
      </c>
      <c r="O282" s="8">
        <v>3.04237017694611E-2</v>
      </c>
      <c r="P282" s="2">
        <v>-13</v>
      </c>
    </row>
    <row r="283" spans="1:16" x14ac:dyDescent="0.2">
      <c r="A283" s="1">
        <v>45078</v>
      </c>
      <c r="B283" s="9" t="e">
        <v>#N/A</v>
      </c>
      <c r="C283" s="2" t="e">
        <v>#N/A</v>
      </c>
      <c r="D283" t="e">
        <v>#N/A</v>
      </c>
      <c r="E283" t="e">
        <v>#N/A</v>
      </c>
      <c r="F283">
        <v>97.3</v>
      </c>
      <c r="G283" s="6">
        <v>116.5</v>
      </c>
      <c r="H283">
        <v>93.6</v>
      </c>
      <c r="I283">
        <v>97.7</v>
      </c>
      <c r="J283" t="e">
        <v>#N/A</v>
      </c>
      <c r="K283">
        <v>7.4</v>
      </c>
      <c r="L283">
        <v>153.69999999999999</v>
      </c>
      <c r="M283" s="13">
        <v>45955</v>
      </c>
      <c r="O283" s="8">
        <v>1.8342723779730001E-2</v>
      </c>
      <c r="P283" s="2">
        <v>-13.7</v>
      </c>
    </row>
    <row r="284" spans="1:16" x14ac:dyDescent="0.2">
      <c r="A284" s="1">
        <v>45108</v>
      </c>
      <c r="B284" s="9">
        <v>488218</v>
      </c>
      <c r="C284" s="2">
        <v>550313</v>
      </c>
      <c r="D284">
        <v>102.3</v>
      </c>
      <c r="E284">
        <v>110.1</v>
      </c>
      <c r="F284">
        <v>96.5</v>
      </c>
      <c r="G284" s="6">
        <v>115.1</v>
      </c>
      <c r="H284">
        <v>91.5</v>
      </c>
      <c r="I284">
        <v>96.6</v>
      </c>
      <c r="J284">
        <v>541447</v>
      </c>
      <c r="K284">
        <v>7</v>
      </c>
      <c r="L284">
        <v>153.6</v>
      </c>
      <c r="M284" s="13">
        <v>45959</v>
      </c>
      <c r="O284" s="8">
        <v>-3.0857012954521999E-2</v>
      </c>
      <c r="P284" s="2">
        <v>-13.5</v>
      </c>
    </row>
    <row r="285" spans="1:16" x14ac:dyDescent="0.2">
      <c r="A285" s="1">
        <v>45139</v>
      </c>
      <c r="B285" s="9" t="e">
        <v>#N/A</v>
      </c>
      <c r="C285" s="2" t="e">
        <v>#N/A</v>
      </c>
      <c r="D285" t="e">
        <v>#N/A</v>
      </c>
      <c r="E285" t="e">
        <v>#N/A</v>
      </c>
      <c r="F285">
        <v>96</v>
      </c>
      <c r="G285" s="6">
        <v>115.3</v>
      </c>
      <c r="H285">
        <v>89.5</v>
      </c>
      <c r="I285">
        <v>95.6</v>
      </c>
      <c r="J285" t="e">
        <v>#N/A</v>
      </c>
      <c r="K285">
        <v>6.8</v>
      </c>
      <c r="L285">
        <v>156.5</v>
      </c>
      <c r="M285" s="13">
        <v>45951</v>
      </c>
      <c r="O285" s="8">
        <v>-3.5780039258788997E-2</v>
      </c>
      <c r="P285" s="2">
        <v>-15.2</v>
      </c>
    </row>
    <row r="286" spans="1:16" x14ac:dyDescent="0.2">
      <c r="A286" s="1">
        <v>45170</v>
      </c>
      <c r="B286" s="9" t="e">
        <v>#N/A</v>
      </c>
      <c r="C286" s="2" t="e">
        <v>#N/A</v>
      </c>
      <c r="D286" t="e">
        <v>#N/A</v>
      </c>
      <c r="E286" t="e">
        <v>#N/A</v>
      </c>
      <c r="F286">
        <v>95.4</v>
      </c>
      <c r="G286" s="6">
        <v>115.5</v>
      </c>
      <c r="H286">
        <v>90</v>
      </c>
      <c r="I286">
        <v>95.5</v>
      </c>
      <c r="J286" t="e">
        <v>#N/A</v>
      </c>
      <c r="K286">
        <v>5.5</v>
      </c>
      <c r="L286">
        <v>157.6</v>
      </c>
      <c r="M286" s="13">
        <v>45946</v>
      </c>
      <c r="O286" s="8">
        <v>-3.8170131083722601E-2</v>
      </c>
      <c r="P286" s="2">
        <v>-15.9</v>
      </c>
    </row>
    <row r="287" spans="1:16" x14ac:dyDescent="0.2">
      <c r="A287" s="1">
        <v>45200</v>
      </c>
      <c r="B287" s="9">
        <v>489704</v>
      </c>
      <c r="C287" s="2">
        <v>614160</v>
      </c>
      <c r="D287">
        <v>101.4</v>
      </c>
      <c r="E287">
        <v>111.4</v>
      </c>
      <c r="F287">
        <v>95.2</v>
      </c>
      <c r="G287" s="6">
        <v>113.7</v>
      </c>
      <c r="H287">
        <v>90.6</v>
      </c>
      <c r="I287">
        <v>95.8</v>
      </c>
      <c r="J287">
        <v>544192</v>
      </c>
      <c r="K287">
        <v>4.7</v>
      </c>
      <c r="L287">
        <v>154.69999999999999</v>
      </c>
      <c r="M287" s="13">
        <v>45949</v>
      </c>
      <c r="O287" s="8">
        <v>9.0637663864162804E-2</v>
      </c>
      <c r="P287" s="2">
        <v>-15.5</v>
      </c>
    </row>
    <row r="288" spans="1:16" x14ac:dyDescent="0.2">
      <c r="A288" s="1">
        <v>45231</v>
      </c>
      <c r="B288" s="9" t="e">
        <v>#N/A</v>
      </c>
      <c r="C288" s="2" t="e">
        <v>#N/A</v>
      </c>
      <c r="D288" t="e">
        <v>#N/A</v>
      </c>
      <c r="E288" t="e">
        <v>#N/A</v>
      </c>
      <c r="F288">
        <v>95.1</v>
      </c>
      <c r="G288" s="6">
        <v>112.8</v>
      </c>
      <c r="H288">
        <v>90.2</v>
      </c>
      <c r="I288">
        <v>95.2</v>
      </c>
      <c r="J288" t="e">
        <v>#N/A</v>
      </c>
      <c r="K288">
        <v>4.0999999999999996</v>
      </c>
      <c r="L288">
        <v>151.6</v>
      </c>
      <c r="M288" s="13">
        <v>45972</v>
      </c>
      <c r="O288" s="8">
        <v>3.2532962444236098E-2</v>
      </c>
      <c r="P288" s="2">
        <v>-16.5</v>
      </c>
    </row>
    <row r="289" spans="1:16" x14ac:dyDescent="0.2">
      <c r="A289" s="1">
        <v>45261</v>
      </c>
      <c r="B289" s="9" t="e">
        <v>#N/A</v>
      </c>
      <c r="C289" s="2" t="e">
        <v>#N/A</v>
      </c>
      <c r="D289" t="e">
        <v>#N/A</v>
      </c>
      <c r="E289" t="e">
        <v>#N/A</v>
      </c>
      <c r="F289">
        <v>93.5</v>
      </c>
      <c r="G289" s="6">
        <v>113.7</v>
      </c>
      <c r="H289">
        <v>92.8</v>
      </c>
      <c r="I289">
        <v>95.7</v>
      </c>
      <c r="J289" t="e">
        <v>#N/A</v>
      </c>
      <c r="K289">
        <v>3.8</v>
      </c>
      <c r="L289">
        <v>148.4</v>
      </c>
      <c r="M289" s="13">
        <v>45988</v>
      </c>
      <c r="O289" s="8">
        <v>9.0398672890046293E-3</v>
      </c>
      <c r="P289" s="2">
        <v>-14</v>
      </c>
    </row>
    <row r="290" spans="1:16" x14ac:dyDescent="0.2">
      <c r="A290" s="1">
        <v>45292</v>
      </c>
      <c r="B290" s="9">
        <v>492139</v>
      </c>
      <c r="C290" s="2">
        <v>554713</v>
      </c>
      <c r="D290">
        <v>101.5</v>
      </c>
      <c r="E290">
        <v>114.4</v>
      </c>
      <c r="F290">
        <v>94.2</v>
      </c>
      <c r="G290" s="6">
        <v>111.5</v>
      </c>
      <c r="H290">
        <v>90.2</v>
      </c>
      <c r="I290">
        <v>95</v>
      </c>
      <c r="J290">
        <v>549053</v>
      </c>
      <c r="K290">
        <v>3.8</v>
      </c>
      <c r="L290">
        <v>150.19999999999999</v>
      </c>
      <c r="M290" s="13">
        <v>45970</v>
      </c>
      <c r="O290" s="8">
        <v>4.4795576943434098E-2</v>
      </c>
      <c r="P290" s="2">
        <v>-17.3</v>
      </c>
    </row>
    <row r="291" spans="1:16" x14ac:dyDescent="0.2">
      <c r="A291" s="1">
        <v>45323</v>
      </c>
      <c r="B291" s="9" t="e">
        <v>#N/A</v>
      </c>
      <c r="C291" s="2" t="e">
        <v>#N/A</v>
      </c>
      <c r="D291" t="e">
        <v>#N/A</v>
      </c>
      <c r="E291" t="e">
        <v>#N/A</v>
      </c>
      <c r="F291">
        <v>95.1</v>
      </c>
      <c r="G291" s="6">
        <v>113.6</v>
      </c>
      <c r="H291">
        <v>89.7</v>
      </c>
      <c r="I291">
        <v>94.7</v>
      </c>
      <c r="J291" t="e">
        <v>#N/A</v>
      </c>
      <c r="K291">
        <v>3.3</v>
      </c>
      <c r="L291">
        <v>150.9</v>
      </c>
      <c r="M291" s="13">
        <v>45975</v>
      </c>
      <c r="O291" s="8">
        <v>4.5033070925896403E-2</v>
      </c>
      <c r="P291" s="2">
        <v>-14.3</v>
      </c>
    </row>
    <row r="292" spans="1:16" x14ac:dyDescent="0.2">
      <c r="A292" s="1">
        <v>45352</v>
      </c>
      <c r="B292" s="9" t="e">
        <v>#N/A</v>
      </c>
      <c r="C292" s="2" t="e">
        <v>#N/A</v>
      </c>
      <c r="D292" t="e">
        <v>#N/A</v>
      </c>
      <c r="E292" t="e">
        <v>#N/A</v>
      </c>
      <c r="F292">
        <v>93.8</v>
      </c>
      <c r="G292" s="6">
        <v>113.3</v>
      </c>
      <c r="H292">
        <v>90.5</v>
      </c>
      <c r="I292">
        <v>96.3</v>
      </c>
      <c r="J292" t="e">
        <v>#N/A</v>
      </c>
      <c r="K292">
        <v>3</v>
      </c>
      <c r="L292">
        <v>150.5</v>
      </c>
      <c r="M292" s="13">
        <v>45985</v>
      </c>
      <c r="O292" s="8">
        <v>-3.0768414243720298E-2</v>
      </c>
      <c r="P292" s="2">
        <v>-13.4</v>
      </c>
    </row>
    <row r="293" spans="1:16" x14ac:dyDescent="0.2">
      <c r="A293" s="1">
        <v>45383</v>
      </c>
      <c r="B293" s="9">
        <v>501907</v>
      </c>
      <c r="C293" s="2">
        <v>569904</v>
      </c>
      <c r="D293">
        <v>101.9</v>
      </c>
      <c r="E293">
        <v>114.8</v>
      </c>
      <c r="F293">
        <v>94.1</v>
      </c>
      <c r="G293" s="6">
        <v>112.7</v>
      </c>
      <c r="H293">
        <v>91.9</v>
      </c>
      <c r="I293">
        <v>96.4</v>
      </c>
      <c r="J293">
        <v>553672</v>
      </c>
      <c r="K293">
        <v>2.8</v>
      </c>
      <c r="L293">
        <v>154</v>
      </c>
      <c r="M293" s="13">
        <v>45993</v>
      </c>
      <c r="O293" s="8">
        <v>3.1063042818486201E-2</v>
      </c>
      <c r="P293" s="2">
        <v>-10.1</v>
      </c>
    </row>
    <row r="294" spans="1:16" x14ac:dyDescent="0.2">
      <c r="A294" s="1">
        <v>45413</v>
      </c>
      <c r="B294" s="9" t="e">
        <v>#N/A</v>
      </c>
      <c r="C294" s="2" t="e">
        <v>#N/A</v>
      </c>
      <c r="D294" t="e">
        <v>#N/A</v>
      </c>
      <c r="E294" t="e">
        <v>#N/A</v>
      </c>
      <c r="F294">
        <v>91.9</v>
      </c>
      <c r="G294" s="6">
        <v>111.5</v>
      </c>
      <c r="H294">
        <v>92.4</v>
      </c>
      <c r="I294">
        <v>96.4</v>
      </c>
      <c r="J294" t="e">
        <v>#N/A</v>
      </c>
      <c r="K294">
        <v>3.2</v>
      </c>
      <c r="L294">
        <v>152.1</v>
      </c>
      <c r="M294" s="13">
        <v>46009</v>
      </c>
      <c r="O294" s="8">
        <v>-1.42918860376433E-2</v>
      </c>
      <c r="P294" s="2">
        <v>-9.8000000000000007</v>
      </c>
    </row>
    <row r="295" spans="1:16" x14ac:dyDescent="0.2">
      <c r="A295" s="1">
        <v>45444</v>
      </c>
      <c r="B295" s="9" t="e">
        <v>#N/A</v>
      </c>
      <c r="C295" s="2" t="e">
        <v>#N/A</v>
      </c>
      <c r="D295" t="e">
        <v>#N/A</v>
      </c>
      <c r="E295" t="e">
        <v>#N/A</v>
      </c>
      <c r="F295">
        <v>93.6</v>
      </c>
      <c r="G295" s="6">
        <v>112.2</v>
      </c>
      <c r="H295">
        <v>92.2</v>
      </c>
      <c r="I295">
        <v>95.8</v>
      </c>
      <c r="J295" t="e">
        <v>#N/A</v>
      </c>
      <c r="K295">
        <v>3.1</v>
      </c>
      <c r="L295">
        <v>150.30000000000001</v>
      </c>
      <c r="M295" s="13">
        <v>45987</v>
      </c>
      <c r="O295" s="8">
        <v>1.4870752550031299E-2</v>
      </c>
      <c r="P295" s="2">
        <v>-9.9</v>
      </c>
    </row>
    <row r="296" spans="1:16" x14ac:dyDescent="0.2">
      <c r="A296" s="1">
        <v>45474</v>
      </c>
      <c r="B296" s="9">
        <v>510537</v>
      </c>
      <c r="C296" s="2">
        <v>581011</v>
      </c>
      <c r="D296">
        <v>101.6</v>
      </c>
      <c r="E296">
        <v>115</v>
      </c>
      <c r="F296">
        <v>91.4</v>
      </c>
      <c r="G296" s="6">
        <v>109.9</v>
      </c>
      <c r="H296">
        <v>92.3</v>
      </c>
      <c r="I296">
        <v>96.5</v>
      </c>
      <c r="J296">
        <v>557094</v>
      </c>
      <c r="K296">
        <v>3.1</v>
      </c>
      <c r="L296">
        <v>150.69999999999999</v>
      </c>
      <c r="M296" s="13">
        <v>45989</v>
      </c>
      <c r="O296" s="8">
        <v>2.12897770064568E-2</v>
      </c>
      <c r="P296" s="2">
        <v>-7.7</v>
      </c>
    </row>
    <row r="297" spans="1:16" x14ac:dyDescent="0.2">
      <c r="A297" s="1">
        <v>45505</v>
      </c>
      <c r="B297" s="9" t="e">
        <v>#N/A</v>
      </c>
      <c r="C297" s="2" t="e">
        <v>#N/A</v>
      </c>
      <c r="D297" t="e">
        <v>#N/A</v>
      </c>
      <c r="E297" t="e">
        <v>#N/A</v>
      </c>
      <c r="F297">
        <v>93</v>
      </c>
      <c r="G297" s="6">
        <v>111.3</v>
      </c>
      <c r="H297">
        <v>90.9</v>
      </c>
      <c r="I297">
        <v>97.9</v>
      </c>
      <c r="J297" t="e">
        <v>#N/A</v>
      </c>
      <c r="K297">
        <v>2.9</v>
      </c>
      <c r="L297">
        <v>148.5</v>
      </c>
      <c r="M297" s="13">
        <v>45976</v>
      </c>
      <c r="O297" s="8">
        <v>2.1867967557486899E-2</v>
      </c>
      <c r="P297" s="2">
        <v>-9.9</v>
      </c>
    </row>
    <row r="298" spans="1:16" x14ac:dyDescent="0.2">
      <c r="A298" s="1">
        <v>45536</v>
      </c>
      <c r="B298" s="9" t="e">
        <v>#N/A</v>
      </c>
      <c r="C298" s="2" t="e">
        <v>#N/A</v>
      </c>
      <c r="D298" t="e">
        <v>#N/A</v>
      </c>
      <c r="E298" t="e">
        <v>#N/A</v>
      </c>
      <c r="F298">
        <v>91.5</v>
      </c>
      <c r="G298" s="6">
        <v>110.8</v>
      </c>
      <c r="H298">
        <v>89.9</v>
      </c>
      <c r="I298">
        <v>99.9</v>
      </c>
      <c r="J298" t="e">
        <v>#N/A</v>
      </c>
      <c r="K298">
        <v>2.9</v>
      </c>
      <c r="L298">
        <v>145.80000000000001</v>
      </c>
      <c r="M298" s="13">
        <v>45971</v>
      </c>
      <c r="O298" s="8">
        <v>-1.28842782964522E-2</v>
      </c>
      <c r="P298" s="2">
        <v>-11</v>
      </c>
    </row>
    <row r="299" spans="1:16" x14ac:dyDescent="0.2">
      <c r="A299" s="1">
        <v>45566</v>
      </c>
      <c r="B299" s="9">
        <v>519839</v>
      </c>
      <c r="C299" s="2">
        <v>642424</v>
      </c>
      <c r="D299">
        <v>102</v>
      </c>
      <c r="E299">
        <v>116.4</v>
      </c>
      <c r="F299">
        <v>91.2</v>
      </c>
      <c r="G299" s="6">
        <v>109.6</v>
      </c>
      <c r="H299">
        <v>90.5</v>
      </c>
      <c r="I299">
        <v>98.5</v>
      </c>
      <c r="J299">
        <v>561929</v>
      </c>
      <c r="K299">
        <v>3.3</v>
      </c>
      <c r="L299">
        <v>146.4</v>
      </c>
      <c r="M299" s="13">
        <v>45985</v>
      </c>
      <c r="O299" s="8">
        <v>2.83664287347438E-2</v>
      </c>
      <c r="P299" s="2">
        <v>-9</v>
      </c>
    </row>
    <row r="300" spans="1:16" x14ac:dyDescent="0.2">
      <c r="A300" s="1">
        <v>45597</v>
      </c>
      <c r="B300" s="9" t="e">
        <v>#N/A</v>
      </c>
      <c r="C300" s="2" t="e">
        <v>#N/A</v>
      </c>
      <c r="D300" t="e">
        <v>#N/A</v>
      </c>
      <c r="E300" t="e">
        <v>#N/A</v>
      </c>
      <c r="F300">
        <v>92.3</v>
      </c>
      <c r="G300" s="6">
        <v>111.1</v>
      </c>
      <c r="H300">
        <v>89.1</v>
      </c>
      <c r="I300">
        <v>98.8</v>
      </c>
      <c r="J300" t="e">
        <v>#N/A</v>
      </c>
      <c r="K300">
        <v>3.1</v>
      </c>
      <c r="L300">
        <v>146.1</v>
      </c>
      <c r="M300" s="13">
        <v>45999</v>
      </c>
      <c r="O300" s="8">
        <v>1.43008476777062E-2</v>
      </c>
      <c r="P300" s="2">
        <v>-11.4</v>
      </c>
    </row>
    <row r="301" spans="1:16" x14ac:dyDescent="0.2">
      <c r="A301" s="1">
        <v>45627</v>
      </c>
      <c r="B301" s="9" t="e">
        <v>#N/A</v>
      </c>
      <c r="C301" s="2" t="e">
        <v>#N/A</v>
      </c>
      <c r="D301" t="e">
        <v>#N/A</v>
      </c>
      <c r="E301" t="e">
        <v>#N/A</v>
      </c>
      <c r="F301">
        <v>90.7</v>
      </c>
      <c r="G301" s="6">
        <v>112.2</v>
      </c>
      <c r="H301">
        <v>86.8</v>
      </c>
      <c r="I301">
        <v>98.9</v>
      </c>
      <c r="J301" t="e">
        <v>#N/A</v>
      </c>
      <c r="K301">
        <v>3.4</v>
      </c>
      <c r="L301">
        <v>146.19999999999999</v>
      </c>
      <c r="M301" s="13">
        <v>46010</v>
      </c>
      <c r="O301" s="8">
        <v>8.76092112293545E-2</v>
      </c>
      <c r="P301" s="2">
        <v>-10.5</v>
      </c>
    </row>
    <row r="302" spans="1:16" x14ac:dyDescent="0.2">
      <c r="A302" s="1">
        <v>45658</v>
      </c>
      <c r="B302" s="9">
        <v>526214</v>
      </c>
      <c r="C302" s="2" t="e">
        <v>#N/A</v>
      </c>
      <c r="D302">
        <v>101.7</v>
      </c>
      <c r="E302">
        <v>118</v>
      </c>
      <c r="F302">
        <v>91.7</v>
      </c>
      <c r="G302" s="6">
        <v>111.5</v>
      </c>
      <c r="H302">
        <v>88</v>
      </c>
      <c r="I302">
        <v>99.1</v>
      </c>
      <c r="J302">
        <v>569513</v>
      </c>
      <c r="K302">
        <v>3.2</v>
      </c>
      <c r="L302">
        <v>148.19999999999999</v>
      </c>
      <c r="M302" s="13">
        <v>46008</v>
      </c>
      <c r="O302" s="8">
        <v>3.7010299324510498E-2</v>
      </c>
      <c r="P302" s="2">
        <v>-11.9</v>
      </c>
    </row>
    <row r="303" spans="1:16" x14ac:dyDescent="0.2">
      <c r="A303" s="1">
        <v>45689</v>
      </c>
      <c r="B303" s="9" t="e">
        <v>#N/A</v>
      </c>
      <c r="C303" s="2" t="e">
        <v>#N/A</v>
      </c>
      <c r="D303" t="e">
        <v>#N/A</v>
      </c>
      <c r="E303" t="e">
        <v>#N/A</v>
      </c>
      <c r="F303">
        <v>91.3</v>
      </c>
      <c r="G303" s="6">
        <v>112.1</v>
      </c>
      <c r="H303">
        <v>89.2</v>
      </c>
      <c r="I303">
        <v>99.7</v>
      </c>
      <c r="J303" t="e">
        <v>#N/A</v>
      </c>
      <c r="K303">
        <v>3.1</v>
      </c>
      <c r="L303">
        <v>148.9</v>
      </c>
      <c r="M303" s="13">
        <v>46021</v>
      </c>
      <c r="O303" s="8">
        <v>-1.7352113686762E-2</v>
      </c>
      <c r="P303" s="2">
        <v>-11.4</v>
      </c>
    </row>
    <row r="304" spans="1:16" x14ac:dyDescent="0.2">
      <c r="A304" s="1">
        <v>45717</v>
      </c>
      <c r="B304" s="9" t="e">
        <v>#N/A</v>
      </c>
      <c r="C304" s="2" t="e">
        <v>#N/A</v>
      </c>
      <c r="D304" t="e">
        <v>#N/A</v>
      </c>
      <c r="E304" t="e">
        <v>#N/A</v>
      </c>
      <c r="F304">
        <v>93.7</v>
      </c>
      <c r="G304" s="6">
        <v>114.3</v>
      </c>
      <c r="H304">
        <v>89.5</v>
      </c>
      <c r="I304">
        <v>100.7</v>
      </c>
      <c r="J304" t="e">
        <v>#N/A</v>
      </c>
      <c r="K304">
        <v>3</v>
      </c>
      <c r="L304">
        <v>146.6</v>
      </c>
      <c r="M304" s="13">
        <v>46016</v>
      </c>
      <c r="O304" s="8">
        <v>1.4934747787439299E-2</v>
      </c>
      <c r="P304" s="2">
        <v>-10.1</v>
      </c>
    </row>
    <row r="305" spans="1:16" x14ac:dyDescent="0.2">
      <c r="A305" s="1">
        <v>45748</v>
      </c>
      <c r="B305" s="9">
        <v>534666</v>
      </c>
      <c r="C305" s="2" t="e">
        <v>#N/A</v>
      </c>
      <c r="D305">
        <v>101.5</v>
      </c>
      <c r="E305">
        <v>119.5</v>
      </c>
      <c r="F305">
        <v>91.7</v>
      </c>
      <c r="G305" s="6">
        <v>112.6</v>
      </c>
      <c r="H305">
        <v>90</v>
      </c>
      <c r="I305">
        <v>100.4</v>
      </c>
      <c r="J305">
        <v>573597</v>
      </c>
      <c r="K305">
        <v>3.1</v>
      </c>
      <c r="L305">
        <v>145.80000000000001</v>
      </c>
      <c r="M305" s="13">
        <v>46024</v>
      </c>
      <c r="O305" s="8">
        <v>6.4567745552686504E-2</v>
      </c>
      <c r="P305" s="2">
        <v>-10.7</v>
      </c>
    </row>
    <row r="306" spans="1:16" x14ac:dyDescent="0.2">
      <c r="A306" s="1">
        <v>45778</v>
      </c>
      <c r="B306" s="9" t="e">
        <v>#N/A</v>
      </c>
      <c r="C306" s="2" t="e">
        <v>#N/A</v>
      </c>
      <c r="D306" t="e">
        <v>#N/A</v>
      </c>
      <c r="E306" t="e">
        <v>#N/A</v>
      </c>
      <c r="F306">
        <v>92.1</v>
      </c>
      <c r="G306" s="6">
        <v>110.5</v>
      </c>
      <c r="H306">
        <v>91.6</v>
      </c>
      <c r="I306">
        <v>100</v>
      </c>
      <c r="J306" t="e">
        <v>#N/A</v>
      </c>
      <c r="K306">
        <v>2.9</v>
      </c>
      <c r="L306">
        <v>145.19999999999999</v>
      </c>
      <c r="M306" s="13">
        <v>46002</v>
      </c>
      <c r="O306" s="8">
        <v>-3.6684003381495201E-3</v>
      </c>
      <c r="P306" s="2">
        <v>-8.6999999999999993</v>
      </c>
    </row>
    <row r="307" spans="1:16" x14ac:dyDescent="0.2">
      <c r="A307" s="1">
        <v>45809</v>
      </c>
      <c r="B307" s="9" t="e">
        <v>#N/A</v>
      </c>
      <c r="C307" s="2" t="e">
        <v>#N/A</v>
      </c>
      <c r="D307" t="e">
        <v>#N/A</v>
      </c>
      <c r="E307" t="e">
        <v>#N/A</v>
      </c>
      <c r="F307">
        <v>91.8</v>
      </c>
      <c r="G307" s="6">
        <v>112.1</v>
      </c>
      <c r="H307">
        <v>90.8</v>
      </c>
      <c r="I307">
        <v>101.2</v>
      </c>
      <c r="J307" t="e">
        <v>#N/A</v>
      </c>
      <c r="K307">
        <v>2.5</v>
      </c>
      <c r="L307">
        <v>145.1</v>
      </c>
      <c r="M307" s="13">
        <v>45992</v>
      </c>
      <c r="O307" s="8">
        <v>6.4976181897140597E-3</v>
      </c>
      <c r="P307" s="2">
        <v>-8.8000000000000007</v>
      </c>
    </row>
    <row r="308" spans="1:16" x14ac:dyDescent="0.2">
      <c r="A308" s="1">
        <v>45839</v>
      </c>
      <c r="B308" s="9">
        <v>535373</v>
      </c>
      <c r="C308" s="2" t="e">
        <v>#N/A</v>
      </c>
      <c r="D308">
        <v>101.6</v>
      </c>
      <c r="E308">
        <v>119.3</v>
      </c>
      <c r="F308">
        <v>93.3</v>
      </c>
      <c r="G308" s="6">
        <v>111.6</v>
      </c>
      <c r="H308">
        <v>91.9</v>
      </c>
      <c r="I308">
        <v>100.5</v>
      </c>
      <c r="J308">
        <v>575474</v>
      </c>
      <c r="K308">
        <v>2.4</v>
      </c>
      <c r="L308">
        <v>145.6</v>
      </c>
      <c r="M308" s="13">
        <v>45984</v>
      </c>
      <c r="O308" s="8">
        <v>-6.80709971585891E-3</v>
      </c>
      <c r="P308" s="2">
        <v>-8.4</v>
      </c>
    </row>
    <row r="309" spans="1:16" x14ac:dyDescent="0.2">
      <c r="A309" s="1">
        <v>45870</v>
      </c>
      <c r="B309" s="9" t="e">
        <v>#N/A</v>
      </c>
      <c r="C309" s="2" t="e">
        <v>#N/A</v>
      </c>
      <c r="D309" t="e">
        <v>#N/A</v>
      </c>
      <c r="E309" t="e">
        <v>#N/A</v>
      </c>
      <c r="F309">
        <v>89.2</v>
      </c>
      <c r="G309" s="7">
        <v>111</v>
      </c>
      <c r="H309">
        <v>90.9</v>
      </c>
      <c r="I309">
        <v>99.9</v>
      </c>
      <c r="J309" t="e">
        <v>#N/A</v>
      </c>
      <c r="K309">
        <v>2.5</v>
      </c>
      <c r="L309">
        <v>145.1</v>
      </c>
      <c r="M309" s="13">
        <v>45962</v>
      </c>
      <c r="O309" s="8">
        <v>-8.9949423721336096E-4</v>
      </c>
      <c r="P309" s="2">
        <v>-10.6</v>
      </c>
    </row>
    <row r="310" spans="1:16" x14ac:dyDescent="0.2">
      <c r="A310" s="1">
        <v>45901</v>
      </c>
      <c r="B310" s="9" t="e">
        <v>#N/A</v>
      </c>
      <c r="C310" s="2" t="e">
        <v>#N/A</v>
      </c>
      <c r="D310" t="e">
        <v>#N/A</v>
      </c>
      <c r="E310" t="e">
        <v>#N/A</v>
      </c>
      <c r="F310">
        <v>90.9</v>
      </c>
      <c r="G310" s="6">
        <v>108.5</v>
      </c>
      <c r="H310">
        <v>90.5</v>
      </c>
      <c r="I310">
        <v>100.8</v>
      </c>
      <c r="J310" t="e">
        <v>#N/A</v>
      </c>
      <c r="K310">
        <v>2.7</v>
      </c>
      <c r="L310">
        <v>144.80000000000001</v>
      </c>
      <c r="M310" s="13">
        <v>45952</v>
      </c>
      <c r="O310" s="8">
        <v>3.2433834859766399E-3</v>
      </c>
      <c r="P310" s="2">
        <v>-9.3000000000000007</v>
      </c>
    </row>
    <row r="311" spans="1:16" x14ac:dyDescent="0.2">
      <c r="A311" s="1">
        <v>45931</v>
      </c>
      <c r="B311" s="9" t="e">
        <v>#N/A</v>
      </c>
      <c r="C311" s="2" t="e">
        <v>#N/A</v>
      </c>
      <c r="D311" t="e">
        <v>#N/A</v>
      </c>
      <c r="E311" t="e">
        <v>#N/A</v>
      </c>
      <c r="F311" t="e">
        <v>#N/A</v>
      </c>
      <c r="G311" s="6">
        <v>108.9</v>
      </c>
      <c r="H311">
        <v>91.4</v>
      </c>
      <c r="I311">
        <v>99.5</v>
      </c>
      <c r="J311" t="e">
        <v>#N/A</v>
      </c>
      <c r="K311">
        <v>2.6</v>
      </c>
      <c r="L311">
        <v>145.1</v>
      </c>
      <c r="M311" s="13">
        <v>45948</v>
      </c>
      <c r="O311" s="8">
        <v>-5.0847056024565501E-3</v>
      </c>
      <c r="P311" s="2">
        <v>-10.9</v>
      </c>
    </row>
    <row r="312" spans="1:16" x14ac:dyDescent="0.2">
      <c r="A312" s="1">
        <v>45962</v>
      </c>
      <c r="B312" s="9" t="e">
        <v>#N/A</v>
      </c>
      <c r="C312" s="2" t="e">
        <v>#N/A</v>
      </c>
      <c r="D312" t="e">
        <v>#N/A</v>
      </c>
      <c r="E312" t="e">
        <v>#N/A</v>
      </c>
      <c r="F312" t="e">
        <v>#N/A</v>
      </c>
      <c r="G312" s="7">
        <v>112</v>
      </c>
      <c r="H312">
        <v>91.2</v>
      </c>
      <c r="I312" t="e">
        <v>#N/A</v>
      </c>
      <c r="J312" t="e">
        <v>#N/A</v>
      </c>
      <c r="K312">
        <v>2.8</v>
      </c>
      <c r="L312">
        <v>145.9</v>
      </c>
      <c r="M312" s="13">
        <v>45941</v>
      </c>
      <c r="O312" s="8">
        <v>2.7051472580767601E-2</v>
      </c>
      <c r="P312" s="2">
        <v>-11.5</v>
      </c>
    </row>
    <row r="313" spans="1:16" x14ac:dyDescent="0.2">
      <c r="A313" s="1">
        <v>45992</v>
      </c>
      <c r="B313" s="9" t="e">
        <v>#N/A</v>
      </c>
      <c r="C313" s="2" t="e">
        <v>#N/A</v>
      </c>
      <c r="D313" t="e">
        <v>#N/A</v>
      </c>
      <c r="E313" t="e">
        <v>#N/A</v>
      </c>
      <c r="F313" t="e">
        <v>#N/A</v>
      </c>
      <c r="G313" s="6">
        <v>110.8</v>
      </c>
      <c r="H313">
        <v>90.1</v>
      </c>
      <c r="I313" t="e">
        <v>#N/A</v>
      </c>
      <c r="J313" t="e">
        <v>#N/A</v>
      </c>
      <c r="K313">
        <v>2.2999999999999998</v>
      </c>
      <c r="L313">
        <v>144.30000000000001</v>
      </c>
      <c r="M313" s="13">
        <v>45935</v>
      </c>
      <c r="O313" s="8">
        <v>2.5679690612724598E-2</v>
      </c>
      <c r="P313" s="2">
        <v>-12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D087-7DFA-7B41-801D-0DC7D7892A01}">
  <dimension ref="A1:S313"/>
  <sheetViews>
    <sheetView tabSelected="1" zoomScale="99" workbookViewId="0">
      <selection activeCell="E7" sqref="E7"/>
    </sheetView>
  </sheetViews>
  <sheetFormatPr baseColWidth="10" defaultRowHeight="16" x14ac:dyDescent="0.2"/>
  <cols>
    <col min="2" max="2" width="15.33203125" bestFit="1" customWidth="1"/>
    <col min="3" max="3" width="19.6640625" bestFit="1" customWidth="1"/>
    <col min="9" max="9" width="19.33203125" bestFit="1" customWidth="1"/>
    <col min="10" max="10" width="14.1640625" bestFit="1" customWidth="1"/>
    <col min="11" max="11" width="26.1640625" bestFit="1" customWidth="1"/>
    <col min="16" max="16" width="17.83203125" customWidth="1"/>
    <col min="17" max="17" width="27.5" bestFit="1" customWidth="1"/>
  </cols>
  <sheetData>
    <row r="1" spans="1:19" ht="17" thickBot="1" x14ac:dyDescent="0.25">
      <c r="A1" s="10" t="s">
        <v>0</v>
      </c>
      <c r="B1" s="11" t="s">
        <v>26</v>
      </c>
      <c r="C1" s="11" t="s">
        <v>12</v>
      </c>
      <c r="D1" s="11" t="s">
        <v>22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18</v>
      </c>
      <c r="K1" s="11" t="s">
        <v>19</v>
      </c>
      <c r="L1" s="11" t="s">
        <v>3</v>
      </c>
      <c r="M1" s="11" t="s">
        <v>5</v>
      </c>
      <c r="N1" s="11" t="s">
        <v>2</v>
      </c>
      <c r="O1" s="11" t="s">
        <v>20</v>
      </c>
      <c r="P1" s="11" t="s">
        <v>7</v>
      </c>
      <c r="Q1" s="12" t="s">
        <v>21</v>
      </c>
    </row>
    <row r="2" spans="1:19" x14ac:dyDescent="0.2">
      <c r="A2" s="1">
        <v>36526</v>
      </c>
      <c r="B2" s="9" t="s">
        <v>25</v>
      </c>
      <c r="C2" s="8">
        <v>5.5395238095238097</v>
      </c>
      <c r="D2">
        <v>0.2</v>
      </c>
      <c r="E2">
        <v>39.299999999999997</v>
      </c>
      <c r="F2">
        <v>8.1999999999999993</v>
      </c>
      <c r="G2" s="5">
        <v>2806</v>
      </c>
      <c r="H2" t="e">
        <v>#N/A</v>
      </c>
      <c r="I2" s="3">
        <v>0.11390204727649689</v>
      </c>
      <c r="L2">
        <v>82.4</v>
      </c>
      <c r="M2">
        <v>81.400000000000006</v>
      </c>
      <c r="N2">
        <v>97</v>
      </c>
      <c r="O2">
        <v>261618</v>
      </c>
      <c r="P2" s="8">
        <v>57.042669999999987</v>
      </c>
      <c r="Q2" s="1" t="e">
        <v>#N/A</v>
      </c>
      <c r="S2" t="str">
        <f>IF(MONTH($A2) = 1, YEAR($A2)&amp;"-Q"&amp;MONTH($A2), IF(MONTH($A2) = 4, YEAR($A2)&amp;"-Q2", IF(MONTH($A2) = 7, YEAR($A2)&amp;"-Q3", IF(MONTH($A2) = 10, YEAR($A2)&amp;"-Q4",""))))</f>
        <v>2000-Q1</v>
      </c>
    </row>
    <row r="3" spans="1:19" x14ac:dyDescent="0.2">
      <c r="A3" s="1">
        <v>36557</v>
      </c>
      <c r="B3" s="9" t="e">
        <v>#N/A</v>
      </c>
      <c r="C3" s="8">
        <v>5.5085714285714307</v>
      </c>
      <c r="D3">
        <v>0.1</v>
      </c>
      <c r="E3" t="e">
        <v>#N/A</v>
      </c>
      <c r="F3">
        <v>8.1</v>
      </c>
      <c r="G3" s="5">
        <v>2783</v>
      </c>
      <c r="H3" t="e">
        <v>#N/A</v>
      </c>
      <c r="I3" s="4">
        <v>0.16994932293891907</v>
      </c>
      <c r="L3">
        <v>84.2</v>
      </c>
      <c r="M3">
        <v>82</v>
      </c>
      <c r="N3" t="e">
        <v>#N/A</v>
      </c>
      <c r="O3" t="e">
        <v>#N/A</v>
      </c>
      <c r="P3" s="8">
        <v>57.344720000000002</v>
      </c>
      <c r="Q3" s="1" t="e">
        <v>#N/A</v>
      </c>
      <c r="S3" t="str">
        <f t="shared" ref="S3:S66" si="0">IF(MONTH($A3) = 1, YEAR($A3)&amp;"-Q"&amp;MONTH($A3), IF(MONTH($A3) = 4, YEAR($A3)&amp;"-Q2", IF(MONTH($A3) = 7, YEAR($A3)&amp;"-Q3", IF(MONTH($A3) = 10, YEAR($A3)&amp;"-Q4",""))))</f>
        <v/>
      </c>
    </row>
    <row r="4" spans="1:19" x14ac:dyDescent="0.2">
      <c r="A4" s="1">
        <v>36586</v>
      </c>
      <c r="B4" s="9" t="e">
        <v>#N/A</v>
      </c>
      <c r="C4" s="8">
        <v>5.33304347826087</v>
      </c>
      <c r="D4">
        <v>-0.2</v>
      </c>
      <c r="E4" t="e">
        <v>#N/A</v>
      </c>
      <c r="F4">
        <v>8.1</v>
      </c>
      <c r="G4" s="5">
        <v>2762</v>
      </c>
      <c r="H4" t="e">
        <v>#N/A</v>
      </c>
      <c r="I4" s="4">
        <v>0.15328606963157654</v>
      </c>
      <c r="L4">
        <v>84.1</v>
      </c>
      <c r="M4">
        <v>81.400000000000006</v>
      </c>
      <c r="N4" t="e">
        <v>#N/A</v>
      </c>
      <c r="O4" t="e">
        <v>#N/A</v>
      </c>
      <c r="P4" s="8">
        <v>58.889930000000007</v>
      </c>
      <c r="Q4" s="1" t="e">
        <v>#N/A</v>
      </c>
      <c r="S4" t="str">
        <f t="shared" si="0"/>
        <v/>
      </c>
    </row>
    <row r="5" spans="1:19" x14ac:dyDescent="0.2">
      <c r="A5" s="1">
        <v>36617</v>
      </c>
      <c r="B5" s="9" t="s">
        <v>25</v>
      </c>
      <c r="C5" s="8">
        <v>5.2255555555555597</v>
      </c>
      <c r="D5">
        <v>0.2</v>
      </c>
      <c r="E5">
        <v>38.9</v>
      </c>
      <c r="F5">
        <v>8</v>
      </c>
      <c r="G5" s="5">
        <v>2746</v>
      </c>
      <c r="H5" t="e">
        <v>#N/A</v>
      </c>
      <c r="I5" s="4">
        <v>0.12592947483062744</v>
      </c>
      <c r="L5">
        <v>85.4</v>
      </c>
      <c r="M5">
        <v>82.2</v>
      </c>
      <c r="N5">
        <v>97.1</v>
      </c>
      <c r="O5">
        <v>273194</v>
      </c>
      <c r="P5" s="8">
        <v>57.887700000000002</v>
      </c>
      <c r="Q5" s="1" t="e">
        <v>#N/A</v>
      </c>
      <c r="S5" t="str">
        <f t="shared" si="0"/>
        <v>2000-Q2</v>
      </c>
    </row>
    <row r="6" spans="1:19" x14ac:dyDescent="0.2">
      <c r="A6" s="1">
        <v>36647</v>
      </c>
      <c r="B6" s="9" t="e">
        <v>#N/A</v>
      </c>
      <c r="C6" s="8">
        <v>5.3781818181818197</v>
      </c>
      <c r="D6">
        <v>-0.1</v>
      </c>
      <c r="E6" t="e">
        <v>#N/A</v>
      </c>
      <c r="F6">
        <v>8</v>
      </c>
      <c r="G6" s="5">
        <v>2732</v>
      </c>
      <c r="H6" t="e">
        <v>#N/A</v>
      </c>
      <c r="I6" s="4">
        <v>0.21595203876495361</v>
      </c>
      <c r="L6">
        <v>87.2</v>
      </c>
      <c r="M6">
        <v>82.8</v>
      </c>
      <c r="N6" t="e">
        <v>#N/A</v>
      </c>
      <c r="O6" t="e">
        <v>#N/A</v>
      </c>
      <c r="P6" s="8">
        <v>58.358739999999997</v>
      </c>
      <c r="Q6" s="1" t="e">
        <v>#N/A</v>
      </c>
      <c r="S6" t="str">
        <f t="shared" si="0"/>
        <v/>
      </c>
    </row>
    <row r="7" spans="1:19" x14ac:dyDescent="0.2">
      <c r="A7" s="1">
        <v>36678</v>
      </c>
      <c r="B7" s="9" t="e">
        <v>#N/A</v>
      </c>
      <c r="C7" s="8">
        <v>5.19136363636364</v>
      </c>
      <c r="D7">
        <v>0</v>
      </c>
      <c r="E7" t="e">
        <v>#N/A</v>
      </c>
      <c r="F7">
        <v>8</v>
      </c>
      <c r="G7" s="5">
        <v>2722</v>
      </c>
      <c r="H7" t="e">
        <v>#N/A</v>
      </c>
      <c r="I7" s="4">
        <v>0.16319285333156586</v>
      </c>
      <c r="L7">
        <v>84.8</v>
      </c>
      <c r="M7">
        <v>81.7</v>
      </c>
      <c r="N7" t="e">
        <v>#N/A</v>
      </c>
      <c r="O7" t="e">
        <v>#N/A</v>
      </c>
      <c r="P7" s="8">
        <v>60.598109999999998</v>
      </c>
      <c r="Q7" s="1" t="e">
        <v>#N/A</v>
      </c>
      <c r="S7" t="str">
        <f t="shared" si="0"/>
        <v/>
      </c>
    </row>
    <row r="8" spans="1:19" x14ac:dyDescent="0.2">
      <c r="A8" s="1">
        <v>36708</v>
      </c>
      <c r="B8" s="9" t="s">
        <v>25</v>
      </c>
      <c r="C8" s="8">
        <v>5.2661904761904799</v>
      </c>
      <c r="D8">
        <v>0.1</v>
      </c>
      <c r="E8">
        <v>39.200000000000003</v>
      </c>
      <c r="F8">
        <v>7.9</v>
      </c>
      <c r="G8" s="5">
        <v>2714</v>
      </c>
      <c r="H8" t="e">
        <v>#N/A</v>
      </c>
      <c r="I8" s="4">
        <v>0.15419742465019226</v>
      </c>
      <c r="L8">
        <v>86.9</v>
      </c>
      <c r="M8">
        <v>81.900000000000006</v>
      </c>
      <c r="N8">
        <v>97.1</v>
      </c>
      <c r="O8">
        <v>282246</v>
      </c>
      <c r="P8" s="8">
        <v>60.812630000000013</v>
      </c>
      <c r="Q8" s="1" t="e">
        <v>#N/A</v>
      </c>
      <c r="S8" t="str">
        <f t="shared" si="0"/>
        <v>2000-Q3</v>
      </c>
    </row>
    <row r="9" spans="1:19" x14ac:dyDescent="0.2">
      <c r="A9" s="1">
        <v>36739</v>
      </c>
      <c r="B9" s="9" t="e">
        <v>#N/A</v>
      </c>
      <c r="C9" s="8">
        <v>5.2104347826086999</v>
      </c>
      <c r="D9">
        <v>-0.1</v>
      </c>
      <c r="E9" t="e">
        <v>#N/A</v>
      </c>
      <c r="F9">
        <v>7.9</v>
      </c>
      <c r="G9" s="5">
        <v>2707</v>
      </c>
      <c r="H9" t="e">
        <v>#N/A</v>
      </c>
      <c r="I9" s="4">
        <v>0.13323070108890533</v>
      </c>
      <c r="L9">
        <v>87.5</v>
      </c>
      <c r="M9">
        <v>82</v>
      </c>
      <c r="N9" t="e">
        <v>#N/A</v>
      </c>
      <c r="O9" t="e">
        <v>#N/A</v>
      </c>
      <c r="P9" s="8">
        <v>60.8521</v>
      </c>
      <c r="Q9" s="1" t="e">
        <v>#N/A</v>
      </c>
      <c r="S9" t="str">
        <f t="shared" si="0"/>
        <v/>
      </c>
    </row>
    <row r="10" spans="1:19" x14ac:dyDescent="0.2">
      <c r="A10" s="1">
        <v>36770</v>
      </c>
      <c r="B10" s="9" t="e">
        <v>#N/A</v>
      </c>
      <c r="C10" s="8">
        <v>5.2633333333333292</v>
      </c>
      <c r="D10">
        <v>0.1</v>
      </c>
      <c r="E10" t="e">
        <v>#N/A</v>
      </c>
      <c r="F10">
        <v>7.9</v>
      </c>
      <c r="G10" s="5">
        <v>2699</v>
      </c>
      <c r="H10" t="e">
        <v>#N/A</v>
      </c>
      <c r="I10" s="4">
        <v>0.14824759960174561</v>
      </c>
      <c r="L10">
        <v>87.6</v>
      </c>
      <c r="M10">
        <v>81</v>
      </c>
      <c r="N10" t="e">
        <v>#N/A</v>
      </c>
      <c r="O10" t="e">
        <v>#N/A</v>
      </c>
      <c r="P10" s="8">
        <v>64.179659999999998</v>
      </c>
      <c r="Q10" s="1" t="s">
        <v>28</v>
      </c>
      <c r="S10" t="str">
        <f t="shared" si="0"/>
        <v/>
      </c>
    </row>
    <row r="11" spans="1:19" x14ac:dyDescent="0.2">
      <c r="A11" s="1">
        <v>36800</v>
      </c>
      <c r="B11" s="9" t="s">
        <v>25</v>
      </c>
      <c r="C11" s="8">
        <v>5.20714285714286</v>
      </c>
      <c r="D11">
        <v>0.1</v>
      </c>
      <c r="E11">
        <v>38.299999999999997</v>
      </c>
      <c r="F11">
        <v>7.8</v>
      </c>
      <c r="G11" s="5">
        <v>2689</v>
      </c>
      <c r="H11" t="e">
        <v>#N/A</v>
      </c>
      <c r="I11" s="4">
        <v>0.17047953605651855</v>
      </c>
      <c r="L11">
        <v>87.2</v>
      </c>
      <c r="M11">
        <v>81.2</v>
      </c>
      <c r="N11">
        <v>97</v>
      </c>
      <c r="O11">
        <v>317574</v>
      </c>
      <c r="P11" s="8">
        <v>63.404030000000013</v>
      </c>
      <c r="Q11" s="1" t="e">
        <v>#N/A</v>
      </c>
      <c r="S11" t="str">
        <f t="shared" si="0"/>
        <v>2000-Q4</v>
      </c>
    </row>
    <row r="12" spans="1:19" x14ac:dyDescent="0.2">
      <c r="A12" s="1">
        <v>36831</v>
      </c>
      <c r="B12" s="9" t="e">
        <v>#N/A</v>
      </c>
      <c r="C12" s="8">
        <v>5.1536363636363598</v>
      </c>
      <c r="D12">
        <v>0</v>
      </c>
      <c r="E12" t="e">
        <v>#N/A</v>
      </c>
      <c r="F12">
        <v>7.8</v>
      </c>
      <c r="G12" s="5">
        <v>2678</v>
      </c>
      <c r="H12" t="e">
        <v>#N/A</v>
      </c>
      <c r="I12" s="4">
        <v>0.10011401772499084</v>
      </c>
      <c r="L12">
        <v>87.7</v>
      </c>
      <c r="M12">
        <v>82</v>
      </c>
      <c r="N12" t="e">
        <v>#N/A</v>
      </c>
      <c r="O12" t="e">
        <v>#N/A</v>
      </c>
      <c r="P12" s="8">
        <v>63.896719999999988</v>
      </c>
      <c r="Q12" s="1" t="e">
        <v>#N/A</v>
      </c>
      <c r="S12" t="str">
        <f t="shared" si="0"/>
        <v/>
      </c>
    </row>
    <row r="13" spans="1:19" x14ac:dyDescent="0.2">
      <c r="A13" s="1">
        <v>36861</v>
      </c>
      <c r="B13" s="9" t="e">
        <v>#N/A</v>
      </c>
      <c r="C13" s="8">
        <v>4.8905263157894714</v>
      </c>
      <c r="D13">
        <v>1.1000000000000001</v>
      </c>
      <c r="E13" t="e">
        <v>#N/A</v>
      </c>
      <c r="F13">
        <v>7.7</v>
      </c>
      <c r="G13" s="5">
        <v>2664</v>
      </c>
      <c r="H13" t="e">
        <v>#N/A</v>
      </c>
      <c r="I13" s="4">
        <v>9.8798975348472595E-2</v>
      </c>
      <c r="L13">
        <v>88.1</v>
      </c>
      <c r="M13">
        <v>82.3</v>
      </c>
      <c r="N13" t="e">
        <v>#N/A</v>
      </c>
      <c r="O13" t="e">
        <v>#N/A</v>
      </c>
      <c r="P13" s="8">
        <v>62.936489999999999</v>
      </c>
      <c r="Q13" s="1" t="e">
        <v>#N/A</v>
      </c>
      <c r="S13" t="str">
        <f t="shared" si="0"/>
        <v/>
      </c>
    </row>
    <row r="14" spans="1:19" x14ac:dyDescent="0.2">
      <c r="A14" s="1">
        <v>36892</v>
      </c>
      <c r="B14" s="9" t="s">
        <v>25</v>
      </c>
      <c r="C14" s="8">
        <v>4.8031818181818204</v>
      </c>
      <c r="D14">
        <v>0.5</v>
      </c>
      <c r="E14">
        <v>37.1</v>
      </c>
      <c r="F14">
        <v>7.7</v>
      </c>
      <c r="G14" s="5">
        <v>2652</v>
      </c>
      <c r="H14" t="e">
        <v>#N/A</v>
      </c>
      <c r="I14" s="4">
        <v>8.6833193898200989E-2</v>
      </c>
      <c r="L14">
        <v>87.8</v>
      </c>
      <c r="M14">
        <v>84.2</v>
      </c>
      <c r="N14">
        <v>96.8</v>
      </c>
      <c r="O14">
        <v>268272</v>
      </c>
      <c r="P14" s="8">
        <v>62.321669999999997</v>
      </c>
      <c r="Q14" s="1" t="e">
        <v>#N/A</v>
      </c>
      <c r="S14" t="str">
        <f t="shared" si="0"/>
        <v>2001-Q1</v>
      </c>
    </row>
    <row r="15" spans="1:19" x14ac:dyDescent="0.2">
      <c r="A15" s="1">
        <v>36923</v>
      </c>
      <c r="B15" s="9" t="e">
        <v>#N/A</v>
      </c>
      <c r="C15" s="8">
        <v>4.7774999999999999</v>
      </c>
      <c r="D15">
        <v>0.7</v>
      </c>
      <c r="E15" t="e">
        <v>#N/A</v>
      </c>
      <c r="F15">
        <v>7.7</v>
      </c>
      <c r="G15" s="5">
        <v>2643</v>
      </c>
      <c r="H15" t="e">
        <v>#N/A</v>
      </c>
      <c r="I15" s="4">
        <v>0.14532588422298431</v>
      </c>
      <c r="L15">
        <v>88.7</v>
      </c>
      <c r="M15">
        <v>82.1</v>
      </c>
      <c r="N15" t="e">
        <v>#N/A</v>
      </c>
      <c r="O15" t="e">
        <v>#N/A</v>
      </c>
      <c r="P15" s="8">
        <v>64.210519999999988</v>
      </c>
      <c r="Q15" s="1" t="e">
        <v>#N/A</v>
      </c>
      <c r="S15" t="str">
        <f t="shared" si="0"/>
        <v/>
      </c>
    </row>
    <row r="16" spans="1:19" x14ac:dyDescent="0.2">
      <c r="A16" s="1">
        <v>36951</v>
      </c>
      <c r="B16" s="9" t="e">
        <v>#N/A</v>
      </c>
      <c r="C16" s="8">
        <v>4.6677272727272703</v>
      </c>
      <c r="D16">
        <v>1.1000000000000001</v>
      </c>
      <c r="E16" t="e">
        <v>#N/A</v>
      </c>
      <c r="F16">
        <v>7.6</v>
      </c>
      <c r="G16" s="5">
        <v>2640</v>
      </c>
      <c r="H16" t="e">
        <v>#N/A</v>
      </c>
      <c r="I16" s="4">
        <v>0.16975603997707367</v>
      </c>
      <c r="L16">
        <v>87.6</v>
      </c>
      <c r="M16">
        <v>82.9</v>
      </c>
      <c r="N16" t="e">
        <v>#N/A</v>
      </c>
      <c r="O16" t="e">
        <v>#N/A</v>
      </c>
      <c r="P16" s="8">
        <v>64.081209999999999</v>
      </c>
      <c r="Q16" s="1" t="e">
        <v>#N/A</v>
      </c>
      <c r="S16" t="str">
        <f t="shared" si="0"/>
        <v/>
      </c>
    </row>
    <row r="17" spans="1:19" x14ac:dyDescent="0.2">
      <c r="A17" s="1">
        <v>36982</v>
      </c>
      <c r="B17" s="9" t="s">
        <v>25</v>
      </c>
      <c r="C17" s="8">
        <v>4.8278947368421106</v>
      </c>
      <c r="D17">
        <v>1.2</v>
      </c>
      <c r="E17">
        <v>36.6</v>
      </c>
      <c r="F17">
        <v>7.6</v>
      </c>
      <c r="G17" s="5">
        <v>2645</v>
      </c>
      <c r="H17" t="e">
        <v>#N/A</v>
      </c>
      <c r="I17" s="4">
        <v>0.1176009401679039</v>
      </c>
      <c r="L17">
        <v>86.5</v>
      </c>
      <c r="M17">
        <v>82.3</v>
      </c>
      <c r="N17">
        <v>96.6</v>
      </c>
      <c r="O17">
        <v>278214</v>
      </c>
      <c r="P17" s="8">
        <v>64.894169999999988</v>
      </c>
      <c r="Q17" s="1" t="e">
        <v>#N/A</v>
      </c>
      <c r="S17" t="str">
        <f t="shared" si="0"/>
        <v>2001-Q2</v>
      </c>
    </row>
    <row r="18" spans="1:19" x14ac:dyDescent="0.2">
      <c r="A18" s="1">
        <v>37012</v>
      </c>
      <c r="B18" s="9" t="e">
        <v>#N/A</v>
      </c>
      <c r="C18" s="8">
        <v>5.0468181818181801</v>
      </c>
      <c r="D18">
        <v>1.7</v>
      </c>
      <c r="E18" t="e">
        <v>#N/A</v>
      </c>
      <c r="F18">
        <v>7.7</v>
      </c>
      <c r="G18" s="5">
        <v>2655</v>
      </c>
      <c r="H18" t="e">
        <v>#N/A</v>
      </c>
      <c r="I18" s="4">
        <v>0.19362187385559082</v>
      </c>
      <c r="L18">
        <v>87.2</v>
      </c>
      <c r="M18">
        <v>82.5</v>
      </c>
      <c r="N18" t="e">
        <v>#N/A</v>
      </c>
      <c r="O18" t="e">
        <v>#N/A</v>
      </c>
      <c r="P18" s="8">
        <v>66.505309999999994</v>
      </c>
      <c r="Q18" s="1" t="e">
        <v>#N/A</v>
      </c>
      <c r="S18" t="str">
        <f t="shared" si="0"/>
        <v/>
      </c>
    </row>
    <row r="19" spans="1:19" x14ac:dyDescent="0.2">
      <c r="A19" s="1">
        <v>37043</v>
      </c>
      <c r="B19" s="9" t="e">
        <v>#N/A</v>
      </c>
      <c r="C19" s="8">
        <v>5</v>
      </c>
      <c r="D19">
        <v>1.8</v>
      </c>
      <c r="E19" t="e">
        <v>#N/A</v>
      </c>
      <c r="F19">
        <v>7.7</v>
      </c>
      <c r="G19" s="5">
        <v>2668</v>
      </c>
      <c r="H19" t="e">
        <v>#N/A</v>
      </c>
      <c r="I19" s="4">
        <v>0.23222579061985016</v>
      </c>
      <c r="L19">
        <v>87.2</v>
      </c>
      <c r="M19">
        <v>81.8</v>
      </c>
      <c r="N19" t="e">
        <v>#N/A</v>
      </c>
      <c r="O19" t="e">
        <v>#N/A</v>
      </c>
      <c r="P19" s="8">
        <v>65.853390000000005</v>
      </c>
      <c r="Q19" s="1" t="e">
        <v>#N/A</v>
      </c>
      <c r="S19" t="str">
        <f t="shared" si="0"/>
        <v/>
      </c>
    </row>
    <row r="20" spans="1:19" x14ac:dyDescent="0.2">
      <c r="A20" s="1">
        <v>37073</v>
      </c>
      <c r="B20" s="9" t="s">
        <v>25</v>
      </c>
      <c r="C20" s="8">
        <v>5.0159090909090898</v>
      </c>
      <c r="D20">
        <v>1.8</v>
      </c>
      <c r="E20">
        <v>36.6</v>
      </c>
      <c r="F20">
        <v>7.8</v>
      </c>
      <c r="G20" s="5">
        <v>2684</v>
      </c>
      <c r="H20" t="e">
        <v>#N/A</v>
      </c>
      <c r="I20" s="4">
        <v>0.23838649690151215</v>
      </c>
      <c r="L20">
        <v>85.1</v>
      </c>
      <c r="M20">
        <v>82</v>
      </c>
      <c r="N20">
        <v>96.3</v>
      </c>
      <c r="O20">
        <v>284795</v>
      </c>
      <c r="P20" s="8">
        <v>64.389580000000009</v>
      </c>
      <c r="Q20" s="1" t="e">
        <v>#N/A</v>
      </c>
      <c r="S20" t="str">
        <f t="shared" si="0"/>
        <v>2001-Q3</v>
      </c>
    </row>
    <row r="21" spans="1:19" x14ac:dyDescent="0.2">
      <c r="A21" s="1">
        <v>37104</v>
      </c>
      <c r="B21" s="9" t="e">
        <v>#N/A</v>
      </c>
      <c r="C21" s="8">
        <v>4.8239130434782602</v>
      </c>
      <c r="D21">
        <v>1.8</v>
      </c>
      <c r="E21" t="e">
        <v>#N/A</v>
      </c>
      <c r="F21">
        <v>7.8</v>
      </c>
      <c r="G21" s="5">
        <v>2702</v>
      </c>
      <c r="H21" t="e">
        <v>#N/A</v>
      </c>
      <c r="I21" s="4">
        <v>0.17140364646911621</v>
      </c>
      <c r="L21">
        <v>87.3</v>
      </c>
      <c r="M21">
        <v>81.900000000000006</v>
      </c>
      <c r="N21" t="e">
        <v>#N/A</v>
      </c>
      <c r="O21" t="e">
        <v>#N/A</v>
      </c>
      <c r="P21" s="8">
        <v>64.128810000000001</v>
      </c>
      <c r="Q21" s="1" t="e">
        <v>#N/A</v>
      </c>
      <c r="S21" t="str">
        <f t="shared" si="0"/>
        <v/>
      </c>
    </row>
    <row r="22" spans="1:19" x14ac:dyDescent="0.2">
      <c r="A22" s="1">
        <v>37135</v>
      </c>
      <c r="B22" s="9" t="e">
        <v>#N/A</v>
      </c>
      <c r="C22" s="8">
        <v>4.8129999999999997</v>
      </c>
      <c r="D22">
        <v>1.8</v>
      </c>
      <c r="E22" t="e">
        <v>#N/A</v>
      </c>
      <c r="F22">
        <v>7.9</v>
      </c>
      <c r="G22" s="5">
        <v>2720</v>
      </c>
      <c r="H22" t="e">
        <v>#N/A</v>
      </c>
      <c r="I22" s="4">
        <v>1.5528137683868408</v>
      </c>
      <c r="L22">
        <v>86.1</v>
      </c>
      <c r="M22">
        <v>81.8</v>
      </c>
      <c r="N22" t="e">
        <v>#N/A</v>
      </c>
      <c r="O22" t="e">
        <v>#N/A</v>
      </c>
      <c r="P22" s="8">
        <v>64.977809999999991</v>
      </c>
      <c r="Q22" s="1" t="e">
        <v>#N/A</v>
      </c>
      <c r="S22" t="str">
        <f t="shared" si="0"/>
        <v/>
      </c>
    </row>
    <row r="23" spans="1:19" x14ac:dyDescent="0.2">
      <c r="A23" s="1">
        <v>37165</v>
      </c>
      <c r="B23" s="9" t="s">
        <v>25</v>
      </c>
      <c r="C23" s="8">
        <v>4.5995652173912998</v>
      </c>
      <c r="D23">
        <v>1.8</v>
      </c>
      <c r="E23">
        <v>36.5</v>
      </c>
      <c r="F23">
        <v>8</v>
      </c>
      <c r="G23" s="5">
        <v>2738</v>
      </c>
      <c r="H23" t="e">
        <v>#N/A</v>
      </c>
      <c r="I23" s="4">
        <v>1.2134917974472046</v>
      </c>
      <c r="L23">
        <v>84.5</v>
      </c>
      <c r="M23">
        <v>79.900000000000006</v>
      </c>
      <c r="N23">
        <v>96.1</v>
      </c>
      <c r="O23">
        <v>321028</v>
      </c>
      <c r="P23" s="8">
        <v>62.815540000000013</v>
      </c>
      <c r="Q23" s="1" t="e">
        <v>#N/A</v>
      </c>
      <c r="S23" t="str">
        <f t="shared" si="0"/>
        <v>2001-Q4</v>
      </c>
    </row>
    <row r="24" spans="1:19" x14ac:dyDescent="0.2">
      <c r="A24" s="1">
        <v>37196</v>
      </c>
      <c r="B24" s="9" t="e">
        <v>#N/A</v>
      </c>
      <c r="C24" s="8">
        <v>4.4477272727272714</v>
      </c>
      <c r="D24">
        <v>1.8</v>
      </c>
      <c r="E24" t="e">
        <v>#N/A</v>
      </c>
      <c r="F24">
        <v>8</v>
      </c>
      <c r="G24" s="5">
        <v>2755</v>
      </c>
      <c r="H24" t="e">
        <v>#N/A</v>
      </c>
      <c r="I24" s="4">
        <v>0.84920752048492432</v>
      </c>
      <c r="L24">
        <v>83.7</v>
      </c>
      <c r="M24">
        <v>82.9</v>
      </c>
      <c r="N24" t="e">
        <v>#N/A</v>
      </c>
      <c r="O24" t="e">
        <v>#N/A</v>
      </c>
      <c r="P24" s="8">
        <v>61.855249999999998</v>
      </c>
      <c r="Q24" s="1" t="e">
        <v>#N/A</v>
      </c>
      <c r="S24" t="str">
        <f t="shared" si="0"/>
        <v/>
      </c>
    </row>
    <row r="25" spans="1:19" x14ac:dyDescent="0.2">
      <c r="A25" s="1">
        <v>37226</v>
      </c>
      <c r="B25" s="9" t="e">
        <v>#N/A</v>
      </c>
      <c r="C25" s="8">
        <v>4.7358823529411804</v>
      </c>
      <c r="D25">
        <v>1.7</v>
      </c>
      <c r="E25" t="e">
        <v>#N/A</v>
      </c>
      <c r="F25">
        <v>8.1</v>
      </c>
      <c r="G25" s="5">
        <v>2770</v>
      </c>
      <c r="H25" t="e">
        <v>#N/A</v>
      </c>
      <c r="I25" s="4">
        <v>0.52337640523910522</v>
      </c>
      <c r="L25">
        <v>84.5</v>
      </c>
      <c r="M25">
        <v>81.400000000000006</v>
      </c>
      <c r="N25" t="e">
        <v>#N/A</v>
      </c>
      <c r="O25" t="e">
        <v>#N/A</v>
      </c>
      <c r="P25" s="8">
        <v>61.265949999999997</v>
      </c>
      <c r="Q25" s="1" t="e">
        <v>#N/A</v>
      </c>
      <c r="S25" t="str">
        <f t="shared" si="0"/>
        <v/>
      </c>
    </row>
    <row r="26" spans="1:19" x14ac:dyDescent="0.2">
      <c r="A26" s="1">
        <v>37257</v>
      </c>
      <c r="B26" s="9">
        <v>265204</v>
      </c>
      <c r="C26" s="8">
        <v>4.8627272727272706</v>
      </c>
      <c r="D26">
        <v>2.2999999999999998</v>
      </c>
      <c r="E26">
        <v>37.200000000000003</v>
      </c>
      <c r="F26">
        <v>8.1</v>
      </c>
      <c r="G26" s="5">
        <v>2784</v>
      </c>
      <c r="H26" t="e">
        <v>#N/A</v>
      </c>
      <c r="I26" s="4">
        <v>0.37452042102813721</v>
      </c>
      <c r="L26">
        <v>84.4</v>
      </c>
      <c r="M26">
        <v>80</v>
      </c>
      <c r="N26">
        <v>95.9</v>
      </c>
      <c r="O26">
        <v>270597</v>
      </c>
      <c r="P26" s="8">
        <v>62.623169999999988</v>
      </c>
      <c r="Q26" s="1" t="e">
        <v>#N/A</v>
      </c>
      <c r="S26" t="str">
        <f t="shared" si="0"/>
        <v>2002-Q1</v>
      </c>
    </row>
    <row r="27" spans="1:19" x14ac:dyDescent="0.2">
      <c r="A27" s="1">
        <v>37288</v>
      </c>
      <c r="B27" s="9" t="e">
        <v>#N/A</v>
      </c>
      <c r="C27" s="8">
        <v>4.9195000000000002</v>
      </c>
      <c r="D27">
        <v>2.2000000000000002</v>
      </c>
      <c r="E27" t="e">
        <v>#N/A</v>
      </c>
      <c r="F27">
        <v>8.1999999999999993</v>
      </c>
      <c r="G27" s="5">
        <v>2798</v>
      </c>
      <c r="H27" t="e">
        <v>#N/A</v>
      </c>
      <c r="I27" s="4">
        <v>0.36408147215843201</v>
      </c>
      <c r="L27">
        <v>84.5</v>
      </c>
      <c r="M27">
        <v>79.900000000000006</v>
      </c>
      <c r="N27" t="e">
        <v>#N/A</v>
      </c>
      <c r="O27" t="e">
        <v>#N/A</v>
      </c>
      <c r="P27" s="8">
        <v>63.087819999999986</v>
      </c>
      <c r="Q27" s="1" t="e">
        <v>#N/A</v>
      </c>
      <c r="S27" t="str">
        <f t="shared" si="0"/>
        <v/>
      </c>
    </row>
    <row r="28" spans="1:19" x14ac:dyDescent="0.2">
      <c r="A28" s="1">
        <v>37316</v>
      </c>
      <c r="B28" s="9" t="e">
        <v>#N/A</v>
      </c>
      <c r="C28" s="8">
        <v>5.1609999999999996</v>
      </c>
      <c r="D28">
        <v>2.2000000000000002</v>
      </c>
      <c r="E28" t="e">
        <v>#N/A</v>
      </c>
      <c r="F28">
        <v>8.1999999999999993</v>
      </c>
      <c r="G28" s="5">
        <v>2814</v>
      </c>
      <c r="H28" t="e">
        <v>#N/A</v>
      </c>
      <c r="I28" s="4">
        <v>0.37358817458152771</v>
      </c>
      <c r="L28">
        <v>85.1</v>
      </c>
      <c r="M28">
        <v>80</v>
      </c>
      <c r="N28" t="e">
        <v>#N/A</v>
      </c>
      <c r="O28" t="e">
        <v>#N/A</v>
      </c>
      <c r="P28" s="8">
        <v>64.231090000000009</v>
      </c>
      <c r="Q28" s="1" t="e">
        <v>#N/A</v>
      </c>
      <c r="S28" t="str">
        <f t="shared" si="0"/>
        <v/>
      </c>
    </row>
    <row r="29" spans="1:19" x14ac:dyDescent="0.2">
      <c r="A29" s="1">
        <v>37347</v>
      </c>
      <c r="B29" s="9">
        <v>267199</v>
      </c>
      <c r="C29" s="8">
        <v>5.1552380952380998</v>
      </c>
      <c r="D29">
        <v>1.5</v>
      </c>
      <c r="E29">
        <v>37</v>
      </c>
      <c r="F29">
        <v>8.3000000000000007</v>
      </c>
      <c r="G29" s="5">
        <v>2835</v>
      </c>
      <c r="H29" t="e">
        <v>#N/A</v>
      </c>
      <c r="I29" s="4">
        <v>0.38343557715415955</v>
      </c>
      <c r="L29">
        <v>85.4</v>
      </c>
      <c r="M29">
        <v>80.8</v>
      </c>
      <c r="N29">
        <v>95.7</v>
      </c>
      <c r="O29">
        <v>280013</v>
      </c>
      <c r="P29" s="8">
        <v>65.63982</v>
      </c>
      <c r="Q29" s="1" t="e">
        <v>#N/A</v>
      </c>
      <c r="S29" t="str">
        <f t="shared" si="0"/>
        <v>2002-Q2</v>
      </c>
    </row>
    <row r="30" spans="1:19" x14ac:dyDescent="0.2">
      <c r="A30" s="1">
        <v>37377</v>
      </c>
      <c r="B30" s="9" t="e">
        <v>#N/A</v>
      </c>
      <c r="C30" s="8">
        <v>5.1677272727272703</v>
      </c>
      <c r="D30">
        <v>1.5</v>
      </c>
      <c r="E30" t="e">
        <v>#N/A</v>
      </c>
      <c r="F30">
        <v>8.4</v>
      </c>
      <c r="G30" s="5">
        <v>2863</v>
      </c>
      <c r="H30" t="e">
        <v>#N/A</v>
      </c>
      <c r="I30" s="4">
        <v>0.42558255791664124</v>
      </c>
      <c r="L30">
        <v>84.6</v>
      </c>
      <c r="M30">
        <v>80.5</v>
      </c>
      <c r="N30" t="e">
        <v>#N/A</v>
      </c>
      <c r="O30" t="e">
        <v>#N/A</v>
      </c>
      <c r="P30" s="8">
        <v>64.821089999999998</v>
      </c>
      <c r="Q30" s="1" t="e">
        <v>#N/A</v>
      </c>
      <c r="S30" t="str">
        <f t="shared" si="0"/>
        <v/>
      </c>
    </row>
    <row r="31" spans="1:19" x14ac:dyDescent="0.2">
      <c r="A31" s="1">
        <v>37408</v>
      </c>
      <c r="B31" s="9" t="e">
        <v>#N/A</v>
      </c>
      <c r="C31" s="8">
        <v>5.0175000000000001</v>
      </c>
      <c r="D31">
        <v>1.2</v>
      </c>
      <c r="E31" t="e">
        <v>#N/A</v>
      </c>
      <c r="F31">
        <v>8.5</v>
      </c>
      <c r="G31" s="5">
        <v>2898</v>
      </c>
      <c r="H31" t="e">
        <v>#N/A</v>
      </c>
      <c r="I31" s="4">
        <v>0.39484238624572754</v>
      </c>
      <c r="L31">
        <v>86.3</v>
      </c>
      <c r="M31">
        <v>79.400000000000006</v>
      </c>
      <c r="N31" t="e">
        <v>#N/A</v>
      </c>
      <c r="O31" t="e">
        <v>#N/A</v>
      </c>
      <c r="P31" s="8">
        <v>64.229119999999995</v>
      </c>
      <c r="Q31" s="1" t="e">
        <v>#N/A</v>
      </c>
      <c r="S31" t="str">
        <f t="shared" si="0"/>
        <v/>
      </c>
    </row>
    <row r="32" spans="1:19" x14ac:dyDescent="0.2">
      <c r="A32" s="1">
        <v>37438</v>
      </c>
      <c r="B32" s="9">
        <v>268114</v>
      </c>
      <c r="C32" s="8">
        <v>4.8673913043478301</v>
      </c>
      <c r="D32">
        <v>1.2</v>
      </c>
      <c r="E32">
        <v>37.200000000000003</v>
      </c>
      <c r="F32">
        <v>8.6</v>
      </c>
      <c r="G32" s="5">
        <v>2939</v>
      </c>
      <c r="H32" t="e">
        <v>#N/A</v>
      </c>
      <c r="I32" s="4">
        <v>0.28181502223014832</v>
      </c>
      <c r="L32">
        <v>85.1</v>
      </c>
      <c r="M32">
        <v>80.900000000000006</v>
      </c>
      <c r="N32">
        <v>95.3</v>
      </c>
      <c r="O32">
        <v>287971</v>
      </c>
      <c r="P32" s="8">
        <v>64.243880000000004</v>
      </c>
      <c r="Q32" s="1" t="e">
        <v>#N/A</v>
      </c>
      <c r="S32" t="str">
        <f t="shared" si="0"/>
        <v>2002-Q3</v>
      </c>
    </row>
    <row r="33" spans="1:19" x14ac:dyDescent="0.2">
      <c r="A33" s="1">
        <v>37469</v>
      </c>
      <c r="B33" s="9" t="e">
        <v>#N/A</v>
      </c>
      <c r="C33" s="8">
        <v>4.5895454545454486</v>
      </c>
      <c r="D33">
        <v>1.2</v>
      </c>
      <c r="E33" t="e">
        <v>#N/A</v>
      </c>
      <c r="F33">
        <v>8.6999999999999993</v>
      </c>
      <c r="G33" s="5">
        <v>2982</v>
      </c>
      <c r="H33" t="e">
        <v>#N/A</v>
      </c>
      <c r="I33" s="4">
        <v>0.32270556688308716</v>
      </c>
      <c r="L33">
        <v>86.8</v>
      </c>
      <c r="M33">
        <v>80.3</v>
      </c>
      <c r="N33" t="e">
        <v>#N/A</v>
      </c>
      <c r="O33" t="e">
        <v>#N/A</v>
      </c>
      <c r="P33" s="8">
        <v>64.398769999999999</v>
      </c>
      <c r="Q33" s="1" t="e">
        <v>#N/A</v>
      </c>
      <c r="S33" t="str">
        <f t="shared" si="0"/>
        <v/>
      </c>
    </row>
    <row r="34" spans="1:19" x14ac:dyDescent="0.2">
      <c r="A34" s="1">
        <v>37500</v>
      </c>
      <c r="B34" s="9" t="e">
        <v>#N/A</v>
      </c>
      <c r="C34" s="8">
        <v>4.3852380952380896</v>
      </c>
      <c r="D34">
        <v>1.2</v>
      </c>
      <c r="E34" t="e">
        <v>#N/A</v>
      </c>
      <c r="F34">
        <v>8.9</v>
      </c>
      <c r="G34" s="5">
        <v>3024</v>
      </c>
      <c r="H34" t="e">
        <v>#N/A</v>
      </c>
      <c r="I34" s="4">
        <v>0.58971679210662842</v>
      </c>
      <c r="L34">
        <v>86</v>
      </c>
      <c r="M34">
        <v>81.2</v>
      </c>
      <c r="N34" t="e">
        <v>#N/A</v>
      </c>
      <c r="O34" t="e">
        <v>#N/A</v>
      </c>
      <c r="P34" s="8">
        <v>65.038659999999993</v>
      </c>
      <c r="Q34" s="1" t="e">
        <v>#N/A</v>
      </c>
      <c r="S34" t="str">
        <f t="shared" si="0"/>
        <v/>
      </c>
    </row>
    <row r="35" spans="1:19" x14ac:dyDescent="0.2">
      <c r="A35" s="1">
        <v>37530</v>
      </c>
      <c r="B35" s="9">
        <v>272121</v>
      </c>
      <c r="C35" s="8">
        <v>4.4639130434782599</v>
      </c>
      <c r="D35">
        <v>1.1000000000000001</v>
      </c>
      <c r="E35">
        <v>37.1</v>
      </c>
      <c r="F35">
        <v>9</v>
      </c>
      <c r="G35" s="5">
        <v>3067</v>
      </c>
      <c r="H35" t="e">
        <v>#N/A</v>
      </c>
      <c r="I35" s="4">
        <v>0.41480982303619385</v>
      </c>
      <c r="L35">
        <v>85.3</v>
      </c>
      <c r="M35">
        <v>80.7</v>
      </c>
      <c r="N35">
        <v>94.7</v>
      </c>
      <c r="O35">
        <v>321704</v>
      </c>
      <c r="P35" s="8">
        <v>65.300510000000003</v>
      </c>
      <c r="Q35" s="1" t="e">
        <v>#N/A</v>
      </c>
      <c r="S35" t="str">
        <f t="shared" si="0"/>
        <v>2002-Q4</v>
      </c>
    </row>
    <row r="36" spans="1:19" x14ac:dyDescent="0.2">
      <c r="A36" s="1">
        <v>37561</v>
      </c>
      <c r="B36" s="9" t="e">
        <v>#N/A</v>
      </c>
      <c r="C36" s="8">
        <v>4.4776190476190498</v>
      </c>
      <c r="D36">
        <v>1</v>
      </c>
      <c r="E36" t="e">
        <v>#N/A</v>
      </c>
      <c r="F36">
        <v>9.1</v>
      </c>
      <c r="G36" s="5">
        <v>3111</v>
      </c>
      <c r="H36" t="e">
        <v>#N/A</v>
      </c>
      <c r="I36" s="4">
        <v>0.43898415565490723</v>
      </c>
      <c r="L36">
        <v>86.5</v>
      </c>
      <c r="M36">
        <v>80.2</v>
      </c>
      <c r="N36" t="e">
        <v>#N/A</v>
      </c>
      <c r="O36" t="e">
        <v>#N/A</v>
      </c>
      <c r="P36" s="8">
        <v>63.642719999999997</v>
      </c>
      <c r="Q36" s="1" t="e">
        <v>#N/A</v>
      </c>
      <c r="S36" t="str">
        <f t="shared" si="0"/>
        <v/>
      </c>
    </row>
    <row r="37" spans="1:19" x14ac:dyDescent="0.2">
      <c r="A37" s="1">
        <v>37591</v>
      </c>
      <c r="B37" s="9" t="e">
        <v>#N/A</v>
      </c>
      <c r="C37" s="8">
        <v>4.33555555555556</v>
      </c>
      <c r="D37">
        <v>0.8</v>
      </c>
      <c r="E37" t="e">
        <v>#N/A</v>
      </c>
      <c r="F37">
        <v>9.1999999999999993</v>
      </c>
      <c r="G37" s="5">
        <v>3159</v>
      </c>
      <c r="H37" t="e">
        <v>#N/A</v>
      </c>
      <c r="I37" s="4">
        <v>0.47705951333045959</v>
      </c>
      <c r="L37">
        <v>85.1</v>
      </c>
      <c r="M37">
        <v>80</v>
      </c>
      <c r="N37" t="e">
        <v>#N/A</v>
      </c>
      <c r="O37" t="e">
        <v>#N/A</v>
      </c>
      <c r="P37" s="8">
        <v>64.026319999999998</v>
      </c>
      <c r="Q37" s="1" t="e">
        <v>#N/A</v>
      </c>
      <c r="S37" t="str">
        <f t="shared" si="0"/>
        <v/>
      </c>
    </row>
    <row r="38" spans="1:19" x14ac:dyDescent="0.2">
      <c r="A38" s="1">
        <v>37622</v>
      </c>
      <c r="B38" s="9">
        <v>270336</v>
      </c>
      <c r="C38" s="8">
        <v>4.18</v>
      </c>
      <c r="D38">
        <v>0.4</v>
      </c>
      <c r="E38">
        <v>37.799999999999997</v>
      </c>
      <c r="F38">
        <v>9.4</v>
      </c>
      <c r="G38" s="5">
        <v>3206</v>
      </c>
      <c r="H38" t="s">
        <v>25</v>
      </c>
      <c r="I38" s="4">
        <v>0.82755333185195923</v>
      </c>
      <c r="L38">
        <v>85.9</v>
      </c>
      <c r="M38">
        <v>79.3</v>
      </c>
      <c r="N38">
        <v>94.3</v>
      </c>
      <c r="O38">
        <v>272433</v>
      </c>
      <c r="P38" s="8">
        <v>67.093180000000004</v>
      </c>
      <c r="Q38" s="1" t="e">
        <v>#N/A</v>
      </c>
      <c r="S38" t="str">
        <f t="shared" si="0"/>
        <v>2003-Q1</v>
      </c>
    </row>
    <row r="39" spans="1:19" x14ac:dyDescent="0.2">
      <c r="A39" s="1">
        <v>37653</v>
      </c>
      <c r="B39" s="9" t="e">
        <v>#N/A</v>
      </c>
      <c r="C39" s="8">
        <v>3.9550000000000001</v>
      </c>
      <c r="D39">
        <v>0.5</v>
      </c>
      <c r="E39" t="e">
        <v>#N/A</v>
      </c>
      <c r="F39">
        <v>9.5</v>
      </c>
      <c r="G39" s="5">
        <v>3249</v>
      </c>
      <c r="H39" t="e">
        <v>#N/A</v>
      </c>
      <c r="I39" s="4">
        <v>1.2924844026565552</v>
      </c>
      <c r="L39">
        <v>86.1</v>
      </c>
      <c r="M39">
        <v>79.599999999999994</v>
      </c>
      <c r="N39" t="e">
        <v>#N/A</v>
      </c>
      <c r="O39" t="e">
        <v>#N/A</v>
      </c>
      <c r="P39" s="8">
        <v>68.515860000000004</v>
      </c>
      <c r="Q39" s="1" t="e">
        <v>#N/A</v>
      </c>
      <c r="S39" t="str">
        <f t="shared" si="0"/>
        <v/>
      </c>
    </row>
    <row r="40" spans="1:19" x14ac:dyDescent="0.2">
      <c r="A40" s="1">
        <v>37681</v>
      </c>
      <c r="B40" s="9" t="e">
        <v>#N/A</v>
      </c>
      <c r="C40" s="8">
        <v>4.0004761904761903</v>
      </c>
      <c r="D40">
        <v>0.5</v>
      </c>
      <c r="E40" t="e">
        <v>#N/A</v>
      </c>
      <c r="F40">
        <v>9.6</v>
      </c>
      <c r="G40" s="5">
        <v>3284</v>
      </c>
      <c r="H40" t="e">
        <v>#N/A</v>
      </c>
      <c r="I40" s="4">
        <v>1.5936365127563477</v>
      </c>
      <c r="L40">
        <v>86.1</v>
      </c>
      <c r="M40">
        <v>79.400000000000006</v>
      </c>
      <c r="N40" t="e">
        <v>#N/A</v>
      </c>
      <c r="O40" t="e">
        <v>#N/A</v>
      </c>
      <c r="P40" s="8">
        <v>68.940609999999992</v>
      </c>
      <c r="Q40" s="1" t="e">
        <v>#N/A</v>
      </c>
      <c r="S40" t="str">
        <f t="shared" si="0"/>
        <v/>
      </c>
    </row>
    <row r="41" spans="1:19" x14ac:dyDescent="0.2">
      <c r="A41" s="1">
        <v>37712</v>
      </c>
      <c r="B41" s="9">
        <v>272253</v>
      </c>
      <c r="C41" s="8">
        <v>4.1470000000000002</v>
      </c>
      <c r="D41">
        <v>1</v>
      </c>
      <c r="E41">
        <v>38</v>
      </c>
      <c r="F41">
        <v>9.6999999999999993</v>
      </c>
      <c r="G41" s="5">
        <v>3307</v>
      </c>
      <c r="H41" t="s">
        <v>25</v>
      </c>
      <c r="I41" s="4">
        <v>0.97936344146728516</v>
      </c>
      <c r="L41">
        <v>85.8</v>
      </c>
      <c r="M41">
        <v>79.7</v>
      </c>
      <c r="N41">
        <v>94</v>
      </c>
      <c r="O41">
        <v>281500</v>
      </c>
      <c r="P41" s="8">
        <v>66.779130000000009</v>
      </c>
      <c r="Q41" s="1" t="e">
        <v>#N/A</v>
      </c>
      <c r="S41" t="str">
        <f t="shared" si="0"/>
        <v>2003-Q2</v>
      </c>
    </row>
    <row r="42" spans="1:19" x14ac:dyDescent="0.2">
      <c r="A42" s="1">
        <v>37742</v>
      </c>
      <c r="B42" s="9" t="e">
        <v>#N/A</v>
      </c>
      <c r="C42" s="8">
        <v>3.8152380952381</v>
      </c>
      <c r="D42">
        <v>0.6</v>
      </c>
      <c r="E42" t="e">
        <v>#N/A</v>
      </c>
      <c r="F42">
        <v>9.6999999999999993</v>
      </c>
      <c r="G42" s="5">
        <v>3321</v>
      </c>
      <c r="H42" t="e">
        <v>#N/A</v>
      </c>
      <c r="I42" s="4">
        <v>0.51110732555389404</v>
      </c>
      <c r="L42">
        <v>85.3</v>
      </c>
      <c r="M42">
        <v>79.7</v>
      </c>
      <c r="N42" t="e">
        <v>#N/A</v>
      </c>
      <c r="O42" t="e">
        <v>#N/A</v>
      </c>
      <c r="P42" s="8">
        <v>65.559600000000003</v>
      </c>
      <c r="Q42" s="1" t="e">
        <v>#N/A</v>
      </c>
      <c r="S42" t="str">
        <f t="shared" si="0"/>
        <v/>
      </c>
    </row>
    <row r="43" spans="1:19" x14ac:dyDescent="0.2">
      <c r="A43" s="1">
        <v>37773</v>
      </c>
      <c r="B43" s="9" t="e">
        <v>#N/A</v>
      </c>
      <c r="C43" s="8">
        <v>3.6166666666666698</v>
      </c>
      <c r="D43">
        <v>0.8</v>
      </c>
      <c r="E43" t="e">
        <v>#N/A</v>
      </c>
      <c r="F43">
        <v>9.8000000000000007</v>
      </c>
      <c r="G43" s="5">
        <v>3327</v>
      </c>
      <c r="H43" t="e">
        <v>#N/A</v>
      </c>
      <c r="I43" s="4">
        <v>0.4097990095615387</v>
      </c>
      <c r="L43">
        <v>84.7</v>
      </c>
      <c r="M43">
        <v>79.599999999999994</v>
      </c>
      <c r="N43" t="e">
        <v>#N/A</v>
      </c>
      <c r="O43" t="e">
        <v>#N/A</v>
      </c>
      <c r="P43" s="8">
        <v>65.96611</v>
      </c>
      <c r="Q43" s="1" t="e">
        <v>#N/A</v>
      </c>
      <c r="S43" t="str">
        <f t="shared" si="0"/>
        <v/>
      </c>
    </row>
    <row r="44" spans="1:19" x14ac:dyDescent="0.2">
      <c r="A44" s="1">
        <v>37803</v>
      </c>
      <c r="B44" s="9">
        <v>273792</v>
      </c>
      <c r="C44" s="8">
        <v>3.9726086956521698</v>
      </c>
      <c r="D44">
        <v>0.6</v>
      </c>
      <c r="E44">
        <v>38.799999999999997</v>
      </c>
      <c r="F44">
        <v>9.8000000000000007</v>
      </c>
      <c r="G44" s="5">
        <v>3328</v>
      </c>
      <c r="H44" t="s">
        <v>25</v>
      </c>
      <c r="I44" s="4">
        <v>0.2300684005022049</v>
      </c>
      <c r="L44">
        <v>86.4</v>
      </c>
      <c r="M44">
        <v>79.400000000000006</v>
      </c>
      <c r="N44">
        <v>94</v>
      </c>
      <c r="O44">
        <v>289792</v>
      </c>
      <c r="P44" s="8">
        <v>66.224669999999989</v>
      </c>
      <c r="Q44" s="1" t="e">
        <v>#N/A</v>
      </c>
      <c r="S44" t="str">
        <f t="shared" si="0"/>
        <v>2003-Q3</v>
      </c>
    </row>
    <row r="45" spans="1:19" x14ac:dyDescent="0.2">
      <c r="A45" s="1">
        <v>37834</v>
      </c>
      <c r="B45" s="9" t="e">
        <v>#N/A</v>
      </c>
      <c r="C45" s="8">
        <v>4.13</v>
      </c>
      <c r="D45">
        <v>1</v>
      </c>
      <c r="E45" t="e">
        <v>#N/A</v>
      </c>
      <c r="F45">
        <v>9.8000000000000007</v>
      </c>
      <c r="G45" s="5">
        <v>3327</v>
      </c>
      <c r="H45" t="e">
        <v>#N/A</v>
      </c>
      <c r="I45" s="4">
        <v>0.3325563371181488</v>
      </c>
      <c r="L45">
        <v>84.6</v>
      </c>
      <c r="M45">
        <v>79.099999999999994</v>
      </c>
      <c r="N45" t="e">
        <v>#N/A</v>
      </c>
      <c r="O45" t="e">
        <v>#N/A</v>
      </c>
      <c r="P45" s="8">
        <v>66.889919999999989</v>
      </c>
      <c r="Q45" s="1" t="e">
        <v>#N/A</v>
      </c>
      <c r="S45" t="str">
        <f t="shared" si="0"/>
        <v/>
      </c>
    </row>
    <row r="46" spans="1:19" x14ac:dyDescent="0.2">
      <c r="A46" s="1">
        <v>37865</v>
      </c>
      <c r="B46" s="9" t="e">
        <v>#N/A</v>
      </c>
      <c r="C46" s="8">
        <v>4.1713636363636404</v>
      </c>
      <c r="D46">
        <v>1.1000000000000001</v>
      </c>
      <c r="E46" t="e">
        <v>#N/A</v>
      </c>
      <c r="F46">
        <v>9.8000000000000007</v>
      </c>
      <c r="G46" s="5">
        <v>3326</v>
      </c>
      <c r="H46" t="e">
        <v>#N/A</v>
      </c>
      <c r="I46" s="4">
        <v>0.45895850658416748</v>
      </c>
      <c r="L46">
        <v>84.2</v>
      </c>
      <c r="M46">
        <v>79.900000000000006</v>
      </c>
      <c r="N46" t="e">
        <v>#N/A</v>
      </c>
      <c r="O46" t="e">
        <v>#N/A</v>
      </c>
      <c r="P46" s="8">
        <v>66.538719999999998</v>
      </c>
      <c r="Q46" s="1" t="e">
        <v>#N/A</v>
      </c>
      <c r="S46" t="str">
        <f t="shared" si="0"/>
        <v/>
      </c>
    </row>
    <row r="47" spans="1:19" x14ac:dyDescent="0.2">
      <c r="A47" s="1">
        <v>37895</v>
      </c>
      <c r="B47" s="9">
        <v>270721</v>
      </c>
      <c r="C47" s="8">
        <v>4.2213043478260897</v>
      </c>
      <c r="D47">
        <v>1.1000000000000001</v>
      </c>
      <c r="E47">
        <v>38.9</v>
      </c>
      <c r="F47">
        <v>9.8000000000000007</v>
      </c>
      <c r="G47" s="5">
        <v>3325</v>
      </c>
      <c r="H47" t="s">
        <v>25</v>
      </c>
      <c r="I47" s="4">
        <v>0.40172553062438965</v>
      </c>
      <c r="L47">
        <v>86.5</v>
      </c>
      <c r="M47">
        <v>80.3</v>
      </c>
      <c r="N47">
        <v>93.6</v>
      </c>
      <c r="O47">
        <v>322273</v>
      </c>
      <c r="P47" s="8">
        <v>66.667850000000001</v>
      </c>
      <c r="Q47" s="1" t="e">
        <v>#N/A</v>
      </c>
      <c r="S47" t="str">
        <f t="shared" si="0"/>
        <v>2003-Q4</v>
      </c>
    </row>
    <row r="48" spans="1:19" x14ac:dyDescent="0.2">
      <c r="A48" s="1">
        <v>37926</v>
      </c>
      <c r="B48" s="9" t="e">
        <v>#N/A</v>
      </c>
      <c r="C48" s="8">
        <v>4.3529999999999998</v>
      </c>
      <c r="D48">
        <v>1</v>
      </c>
      <c r="E48" t="e">
        <v>#N/A</v>
      </c>
      <c r="F48">
        <v>9.8000000000000007</v>
      </c>
      <c r="G48" s="5">
        <v>3325</v>
      </c>
      <c r="H48" t="e">
        <v>#N/A</v>
      </c>
      <c r="I48" s="4">
        <v>0.44536727666854858</v>
      </c>
      <c r="L48">
        <v>87.1</v>
      </c>
      <c r="M48">
        <v>79.7</v>
      </c>
      <c r="N48" t="e">
        <v>#N/A</v>
      </c>
      <c r="O48" t="e">
        <v>#N/A</v>
      </c>
      <c r="P48" s="8">
        <v>66.446069999999992</v>
      </c>
      <c r="Q48" s="1" t="e">
        <v>#N/A</v>
      </c>
      <c r="S48" t="str">
        <f t="shared" si="0"/>
        <v/>
      </c>
    </row>
    <row r="49" spans="1:19" x14ac:dyDescent="0.2">
      <c r="A49" s="1">
        <v>37956</v>
      </c>
      <c r="B49" s="9" t="e">
        <v>#N/A</v>
      </c>
      <c r="C49" s="8">
        <v>4.2910526315789506</v>
      </c>
      <c r="D49">
        <v>0.9</v>
      </c>
      <c r="E49" t="e">
        <v>#N/A</v>
      </c>
      <c r="F49">
        <v>9.8000000000000007</v>
      </c>
      <c r="G49" s="5">
        <v>3327</v>
      </c>
      <c r="H49" t="e">
        <v>#N/A</v>
      </c>
      <c r="I49" s="4">
        <v>0.37589195370674133</v>
      </c>
      <c r="L49">
        <v>87.6</v>
      </c>
      <c r="M49">
        <v>78.900000000000006</v>
      </c>
      <c r="N49" t="e">
        <v>#N/A</v>
      </c>
      <c r="O49" t="e">
        <v>#N/A</v>
      </c>
      <c r="P49" s="8">
        <v>66.242900000000006</v>
      </c>
      <c r="Q49" s="1" t="e">
        <v>#N/A</v>
      </c>
      <c r="S49" t="str">
        <f t="shared" si="0"/>
        <v/>
      </c>
    </row>
    <row r="50" spans="1:19" x14ac:dyDescent="0.2">
      <c r="A50" s="1">
        <v>37987</v>
      </c>
      <c r="B50" s="9">
        <v>272588</v>
      </c>
      <c r="C50" s="8">
        <v>4.1709523809523796</v>
      </c>
      <c r="D50">
        <v>1.3</v>
      </c>
      <c r="E50">
        <v>40.1</v>
      </c>
      <c r="F50">
        <v>9.8000000000000007</v>
      </c>
      <c r="G50" s="5">
        <v>3331</v>
      </c>
      <c r="H50" t="s">
        <v>25</v>
      </c>
      <c r="I50" s="4">
        <v>0.26844838261604309</v>
      </c>
      <c r="L50">
        <v>87.7</v>
      </c>
      <c r="M50">
        <v>79.900000000000006</v>
      </c>
      <c r="N50">
        <v>94</v>
      </c>
      <c r="O50">
        <v>275063</v>
      </c>
      <c r="P50" s="8">
        <v>66.943340000000006</v>
      </c>
      <c r="Q50" s="1" t="e">
        <v>#N/A</v>
      </c>
      <c r="S50" t="str">
        <f t="shared" si="0"/>
        <v>2004-Q1</v>
      </c>
    </row>
    <row r="51" spans="1:19" x14ac:dyDescent="0.2">
      <c r="A51" s="1">
        <v>38018</v>
      </c>
      <c r="B51" s="9" t="e">
        <v>#N/A</v>
      </c>
      <c r="C51" s="8">
        <v>4.1100000000000003</v>
      </c>
      <c r="D51">
        <v>1.2</v>
      </c>
      <c r="E51" t="e">
        <v>#N/A</v>
      </c>
      <c r="F51">
        <v>10.1</v>
      </c>
      <c r="G51" s="5">
        <v>3390</v>
      </c>
      <c r="H51" t="e">
        <v>#N/A</v>
      </c>
      <c r="I51" s="4">
        <v>0.29893061518669128</v>
      </c>
      <c r="L51">
        <v>87.9</v>
      </c>
      <c r="M51">
        <v>80.2</v>
      </c>
      <c r="N51" t="e">
        <v>#N/A</v>
      </c>
      <c r="O51" t="e">
        <v>#N/A</v>
      </c>
      <c r="P51" s="8">
        <v>66.760980000000004</v>
      </c>
      <c r="Q51" s="1" t="e">
        <v>#N/A</v>
      </c>
      <c r="S51" t="str">
        <f t="shared" si="0"/>
        <v/>
      </c>
    </row>
    <row r="52" spans="1:19" x14ac:dyDescent="0.2">
      <c r="A52" s="1">
        <v>38047</v>
      </c>
      <c r="B52" s="9" t="e">
        <v>#N/A</v>
      </c>
      <c r="C52" s="8">
        <v>3.91347826086957</v>
      </c>
      <c r="D52">
        <v>1.5</v>
      </c>
      <c r="E52" t="e">
        <v>#N/A</v>
      </c>
      <c r="F52">
        <v>10.3</v>
      </c>
      <c r="G52" s="5">
        <v>3397</v>
      </c>
      <c r="H52" t="e">
        <v>#N/A</v>
      </c>
      <c r="I52" s="4">
        <v>0.5919528603553772</v>
      </c>
      <c r="L52">
        <v>87.1</v>
      </c>
      <c r="M52">
        <v>81.099999999999994</v>
      </c>
      <c r="N52" t="e">
        <v>#N/A</v>
      </c>
      <c r="O52" t="e">
        <v>#N/A</v>
      </c>
      <c r="P52" s="8">
        <v>67.481740000000002</v>
      </c>
      <c r="Q52" s="1" t="e">
        <v>#N/A</v>
      </c>
      <c r="S52" t="str">
        <f t="shared" si="0"/>
        <v/>
      </c>
    </row>
    <row r="53" spans="1:19" x14ac:dyDescent="0.2">
      <c r="A53" s="1">
        <v>38078</v>
      </c>
      <c r="B53" s="9">
        <v>269451</v>
      </c>
      <c r="C53" s="8">
        <v>4.0970000000000004</v>
      </c>
      <c r="D53">
        <v>1.5</v>
      </c>
      <c r="E53">
        <v>39.9</v>
      </c>
      <c r="F53">
        <v>10.3</v>
      </c>
      <c r="G53" s="5">
        <v>3406</v>
      </c>
      <c r="H53" t="s">
        <v>25</v>
      </c>
      <c r="I53" s="4">
        <v>0.41125282645225525</v>
      </c>
      <c r="L53">
        <v>88.4</v>
      </c>
      <c r="M53">
        <v>81.599999999999994</v>
      </c>
      <c r="N53">
        <v>93.6</v>
      </c>
      <c r="O53">
        <v>284343</v>
      </c>
      <c r="P53" s="8">
        <v>68.558549999999997</v>
      </c>
      <c r="Q53" s="1" t="e">
        <v>#N/A</v>
      </c>
      <c r="S53" t="str">
        <f t="shared" si="0"/>
        <v>2004-Q2</v>
      </c>
    </row>
    <row r="54" spans="1:19" x14ac:dyDescent="0.2">
      <c r="A54" s="1">
        <v>38108</v>
      </c>
      <c r="B54" s="9" t="e">
        <v>#N/A</v>
      </c>
      <c r="C54" s="8">
        <v>4.2533333333333294</v>
      </c>
      <c r="D54">
        <v>1.7</v>
      </c>
      <c r="E54" t="e">
        <v>#N/A</v>
      </c>
      <c r="F54">
        <v>10.3</v>
      </c>
      <c r="G54" s="5">
        <v>3416</v>
      </c>
      <c r="H54" t="e">
        <v>#N/A</v>
      </c>
      <c r="I54" s="4">
        <v>0.29630932211875916</v>
      </c>
      <c r="L54">
        <v>89.2</v>
      </c>
      <c r="M54">
        <v>79.8</v>
      </c>
      <c r="N54" t="e">
        <v>#N/A</v>
      </c>
      <c r="O54" t="e">
        <v>#N/A</v>
      </c>
      <c r="P54" s="8">
        <v>70.431629999999998</v>
      </c>
      <c r="Q54" s="1" t="e">
        <v>#N/A</v>
      </c>
      <c r="S54" t="str">
        <f t="shared" si="0"/>
        <v/>
      </c>
    </row>
    <row r="55" spans="1:19" x14ac:dyDescent="0.2">
      <c r="A55" s="1">
        <v>38139</v>
      </c>
      <c r="B55" s="9" t="e">
        <v>#N/A</v>
      </c>
      <c r="C55" s="8">
        <v>4.3127272727272707</v>
      </c>
      <c r="D55">
        <v>1.7</v>
      </c>
      <c r="E55" t="e">
        <v>#N/A</v>
      </c>
      <c r="F55">
        <v>10.3</v>
      </c>
      <c r="G55" s="5">
        <v>3426</v>
      </c>
      <c r="H55" t="e">
        <v>#N/A</v>
      </c>
      <c r="I55" s="4">
        <v>0.53429645299911499</v>
      </c>
      <c r="L55">
        <v>88.5</v>
      </c>
      <c r="M55">
        <v>81</v>
      </c>
      <c r="N55" t="e">
        <v>#N/A</v>
      </c>
      <c r="O55" t="e">
        <v>#N/A</v>
      </c>
      <c r="P55" s="8">
        <v>69.225300000000004</v>
      </c>
      <c r="Q55" s="1" t="e">
        <v>#N/A</v>
      </c>
      <c r="S55" t="str">
        <f t="shared" si="0"/>
        <v/>
      </c>
    </row>
    <row r="56" spans="1:19" x14ac:dyDescent="0.2">
      <c r="A56" s="1">
        <v>38169</v>
      </c>
      <c r="B56" s="9">
        <v>269410</v>
      </c>
      <c r="C56" s="8">
        <v>4.2368181818181796</v>
      </c>
      <c r="D56">
        <v>1.7</v>
      </c>
      <c r="E56">
        <v>40.200000000000003</v>
      </c>
      <c r="F56">
        <v>10.3</v>
      </c>
      <c r="G56" s="5">
        <v>3440</v>
      </c>
      <c r="H56" t="s">
        <v>25</v>
      </c>
      <c r="I56" s="4">
        <v>0.21714872121810913</v>
      </c>
      <c r="L56">
        <v>89.6</v>
      </c>
      <c r="M56">
        <v>81.099999999999994</v>
      </c>
      <c r="N56">
        <v>93.6</v>
      </c>
      <c r="O56">
        <v>289674</v>
      </c>
      <c r="P56" s="8">
        <v>70.076750000000004</v>
      </c>
      <c r="Q56" s="1" t="e">
        <v>#N/A</v>
      </c>
      <c r="S56" t="str">
        <f t="shared" si="0"/>
        <v>2004-Q3</v>
      </c>
    </row>
    <row r="57" spans="1:19" x14ac:dyDescent="0.2">
      <c r="A57" s="1">
        <v>38200</v>
      </c>
      <c r="B57" s="9" t="e">
        <v>#N/A</v>
      </c>
      <c r="C57" s="8">
        <v>4.0804545454545504</v>
      </c>
      <c r="D57">
        <v>1.7</v>
      </c>
      <c r="E57" t="e">
        <v>#N/A</v>
      </c>
      <c r="F57">
        <v>10.4</v>
      </c>
      <c r="G57" s="5">
        <v>3460</v>
      </c>
      <c r="H57" t="e">
        <v>#N/A</v>
      </c>
      <c r="I57" s="4">
        <v>0.28878012299537659</v>
      </c>
      <c r="L57">
        <v>88.7</v>
      </c>
      <c r="M57">
        <v>80.5</v>
      </c>
      <c r="N57" t="e">
        <v>#N/A</v>
      </c>
      <c r="O57" t="e">
        <v>#N/A</v>
      </c>
      <c r="P57" s="8">
        <v>71.186070000000001</v>
      </c>
      <c r="Q57" s="1" t="e">
        <v>#N/A</v>
      </c>
      <c r="S57" t="str">
        <f t="shared" si="0"/>
        <v/>
      </c>
    </row>
    <row r="58" spans="1:19" x14ac:dyDescent="0.2">
      <c r="A58" s="1">
        <v>38231</v>
      </c>
      <c r="B58" s="9" t="e">
        <v>#N/A</v>
      </c>
      <c r="C58" s="8">
        <v>4.0163636363636401</v>
      </c>
      <c r="D58">
        <v>1.4</v>
      </c>
      <c r="E58" t="e">
        <v>#N/A</v>
      </c>
      <c r="F58">
        <v>10.4</v>
      </c>
      <c r="G58" s="5">
        <v>3485</v>
      </c>
      <c r="H58" t="e">
        <v>#N/A</v>
      </c>
      <c r="I58" s="4">
        <v>0.38584631681442261</v>
      </c>
      <c r="L58">
        <v>88.5</v>
      </c>
      <c r="M58">
        <v>80.900000000000006</v>
      </c>
      <c r="N58" t="e">
        <v>#N/A</v>
      </c>
      <c r="O58" t="e">
        <v>#N/A</v>
      </c>
      <c r="P58" s="8">
        <v>70.645340000000004</v>
      </c>
      <c r="Q58" s="1" t="e">
        <v>#N/A</v>
      </c>
      <c r="S58" t="str">
        <f t="shared" si="0"/>
        <v/>
      </c>
    </row>
    <row r="59" spans="1:19" x14ac:dyDescent="0.2">
      <c r="A59" s="1">
        <v>38261</v>
      </c>
      <c r="B59" s="9">
        <v>265632</v>
      </c>
      <c r="C59" s="8">
        <v>3.8947619047619</v>
      </c>
      <c r="D59">
        <v>1.4</v>
      </c>
      <c r="E59">
        <v>39.799999999999997</v>
      </c>
      <c r="F59">
        <v>10.5</v>
      </c>
      <c r="G59" s="5">
        <v>3515</v>
      </c>
      <c r="H59" t="s">
        <v>25</v>
      </c>
      <c r="I59" s="4">
        <v>0.31486144661903381</v>
      </c>
      <c r="L59">
        <v>89.6</v>
      </c>
      <c r="M59">
        <v>81.2</v>
      </c>
      <c r="N59">
        <v>93.3</v>
      </c>
      <c r="O59">
        <v>321884</v>
      </c>
      <c r="P59" s="8">
        <v>72.899979999999999</v>
      </c>
      <c r="Q59" s="1" t="e">
        <v>#N/A</v>
      </c>
      <c r="S59" t="str">
        <f t="shared" si="0"/>
        <v>2004-Q4</v>
      </c>
    </row>
    <row r="60" spans="1:19" x14ac:dyDescent="0.2">
      <c r="A60" s="1">
        <v>38292</v>
      </c>
      <c r="B60" s="9" t="e">
        <v>#N/A</v>
      </c>
      <c r="C60" s="8">
        <v>3.7804545454545511</v>
      </c>
      <c r="D60">
        <v>1.4</v>
      </c>
      <c r="E60" t="e">
        <v>#N/A</v>
      </c>
      <c r="F60">
        <v>10.6</v>
      </c>
      <c r="G60" s="5">
        <v>3548</v>
      </c>
      <c r="H60" t="e">
        <v>#N/A</v>
      </c>
      <c r="I60" s="4">
        <v>0.56437814235687256</v>
      </c>
      <c r="L60">
        <v>88.2</v>
      </c>
      <c r="M60">
        <v>81.5</v>
      </c>
      <c r="N60" t="e">
        <v>#N/A</v>
      </c>
      <c r="O60" t="e">
        <v>#N/A</v>
      </c>
      <c r="P60" s="8">
        <v>71.011219999999994</v>
      </c>
      <c r="Q60" s="1" t="e">
        <v>#N/A</v>
      </c>
      <c r="S60" t="str">
        <f t="shared" si="0"/>
        <v/>
      </c>
    </row>
    <row r="61" spans="1:19" x14ac:dyDescent="0.2">
      <c r="A61" s="1">
        <v>38322</v>
      </c>
      <c r="B61" s="9" t="e">
        <v>#N/A</v>
      </c>
      <c r="C61" s="8">
        <v>3.5795238095238102</v>
      </c>
      <c r="D61">
        <v>1.9</v>
      </c>
      <c r="E61" t="e">
        <v>#N/A</v>
      </c>
      <c r="F61">
        <v>10.7</v>
      </c>
      <c r="G61" s="5">
        <v>3580</v>
      </c>
      <c r="H61" t="e">
        <v>#N/A</v>
      </c>
      <c r="I61" s="4">
        <v>0.36200818419456482</v>
      </c>
      <c r="L61">
        <v>88.2</v>
      </c>
      <c r="M61">
        <v>81.3</v>
      </c>
      <c r="N61" t="e">
        <v>#N/A</v>
      </c>
      <c r="O61" t="e">
        <v>#N/A</v>
      </c>
      <c r="P61" s="8">
        <v>69.303669999999997</v>
      </c>
      <c r="Q61" s="1" t="e">
        <v>#N/A</v>
      </c>
      <c r="S61" t="str">
        <f t="shared" si="0"/>
        <v/>
      </c>
    </row>
    <row r="62" spans="1:19" x14ac:dyDescent="0.2">
      <c r="A62" s="1">
        <v>38353</v>
      </c>
      <c r="B62" s="9">
        <v>274180</v>
      </c>
      <c r="C62" s="8">
        <v>3.5647619047618999</v>
      </c>
      <c r="D62">
        <v>1.2</v>
      </c>
      <c r="E62">
        <v>40.6</v>
      </c>
      <c r="F62">
        <v>10.7</v>
      </c>
      <c r="G62" s="5">
        <v>3612</v>
      </c>
      <c r="H62" t="s">
        <v>25</v>
      </c>
      <c r="I62" s="4">
        <v>0.28057685494422913</v>
      </c>
      <c r="L62">
        <v>90.2</v>
      </c>
      <c r="M62">
        <v>83.2</v>
      </c>
      <c r="N62">
        <v>92.4</v>
      </c>
      <c r="O62">
        <v>274554</v>
      </c>
      <c r="P62" s="8">
        <v>70.504080000000002</v>
      </c>
      <c r="Q62" s="1" t="e">
        <v>#N/A</v>
      </c>
      <c r="S62" t="str">
        <f t="shared" si="0"/>
        <v>2005-Q1</v>
      </c>
    </row>
    <row r="63" spans="1:19" x14ac:dyDescent="0.2">
      <c r="A63" s="1">
        <v>38384</v>
      </c>
      <c r="B63" s="9" t="e">
        <v>#N/A</v>
      </c>
      <c r="C63" s="8">
        <v>3.544</v>
      </c>
      <c r="D63">
        <v>1.3</v>
      </c>
      <c r="E63" t="e">
        <v>#N/A</v>
      </c>
      <c r="F63">
        <v>10.9</v>
      </c>
      <c r="G63" s="5">
        <v>3643</v>
      </c>
      <c r="H63" t="e">
        <v>#N/A</v>
      </c>
      <c r="I63" s="4">
        <v>0.5340539813041687</v>
      </c>
      <c r="L63">
        <v>89.2</v>
      </c>
      <c r="M63">
        <v>82</v>
      </c>
      <c r="N63" t="e">
        <v>#N/A</v>
      </c>
      <c r="O63" t="e">
        <v>#N/A</v>
      </c>
      <c r="P63" s="8">
        <v>71.034130000000005</v>
      </c>
      <c r="Q63" s="1" t="e">
        <v>#N/A</v>
      </c>
      <c r="S63" t="str">
        <f t="shared" si="0"/>
        <v/>
      </c>
    </row>
    <row r="64" spans="1:19" x14ac:dyDescent="0.2">
      <c r="A64" s="1">
        <v>38412</v>
      </c>
      <c r="B64" s="9" t="e">
        <v>#N/A</v>
      </c>
      <c r="C64" s="8">
        <v>3.69619047619048</v>
      </c>
      <c r="D64">
        <v>1.1000000000000001</v>
      </c>
      <c r="E64" t="e">
        <v>#N/A</v>
      </c>
      <c r="F64">
        <v>10.9</v>
      </c>
      <c r="G64" s="5">
        <v>3674</v>
      </c>
      <c r="H64" t="e">
        <v>#N/A</v>
      </c>
      <c r="I64" s="4">
        <v>0.28062540292739868</v>
      </c>
      <c r="L64">
        <v>90.1</v>
      </c>
      <c r="M64">
        <v>82.3</v>
      </c>
      <c r="N64" t="e">
        <v>#N/A</v>
      </c>
      <c r="O64" t="e">
        <v>#N/A</v>
      </c>
      <c r="P64" s="8">
        <v>72.987219999999994</v>
      </c>
      <c r="Q64" s="1" t="e">
        <v>#N/A</v>
      </c>
      <c r="S64" t="str">
        <f t="shared" si="0"/>
        <v/>
      </c>
    </row>
    <row r="65" spans="1:19" x14ac:dyDescent="0.2">
      <c r="A65" s="1">
        <v>38443</v>
      </c>
      <c r="B65" s="9">
        <v>273404</v>
      </c>
      <c r="C65" s="8">
        <v>3.4823809523809501</v>
      </c>
      <c r="D65">
        <v>0.7</v>
      </c>
      <c r="E65">
        <v>40.9</v>
      </c>
      <c r="F65">
        <v>11.2</v>
      </c>
      <c r="G65" s="5">
        <v>3738</v>
      </c>
      <c r="H65" t="s">
        <v>25</v>
      </c>
      <c r="I65" s="4">
        <v>0.24426852166652679</v>
      </c>
      <c r="L65">
        <v>90.8</v>
      </c>
      <c r="M65">
        <v>81.5</v>
      </c>
      <c r="N65">
        <v>92.9</v>
      </c>
      <c r="O65">
        <v>283593</v>
      </c>
      <c r="P65" s="8">
        <v>74.353490000000022</v>
      </c>
      <c r="Q65" s="1" t="e">
        <v>#N/A</v>
      </c>
      <c r="S65" t="str">
        <f t="shared" si="0"/>
        <v>2005-Q2</v>
      </c>
    </row>
    <row r="66" spans="1:19" x14ac:dyDescent="0.2">
      <c r="A66" s="1">
        <v>38473</v>
      </c>
      <c r="B66" s="9" t="e">
        <v>#N/A</v>
      </c>
      <c r="C66" s="8">
        <v>3.3040909090909101</v>
      </c>
      <c r="D66">
        <v>1.2</v>
      </c>
      <c r="E66" t="e">
        <v>#N/A</v>
      </c>
      <c r="F66">
        <v>11.2</v>
      </c>
      <c r="G66" s="5">
        <v>3761</v>
      </c>
      <c r="H66" t="e">
        <v>#N/A</v>
      </c>
      <c r="I66" s="4">
        <v>0.3767942488193512</v>
      </c>
      <c r="L66">
        <v>89.7</v>
      </c>
      <c r="M66">
        <v>81.8</v>
      </c>
      <c r="N66" t="e">
        <v>#N/A</v>
      </c>
      <c r="O66" t="e">
        <v>#N/A</v>
      </c>
      <c r="P66" s="8">
        <v>74.168520000000001</v>
      </c>
      <c r="Q66" s="1" t="e">
        <v>#N/A</v>
      </c>
      <c r="S66" t="str">
        <f t="shared" si="0"/>
        <v/>
      </c>
    </row>
    <row r="67" spans="1:19" x14ac:dyDescent="0.2">
      <c r="A67" s="1">
        <v>38504</v>
      </c>
      <c r="B67" s="9" t="e">
        <v>#N/A</v>
      </c>
      <c r="C67" s="8">
        <v>3.12636363636364</v>
      </c>
      <c r="D67">
        <v>0.8</v>
      </c>
      <c r="E67" t="e">
        <v>#N/A</v>
      </c>
      <c r="F67">
        <v>11.2</v>
      </c>
      <c r="G67" s="5">
        <v>3774</v>
      </c>
      <c r="H67" t="e">
        <v>#N/A</v>
      </c>
      <c r="I67" s="4">
        <v>0.25597012042999268</v>
      </c>
      <c r="L67">
        <v>91.5</v>
      </c>
      <c r="M67">
        <v>82.2</v>
      </c>
      <c r="N67" t="e">
        <v>#N/A</v>
      </c>
      <c r="O67" t="e">
        <v>#N/A</v>
      </c>
      <c r="P67" s="8">
        <v>75.740799999999993</v>
      </c>
      <c r="Q67" s="1" t="e">
        <v>#N/A</v>
      </c>
      <c r="S67" t="str">
        <f t="shared" ref="S67:S130" si="1">IF(MONTH($A67) = 1, YEAR($A67)&amp;"-Q"&amp;MONTH($A67), IF(MONTH($A67) = 4, YEAR($A67)&amp;"-Q2", IF(MONTH($A67) = 7, YEAR($A67)&amp;"-Q3", IF(MONTH($A67) = 10, YEAR($A67)&amp;"-Q4",""))))</f>
        <v/>
      </c>
    </row>
    <row r="68" spans="1:19" x14ac:dyDescent="0.2">
      <c r="A68" s="1">
        <v>38534</v>
      </c>
      <c r="B68" s="9">
        <v>271896</v>
      </c>
      <c r="C68" s="8">
        <v>3.20571428571429</v>
      </c>
      <c r="D68">
        <v>0.8</v>
      </c>
      <c r="E68">
        <v>41.4</v>
      </c>
      <c r="F68">
        <v>11.2</v>
      </c>
      <c r="G68" s="5">
        <v>3779</v>
      </c>
      <c r="H68" t="s">
        <v>25</v>
      </c>
      <c r="I68" s="4">
        <v>0.4090728759765625</v>
      </c>
      <c r="L68">
        <v>92.8</v>
      </c>
      <c r="M68">
        <v>82.2</v>
      </c>
      <c r="N68">
        <v>93.3</v>
      </c>
      <c r="O68">
        <v>288524</v>
      </c>
      <c r="P68" s="8">
        <v>77.594390000000004</v>
      </c>
      <c r="Q68" s="1" t="e">
        <v>#N/A</v>
      </c>
      <c r="S68" t="str">
        <f t="shared" si="1"/>
        <v>2005-Q3</v>
      </c>
    </row>
    <row r="69" spans="1:19" x14ac:dyDescent="0.2">
      <c r="A69" s="1">
        <v>38565</v>
      </c>
      <c r="B69" s="9" t="e">
        <v>#N/A</v>
      </c>
      <c r="C69" s="8">
        <v>3.23260869565217</v>
      </c>
      <c r="D69">
        <v>0.7</v>
      </c>
      <c r="E69" t="e">
        <v>#N/A</v>
      </c>
      <c r="F69">
        <v>11.2</v>
      </c>
      <c r="G69" s="5">
        <v>3771</v>
      </c>
      <c r="H69" t="e">
        <v>#N/A</v>
      </c>
      <c r="I69" s="4">
        <v>0.41755679249763489</v>
      </c>
      <c r="L69">
        <v>90.3</v>
      </c>
      <c r="M69">
        <v>82.7</v>
      </c>
      <c r="N69" t="e">
        <v>#N/A</v>
      </c>
      <c r="O69" t="e">
        <v>#N/A</v>
      </c>
      <c r="P69" s="8">
        <v>78.654489999999996</v>
      </c>
      <c r="Q69" s="1" t="e">
        <v>#N/A</v>
      </c>
      <c r="S69" t="str">
        <f t="shared" si="1"/>
        <v/>
      </c>
    </row>
    <row r="70" spans="1:19" x14ac:dyDescent="0.2">
      <c r="A70" s="1">
        <v>38596</v>
      </c>
      <c r="B70" s="9" t="e">
        <v>#N/A</v>
      </c>
      <c r="C70" s="8">
        <v>3.0677272727272702</v>
      </c>
      <c r="D70">
        <v>1</v>
      </c>
      <c r="E70" t="e">
        <v>#N/A</v>
      </c>
      <c r="F70">
        <v>11.1</v>
      </c>
      <c r="G70" s="5">
        <v>3748</v>
      </c>
      <c r="H70" t="e">
        <v>#N/A</v>
      </c>
      <c r="I70" s="4">
        <v>0.37678533792495728</v>
      </c>
      <c r="L70">
        <v>92.5</v>
      </c>
      <c r="M70">
        <v>82.3</v>
      </c>
      <c r="N70" t="e">
        <v>#N/A</v>
      </c>
      <c r="O70" t="e">
        <v>#N/A</v>
      </c>
      <c r="P70" s="8">
        <v>80.803399999999996</v>
      </c>
      <c r="Q70" s="1" t="e">
        <v>#N/A</v>
      </c>
      <c r="S70" t="str">
        <f t="shared" si="1"/>
        <v/>
      </c>
    </row>
    <row r="71" spans="1:19" x14ac:dyDescent="0.2">
      <c r="A71" s="1">
        <v>38626</v>
      </c>
      <c r="B71" s="9">
        <v>270513</v>
      </c>
      <c r="C71" s="8">
        <v>3.2385714285714302</v>
      </c>
      <c r="D71">
        <v>1.2</v>
      </c>
      <c r="E71">
        <v>41.2</v>
      </c>
      <c r="F71">
        <v>11</v>
      </c>
      <c r="G71" s="5">
        <v>3714</v>
      </c>
      <c r="H71" t="s">
        <v>25</v>
      </c>
      <c r="I71" s="4">
        <v>0.24130997061729431</v>
      </c>
      <c r="L71">
        <v>94.1</v>
      </c>
      <c r="M71">
        <v>82</v>
      </c>
      <c r="N71">
        <v>93.9</v>
      </c>
      <c r="O71">
        <v>321762</v>
      </c>
      <c r="P71" s="8">
        <v>81.277940000000001</v>
      </c>
      <c r="Q71" s="1" t="e">
        <v>#N/A</v>
      </c>
      <c r="S71" t="str">
        <f t="shared" si="1"/>
        <v>2005-Q4</v>
      </c>
    </row>
    <row r="72" spans="1:19" x14ac:dyDescent="0.2">
      <c r="A72" s="1">
        <v>38657</v>
      </c>
      <c r="B72" s="9" t="e">
        <v>#N/A</v>
      </c>
      <c r="C72" s="8">
        <v>3.44818181818182</v>
      </c>
      <c r="D72">
        <v>1.3</v>
      </c>
      <c r="E72" t="e">
        <v>#N/A</v>
      </c>
      <c r="F72">
        <v>10.9</v>
      </c>
      <c r="G72" s="5">
        <v>3677</v>
      </c>
      <c r="H72" t="e">
        <v>#N/A</v>
      </c>
      <c r="I72" s="4">
        <v>0.25313368439674377</v>
      </c>
      <c r="L72">
        <v>93.3</v>
      </c>
      <c r="M72">
        <v>82.6</v>
      </c>
      <c r="N72" t="e">
        <v>#N/A</v>
      </c>
      <c r="O72" t="e">
        <v>#N/A</v>
      </c>
      <c r="P72" s="8">
        <v>78.822850000000003</v>
      </c>
      <c r="Q72" s="1" t="s">
        <v>28</v>
      </c>
      <c r="S72" t="str">
        <f t="shared" si="1"/>
        <v/>
      </c>
    </row>
    <row r="73" spans="1:19" x14ac:dyDescent="0.2">
      <c r="A73" s="1">
        <v>38687</v>
      </c>
      <c r="B73" s="9" t="e">
        <v>#N/A</v>
      </c>
      <c r="C73" s="8">
        <v>3.3376190476190501</v>
      </c>
      <c r="D73">
        <v>0.9</v>
      </c>
      <c r="E73" t="e">
        <v>#N/A</v>
      </c>
      <c r="F73">
        <v>10.7</v>
      </c>
      <c r="G73" s="5">
        <v>3644</v>
      </c>
      <c r="H73" t="e">
        <v>#N/A</v>
      </c>
      <c r="I73" s="4">
        <v>0.32926714420318604</v>
      </c>
      <c r="L73">
        <v>93.3</v>
      </c>
      <c r="M73">
        <v>82.6</v>
      </c>
      <c r="N73" t="e">
        <v>#N/A</v>
      </c>
      <c r="O73" t="e">
        <v>#N/A</v>
      </c>
      <c r="P73" s="8">
        <v>78.838800000000006</v>
      </c>
      <c r="Q73" s="1" t="e">
        <v>#N/A</v>
      </c>
      <c r="S73" t="str">
        <f t="shared" si="1"/>
        <v/>
      </c>
    </row>
    <row r="74" spans="1:19" x14ac:dyDescent="0.2">
      <c r="A74" s="1">
        <v>38718</v>
      </c>
      <c r="B74" s="9">
        <v>276810</v>
      </c>
      <c r="C74" s="8">
        <v>3.3213636363636398</v>
      </c>
      <c r="D74">
        <v>0.7</v>
      </c>
      <c r="E74">
        <v>41.2</v>
      </c>
      <c r="F74">
        <v>10.6</v>
      </c>
      <c r="G74" s="5">
        <v>3620</v>
      </c>
      <c r="H74" t="s">
        <v>25</v>
      </c>
      <c r="I74" s="4">
        <v>0.51708215475082397</v>
      </c>
      <c r="L74">
        <v>94.2</v>
      </c>
      <c r="M74">
        <v>82.3</v>
      </c>
      <c r="N74">
        <v>94.3</v>
      </c>
      <c r="O74">
        <v>276676</v>
      </c>
      <c r="P74" s="8">
        <v>80.914090000000002</v>
      </c>
      <c r="Q74" s="1" t="e">
        <v>#N/A</v>
      </c>
      <c r="S74" t="str">
        <f t="shared" si="1"/>
        <v>2006-Q1</v>
      </c>
    </row>
    <row r="75" spans="1:19" x14ac:dyDescent="0.2">
      <c r="A75" s="1">
        <v>38749</v>
      </c>
      <c r="B75" s="9" t="e">
        <v>#N/A</v>
      </c>
      <c r="C75" s="8">
        <v>3.4725000000000001</v>
      </c>
      <c r="D75">
        <v>0.8</v>
      </c>
      <c r="E75" t="e">
        <v>#N/A</v>
      </c>
      <c r="F75">
        <v>10.5</v>
      </c>
      <c r="G75" s="5">
        <v>3601</v>
      </c>
      <c r="H75" t="e">
        <v>#N/A</v>
      </c>
      <c r="I75" s="4">
        <v>0.35979241132736206</v>
      </c>
      <c r="L75">
        <v>94.4</v>
      </c>
      <c r="M75">
        <v>82.5</v>
      </c>
      <c r="N75" t="e">
        <v>#N/A</v>
      </c>
      <c r="O75" t="e">
        <v>#N/A</v>
      </c>
      <c r="P75" s="8">
        <v>81.155439999999999</v>
      </c>
      <c r="Q75" s="1" t="e">
        <v>#N/A</v>
      </c>
      <c r="S75" t="str">
        <f t="shared" si="1"/>
        <v/>
      </c>
    </row>
    <row r="76" spans="1:19" x14ac:dyDescent="0.2">
      <c r="A76" s="1">
        <v>38777</v>
      </c>
      <c r="B76" s="9" t="e">
        <v>#N/A</v>
      </c>
      <c r="C76" s="8">
        <v>3.637391304347831</v>
      </c>
      <c r="D76">
        <v>0.7</v>
      </c>
      <c r="E76" t="e">
        <v>#N/A</v>
      </c>
      <c r="F76">
        <v>10.5</v>
      </c>
      <c r="G76" s="5">
        <v>3578</v>
      </c>
      <c r="H76" t="e">
        <v>#N/A</v>
      </c>
      <c r="I76" s="4">
        <v>0.26685795187950134</v>
      </c>
      <c r="L76">
        <v>93.6</v>
      </c>
      <c r="M76">
        <v>82.1</v>
      </c>
      <c r="N76" t="e">
        <v>#N/A</v>
      </c>
      <c r="O76" t="e">
        <v>#N/A</v>
      </c>
      <c r="P76" s="8">
        <v>81.365230000000011</v>
      </c>
      <c r="Q76" s="1" t="e">
        <v>#N/A</v>
      </c>
      <c r="S76" t="str">
        <f t="shared" si="1"/>
        <v/>
      </c>
    </row>
    <row r="77" spans="1:19" x14ac:dyDescent="0.2">
      <c r="A77" s="1">
        <v>38808</v>
      </c>
      <c r="B77" s="9">
        <v>274034</v>
      </c>
      <c r="C77" s="8">
        <v>3.895</v>
      </c>
      <c r="D77">
        <v>0.9</v>
      </c>
      <c r="E77">
        <v>41.4</v>
      </c>
      <c r="F77">
        <v>10.3</v>
      </c>
      <c r="G77" s="5">
        <v>3540</v>
      </c>
      <c r="H77" t="s">
        <v>25</v>
      </c>
      <c r="I77" s="4">
        <v>0.26949954032897949</v>
      </c>
      <c r="L77">
        <v>95.5</v>
      </c>
      <c r="M77">
        <v>82.5</v>
      </c>
      <c r="N77">
        <v>95.2</v>
      </c>
      <c r="O77">
        <v>288532</v>
      </c>
      <c r="P77" s="8">
        <v>83.677409999999995</v>
      </c>
      <c r="Q77" s="1" t="e">
        <v>#N/A</v>
      </c>
      <c r="S77" t="str">
        <f t="shared" si="1"/>
        <v>2006-Q2</v>
      </c>
    </row>
    <row r="78" spans="1:19" x14ac:dyDescent="0.2">
      <c r="A78" s="1">
        <v>38838</v>
      </c>
      <c r="B78" s="9" t="e">
        <v>#N/A</v>
      </c>
      <c r="C78" s="8">
        <v>3.9627272727272702</v>
      </c>
      <c r="D78">
        <v>0.7</v>
      </c>
      <c r="E78" t="e">
        <v>#N/A</v>
      </c>
      <c r="F78">
        <v>10.199999999999999</v>
      </c>
      <c r="G78" s="5">
        <v>3491</v>
      </c>
      <c r="H78" t="e">
        <v>#N/A</v>
      </c>
      <c r="I78" s="4">
        <v>0.40401017665863037</v>
      </c>
      <c r="L78">
        <v>96.4</v>
      </c>
      <c r="M78">
        <v>83.1</v>
      </c>
      <c r="N78" t="e">
        <v>#N/A</v>
      </c>
      <c r="O78" t="e">
        <v>#N/A</v>
      </c>
      <c r="P78" s="8">
        <v>83.921040000000005</v>
      </c>
      <c r="Q78" s="1" t="e">
        <v>#N/A</v>
      </c>
      <c r="S78" t="str">
        <f t="shared" si="1"/>
        <v/>
      </c>
    </row>
    <row r="79" spans="1:19" x14ac:dyDescent="0.2">
      <c r="A79" s="1">
        <v>38869</v>
      </c>
      <c r="B79" s="9" t="e">
        <v>#N/A</v>
      </c>
      <c r="C79" s="8">
        <v>3.9604545454545499</v>
      </c>
      <c r="D79">
        <v>0.9</v>
      </c>
      <c r="E79" t="e">
        <v>#N/A</v>
      </c>
      <c r="F79">
        <v>10.1</v>
      </c>
      <c r="G79" s="5">
        <v>3442</v>
      </c>
      <c r="H79" t="e">
        <v>#N/A</v>
      </c>
      <c r="I79" s="4">
        <v>0.37172475457191467</v>
      </c>
      <c r="L79">
        <v>96.1</v>
      </c>
      <c r="M79">
        <v>83.2</v>
      </c>
      <c r="N79" t="e">
        <v>#N/A</v>
      </c>
      <c r="O79" t="e">
        <v>#N/A</v>
      </c>
      <c r="P79" s="8">
        <v>84.478219999999993</v>
      </c>
      <c r="Q79" s="1" t="e">
        <v>#N/A</v>
      </c>
      <c r="S79" t="str">
        <f t="shared" si="1"/>
        <v/>
      </c>
    </row>
    <row r="80" spans="1:19" x14ac:dyDescent="0.2">
      <c r="A80" s="1">
        <v>38899</v>
      </c>
      <c r="B80" s="9">
        <v>273532</v>
      </c>
      <c r="C80" s="8">
        <v>4.01</v>
      </c>
      <c r="D80">
        <v>1</v>
      </c>
      <c r="E80">
        <v>41.7</v>
      </c>
      <c r="F80">
        <v>10</v>
      </c>
      <c r="G80" s="5">
        <v>3404</v>
      </c>
      <c r="H80" t="s">
        <v>25</v>
      </c>
      <c r="I80" s="4">
        <v>0.42878922820091248</v>
      </c>
      <c r="L80">
        <v>97.7</v>
      </c>
      <c r="M80">
        <v>82.2</v>
      </c>
      <c r="N80">
        <v>95.6</v>
      </c>
      <c r="O80">
        <v>295932</v>
      </c>
      <c r="P80" s="8">
        <v>85.25421</v>
      </c>
      <c r="Q80" s="1" t="e">
        <v>#N/A</v>
      </c>
      <c r="S80" t="str">
        <f t="shared" si="1"/>
        <v>2006-Q3</v>
      </c>
    </row>
    <row r="81" spans="1:19" x14ac:dyDescent="0.2">
      <c r="A81" s="1">
        <v>38930</v>
      </c>
      <c r="B81" s="9" t="e">
        <v>#N/A</v>
      </c>
      <c r="C81" s="8">
        <v>3.8839130434782598</v>
      </c>
      <c r="D81">
        <v>1</v>
      </c>
      <c r="E81" t="e">
        <v>#N/A</v>
      </c>
      <c r="F81">
        <v>9.9</v>
      </c>
      <c r="G81" s="5">
        <v>3378</v>
      </c>
      <c r="H81" t="e">
        <v>#N/A</v>
      </c>
      <c r="I81" s="4">
        <v>0.45502951741218567</v>
      </c>
      <c r="L81">
        <v>98.2</v>
      </c>
      <c r="M81">
        <v>83</v>
      </c>
      <c r="N81" t="e">
        <v>#N/A</v>
      </c>
      <c r="O81" t="e">
        <v>#N/A</v>
      </c>
      <c r="P81" s="8">
        <v>84.830119999999994</v>
      </c>
      <c r="Q81" s="1" t="e">
        <v>#N/A</v>
      </c>
      <c r="S81" t="str">
        <f t="shared" si="1"/>
        <v/>
      </c>
    </row>
    <row r="82" spans="1:19" x14ac:dyDescent="0.2">
      <c r="A82" s="1">
        <v>38961</v>
      </c>
      <c r="B82" s="9" t="e">
        <v>#N/A</v>
      </c>
      <c r="C82" s="8">
        <v>3.7538095238095202</v>
      </c>
      <c r="D82">
        <v>1</v>
      </c>
      <c r="E82" t="e">
        <v>#N/A</v>
      </c>
      <c r="F82">
        <v>9.8000000000000007</v>
      </c>
      <c r="G82" s="5">
        <v>3351</v>
      </c>
      <c r="H82" t="e">
        <v>#N/A</v>
      </c>
      <c r="I82" s="4">
        <v>0.47655183076858521</v>
      </c>
      <c r="L82">
        <v>97.9</v>
      </c>
      <c r="M82">
        <v>81.400000000000006</v>
      </c>
      <c r="N82" t="e">
        <v>#N/A</v>
      </c>
      <c r="O82" t="e">
        <v>#N/A</v>
      </c>
      <c r="P82" s="8">
        <v>82.084789999999998</v>
      </c>
      <c r="Q82" s="1" t="e">
        <v>#N/A</v>
      </c>
      <c r="S82" t="str">
        <f t="shared" si="1"/>
        <v/>
      </c>
    </row>
    <row r="83" spans="1:19" x14ac:dyDescent="0.2">
      <c r="A83" s="1">
        <v>38991</v>
      </c>
      <c r="B83" s="9">
        <v>274897</v>
      </c>
      <c r="C83" s="8">
        <v>3.7877272727272699</v>
      </c>
      <c r="D83">
        <v>1.3</v>
      </c>
      <c r="E83">
        <v>41</v>
      </c>
      <c r="F83">
        <v>9.6999999999999993</v>
      </c>
      <c r="G83" s="5">
        <v>3319</v>
      </c>
      <c r="H83" t="s">
        <v>25</v>
      </c>
      <c r="I83" s="4">
        <v>0.26492038369178772</v>
      </c>
      <c r="L83">
        <v>97.5</v>
      </c>
      <c r="M83">
        <v>81.900000000000006</v>
      </c>
      <c r="N83">
        <v>96.5</v>
      </c>
      <c r="O83">
        <v>329209</v>
      </c>
      <c r="P83" s="8">
        <v>81.735129999999998</v>
      </c>
      <c r="Q83" s="1" t="e">
        <v>#N/A</v>
      </c>
      <c r="S83" t="str">
        <f t="shared" si="1"/>
        <v>2006-Q4</v>
      </c>
    </row>
    <row r="84" spans="1:19" x14ac:dyDescent="0.2">
      <c r="A84" s="1">
        <v>39022</v>
      </c>
      <c r="B84" s="9" t="e">
        <v>#N/A</v>
      </c>
      <c r="C84" s="8">
        <v>3.7140909090909102</v>
      </c>
      <c r="D84">
        <v>1.3</v>
      </c>
      <c r="E84" t="e">
        <v>#N/A</v>
      </c>
      <c r="F84">
        <v>9.6</v>
      </c>
      <c r="G84" s="5">
        <v>3274</v>
      </c>
      <c r="H84" t="e">
        <v>#N/A</v>
      </c>
      <c r="I84" s="4">
        <v>0.20039471983909607</v>
      </c>
      <c r="L84">
        <v>99.2</v>
      </c>
      <c r="M84">
        <v>82.1</v>
      </c>
      <c r="N84" t="e">
        <v>#N/A</v>
      </c>
      <c r="O84" t="e">
        <v>#N/A</v>
      </c>
      <c r="P84" s="8">
        <v>81.365189999999998</v>
      </c>
      <c r="Q84" s="1" t="e">
        <v>#N/A</v>
      </c>
      <c r="S84" t="str">
        <f t="shared" si="1"/>
        <v/>
      </c>
    </row>
    <row r="85" spans="1:19" x14ac:dyDescent="0.2">
      <c r="A85" s="1">
        <v>39052</v>
      </c>
      <c r="B85" s="9" t="e">
        <v>#N/A</v>
      </c>
      <c r="C85" s="8">
        <v>3.77052631578947</v>
      </c>
      <c r="D85">
        <v>1.1000000000000001</v>
      </c>
      <c r="E85" t="e">
        <v>#N/A</v>
      </c>
      <c r="F85">
        <v>9.4</v>
      </c>
      <c r="G85" s="5">
        <v>3218</v>
      </c>
      <c r="H85" t="e">
        <v>#N/A</v>
      </c>
      <c r="I85" s="4">
        <v>0.24380730092525482</v>
      </c>
      <c r="L85">
        <v>100.1</v>
      </c>
      <c r="M85">
        <v>85.9</v>
      </c>
      <c r="N85" t="e">
        <v>#N/A</v>
      </c>
      <c r="O85" t="e">
        <v>#N/A</v>
      </c>
      <c r="P85" s="8">
        <v>81.315569999999994</v>
      </c>
      <c r="Q85" s="1" t="e">
        <v>#N/A</v>
      </c>
      <c r="S85" t="str">
        <f t="shared" si="1"/>
        <v/>
      </c>
    </row>
    <row r="86" spans="1:19" x14ac:dyDescent="0.2">
      <c r="A86" s="1">
        <v>39083</v>
      </c>
      <c r="B86" s="9">
        <v>277528</v>
      </c>
      <c r="C86" s="8">
        <v>4.0168181818181798</v>
      </c>
      <c r="D86">
        <v>1.8</v>
      </c>
      <c r="E86">
        <v>40.5</v>
      </c>
      <c r="F86">
        <v>9.1999999999999993</v>
      </c>
      <c r="G86" s="5">
        <v>3154</v>
      </c>
      <c r="H86" t="s">
        <v>25</v>
      </c>
      <c r="I86" s="4">
        <v>0.24088944494724274</v>
      </c>
      <c r="L86">
        <v>99.9</v>
      </c>
      <c r="M86">
        <v>80.900000000000006</v>
      </c>
      <c r="N86">
        <v>96.7</v>
      </c>
      <c r="O86">
        <v>284965</v>
      </c>
      <c r="P86" s="8">
        <v>82.47824</v>
      </c>
      <c r="Q86" s="1" t="e">
        <v>#N/A</v>
      </c>
      <c r="S86" t="str">
        <f t="shared" si="1"/>
        <v>2007-Q1</v>
      </c>
    </row>
    <row r="87" spans="1:19" x14ac:dyDescent="0.2">
      <c r="A87" s="1">
        <v>39114</v>
      </c>
      <c r="B87" s="9" t="e">
        <v>#N/A</v>
      </c>
      <c r="C87" s="8">
        <v>4.0490000000000004</v>
      </c>
      <c r="D87">
        <v>1.8</v>
      </c>
      <c r="E87" t="e">
        <v>#N/A</v>
      </c>
      <c r="F87">
        <v>9.1</v>
      </c>
      <c r="G87" s="5">
        <v>3089</v>
      </c>
      <c r="H87" t="e">
        <v>#N/A</v>
      </c>
      <c r="I87" s="4">
        <v>0.42574256658554077</v>
      </c>
      <c r="L87">
        <v>100.7</v>
      </c>
      <c r="M87">
        <v>82.3</v>
      </c>
      <c r="N87" t="e">
        <v>#N/A</v>
      </c>
      <c r="O87" t="e">
        <v>#N/A</v>
      </c>
      <c r="P87" s="8">
        <v>83.103999999999999</v>
      </c>
      <c r="Q87" s="1" t="e">
        <v>#N/A</v>
      </c>
      <c r="S87" t="str">
        <f t="shared" si="1"/>
        <v/>
      </c>
    </row>
    <row r="88" spans="1:19" x14ac:dyDescent="0.2">
      <c r="A88" s="1">
        <v>39142</v>
      </c>
      <c r="B88" s="9" t="e">
        <v>#N/A</v>
      </c>
      <c r="C88" s="8">
        <v>3.94090909090909</v>
      </c>
      <c r="D88">
        <v>1.8</v>
      </c>
      <c r="E88" t="e">
        <v>#N/A</v>
      </c>
      <c r="F88">
        <v>8.9</v>
      </c>
      <c r="G88" s="5">
        <v>3034</v>
      </c>
      <c r="H88" t="e">
        <v>#N/A</v>
      </c>
      <c r="I88" s="4">
        <v>0.27756896615028381</v>
      </c>
      <c r="L88">
        <v>101.2</v>
      </c>
      <c r="M88">
        <v>82.3</v>
      </c>
      <c r="N88" t="e">
        <v>#N/A</v>
      </c>
      <c r="O88" t="e">
        <v>#N/A</v>
      </c>
      <c r="P88" s="8">
        <v>84.326259999999991</v>
      </c>
      <c r="Q88" s="1" t="e">
        <v>#N/A</v>
      </c>
      <c r="S88" t="str">
        <f t="shared" si="1"/>
        <v/>
      </c>
    </row>
    <row r="89" spans="1:19" x14ac:dyDescent="0.2">
      <c r="A89" s="1">
        <v>39173</v>
      </c>
      <c r="B89" s="9">
        <v>273831</v>
      </c>
      <c r="C89" s="8">
        <v>4.1521052631578996</v>
      </c>
      <c r="D89">
        <v>2.1</v>
      </c>
      <c r="E89">
        <v>40.9</v>
      </c>
      <c r="F89">
        <v>8.6999999999999993</v>
      </c>
      <c r="G89" s="5">
        <v>2990</v>
      </c>
      <c r="H89" t="s">
        <v>25</v>
      </c>
      <c r="I89" s="4">
        <v>0.16986089944839478</v>
      </c>
      <c r="L89">
        <v>100.4</v>
      </c>
      <c r="M89">
        <v>84.5</v>
      </c>
      <c r="N89">
        <v>97.2</v>
      </c>
      <c r="O89">
        <v>297427</v>
      </c>
      <c r="P89" s="8">
        <v>85.385390000000001</v>
      </c>
      <c r="Q89" s="1" t="e">
        <v>#N/A</v>
      </c>
      <c r="S89" t="str">
        <f t="shared" si="1"/>
        <v>2007-Q2</v>
      </c>
    </row>
    <row r="90" spans="1:19" x14ac:dyDescent="0.2">
      <c r="A90" s="1">
        <v>39203</v>
      </c>
      <c r="B90" s="9" t="e">
        <v>#N/A</v>
      </c>
      <c r="C90" s="8">
        <v>4.2790476190476197</v>
      </c>
      <c r="D90">
        <v>2.1</v>
      </c>
      <c r="E90" t="e">
        <v>#N/A</v>
      </c>
      <c r="F90">
        <v>8.6</v>
      </c>
      <c r="G90" s="5">
        <v>2954</v>
      </c>
      <c r="H90" t="e">
        <v>#N/A</v>
      </c>
      <c r="I90" s="4">
        <v>0.25957170128822327</v>
      </c>
      <c r="L90">
        <v>102.3</v>
      </c>
      <c r="M90">
        <v>80.7</v>
      </c>
      <c r="N90" t="e">
        <v>#N/A</v>
      </c>
      <c r="O90" t="e">
        <v>#N/A</v>
      </c>
      <c r="P90" s="8">
        <v>85.871119999999991</v>
      </c>
      <c r="Q90" s="1" t="e">
        <v>#N/A</v>
      </c>
      <c r="S90" t="str">
        <f t="shared" si="1"/>
        <v/>
      </c>
    </row>
    <row r="91" spans="1:19" x14ac:dyDescent="0.2">
      <c r="A91" s="1">
        <v>39234</v>
      </c>
      <c r="B91" s="9" t="e">
        <v>#N/A</v>
      </c>
      <c r="C91" s="8">
        <v>4.5604761904761908</v>
      </c>
      <c r="D91">
        <v>1.9</v>
      </c>
      <c r="E91" t="e">
        <v>#N/A</v>
      </c>
      <c r="F91">
        <v>8.5</v>
      </c>
      <c r="G91" s="5">
        <v>2923</v>
      </c>
      <c r="H91" t="e">
        <v>#N/A</v>
      </c>
      <c r="I91" s="4">
        <v>0.36771699786186218</v>
      </c>
      <c r="L91">
        <v>102.5</v>
      </c>
      <c r="M91">
        <v>81.7</v>
      </c>
      <c r="N91" t="e">
        <v>#N/A</v>
      </c>
      <c r="O91" t="e">
        <v>#N/A</v>
      </c>
      <c r="P91" s="8">
        <v>86.056179999999998</v>
      </c>
      <c r="Q91" s="1" t="e">
        <v>#N/A</v>
      </c>
      <c r="S91" t="str">
        <f t="shared" si="1"/>
        <v/>
      </c>
    </row>
    <row r="92" spans="1:19" x14ac:dyDescent="0.2">
      <c r="A92" s="1">
        <v>39264</v>
      </c>
      <c r="B92" s="9">
        <v>275738</v>
      </c>
      <c r="C92" s="8">
        <v>4.5049999999999999</v>
      </c>
      <c r="D92">
        <v>2.1</v>
      </c>
      <c r="E92">
        <v>39.700000000000003</v>
      </c>
      <c r="F92">
        <v>8.5</v>
      </c>
      <c r="G92" s="5">
        <v>2895</v>
      </c>
      <c r="H92" t="s">
        <v>25</v>
      </c>
      <c r="I92" s="4">
        <v>0.23953646421432495</v>
      </c>
      <c r="L92">
        <v>103.1</v>
      </c>
      <c r="M92">
        <v>81.7</v>
      </c>
      <c r="N92">
        <v>97.2</v>
      </c>
      <c r="O92">
        <v>302901</v>
      </c>
      <c r="P92" s="8">
        <v>86.823149999999998</v>
      </c>
      <c r="Q92" s="1" t="e">
        <v>#N/A</v>
      </c>
      <c r="S92" t="str">
        <f t="shared" si="1"/>
        <v>2007-Q3</v>
      </c>
    </row>
    <row r="93" spans="1:19" x14ac:dyDescent="0.2">
      <c r="A93" s="1">
        <v>39295</v>
      </c>
      <c r="B93" s="9" t="e">
        <v>#N/A</v>
      </c>
      <c r="C93" s="8">
        <v>4.29652173913043</v>
      </c>
      <c r="D93">
        <v>2.2000000000000002</v>
      </c>
      <c r="E93" t="e">
        <v>#N/A</v>
      </c>
      <c r="F93">
        <v>8.4</v>
      </c>
      <c r="G93" s="5">
        <v>2872</v>
      </c>
      <c r="H93" t="e">
        <v>#N/A</v>
      </c>
      <c r="I93" s="4">
        <v>0.21582505106925964</v>
      </c>
      <c r="L93">
        <v>103.3</v>
      </c>
      <c r="M93">
        <v>81.5</v>
      </c>
      <c r="N93" t="e">
        <v>#N/A</v>
      </c>
      <c r="O93" t="e">
        <v>#N/A</v>
      </c>
      <c r="P93" s="8">
        <v>85.869930000000011</v>
      </c>
      <c r="Q93" s="1" t="e">
        <v>#N/A</v>
      </c>
      <c r="S93" t="str">
        <f t="shared" si="1"/>
        <v/>
      </c>
    </row>
    <row r="94" spans="1:19" x14ac:dyDescent="0.2">
      <c r="A94" s="1">
        <v>39326</v>
      </c>
      <c r="B94" s="9" t="e">
        <v>#N/A</v>
      </c>
      <c r="C94" s="8">
        <v>4.226</v>
      </c>
      <c r="D94">
        <v>2.2000000000000002</v>
      </c>
      <c r="E94" t="e">
        <v>#N/A</v>
      </c>
      <c r="F94">
        <v>8.4</v>
      </c>
      <c r="G94" s="5">
        <v>2851</v>
      </c>
      <c r="H94" t="e">
        <v>#N/A</v>
      </c>
      <c r="I94" s="4">
        <v>0.28465965390205383</v>
      </c>
      <c r="L94">
        <v>104.3</v>
      </c>
      <c r="M94">
        <v>82</v>
      </c>
      <c r="N94" t="e">
        <v>#N/A</v>
      </c>
      <c r="O94" t="e">
        <v>#N/A</v>
      </c>
      <c r="P94" s="8">
        <v>86.936409999999995</v>
      </c>
      <c r="Q94" s="1" t="e">
        <v>#N/A</v>
      </c>
      <c r="S94" t="str">
        <f t="shared" si="1"/>
        <v/>
      </c>
    </row>
    <row r="95" spans="1:19" x14ac:dyDescent="0.2">
      <c r="A95" s="1">
        <v>39356</v>
      </c>
      <c r="B95" s="9">
        <v>279782</v>
      </c>
      <c r="C95" s="8">
        <v>4.2826086956521694</v>
      </c>
      <c r="D95">
        <v>2.2999999999999998</v>
      </c>
      <c r="E95">
        <v>39.4</v>
      </c>
      <c r="F95">
        <v>8.3000000000000007</v>
      </c>
      <c r="G95" s="5">
        <v>2823</v>
      </c>
      <c r="H95" t="s">
        <v>25</v>
      </c>
      <c r="I95" s="4">
        <v>0.3003518283367157</v>
      </c>
      <c r="L95">
        <v>104.5</v>
      </c>
      <c r="M95">
        <v>81.400000000000006</v>
      </c>
      <c r="N95">
        <v>97.8</v>
      </c>
      <c r="O95">
        <v>338711</v>
      </c>
      <c r="P95" s="8">
        <v>86.73312</v>
      </c>
      <c r="Q95" s="1" t="e">
        <v>#N/A</v>
      </c>
      <c r="S95" t="str">
        <f t="shared" si="1"/>
        <v>2007-Q4</v>
      </c>
    </row>
    <row r="96" spans="1:19" x14ac:dyDescent="0.2">
      <c r="A96" s="1">
        <v>39387</v>
      </c>
      <c r="B96" s="9" t="e">
        <v>#N/A</v>
      </c>
      <c r="C96" s="8">
        <v>4.0890909090909107</v>
      </c>
      <c r="D96">
        <v>2.5</v>
      </c>
      <c r="E96" t="e">
        <v>#N/A</v>
      </c>
      <c r="F96">
        <v>8.1999999999999993</v>
      </c>
      <c r="G96" s="5">
        <v>2789</v>
      </c>
      <c r="H96" t="e">
        <v>#N/A</v>
      </c>
      <c r="I96" s="4">
        <v>0.25465112924575806</v>
      </c>
      <c r="L96">
        <v>104.1</v>
      </c>
      <c r="M96">
        <v>80.8</v>
      </c>
      <c r="N96" t="e">
        <v>#N/A</v>
      </c>
      <c r="O96" t="e">
        <v>#N/A</v>
      </c>
      <c r="P96" s="8">
        <v>90.212490000000003</v>
      </c>
      <c r="Q96" s="1" t="e">
        <v>#N/A</v>
      </c>
      <c r="S96" t="str">
        <f t="shared" si="1"/>
        <v/>
      </c>
    </row>
    <row r="97" spans="1:19" x14ac:dyDescent="0.2">
      <c r="A97" s="1">
        <v>39417</v>
      </c>
      <c r="B97" s="9" t="e">
        <v>#N/A</v>
      </c>
      <c r="C97" s="8">
        <v>4.2058823529411802</v>
      </c>
      <c r="D97">
        <v>2.5</v>
      </c>
      <c r="E97" t="e">
        <v>#N/A</v>
      </c>
      <c r="F97">
        <v>8.1</v>
      </c>
      <c r="G97" s="5">
        <v>2748</v>
      </c>
      <c r="H97" t="e">
        <v>#N/A</v>
      </c>
      <c r="I97" s="4">
        <v>0.34997892379760742</v>
      </c>
      <c r="L97">
        <v>105</v>
      </c>
      <c r="M97">
        <v>81</v>
      </c>
      <c r="N97" t="e">
        <v>#N/A</v>
      </c>
      <c r="O97" t="e">
        <v>#N/A</v>
      </c>
      <c r="P97" s="8">
        <v>88.284130000000005</v>
      </c>
      <c r="Q97" s="1" t="e">
        <v>#N/A</v>
      </c>
      <c r="S97" t="str">
        <f t="shared" si="1"/>
        <v/>
      </c>
    </row>
    <row r="98" spans="1:19" x14ac:dyDescent="0.2">
      <c r="A98" s="1">
        <v>39448</v>
      </c>
      <c r="B98" s="9">
        <v>285528</v>
      </c>
      <c r="C98" s="8">
        <v>4.0277272727272706</v>
      </c>
      <c r="D98">
        <v>2.1</v>
      </c>
      <c r="E98">
        <v>39.5</v>
      </c>
      <c r="F98">
        <v>8</v>
      </c>
      <c r="G98" s="5">
        <v>2707</v>
      </c>
      <c r="H98" t="s">
        <v>25</v>
      </c>
      <c r="I98" s="4">
        <v>0.19929623603820801</v>
      </c>
      <c r="L98">
        <v>106</v>
      </c>
      <c r="M98">
        <v>81.900000000000006</v>
      </c>
      <c r="N98">
        <v>98.3</v>
      </c>
      <c r="O98">
        <v>296074</v>
      </c>
      <c r="P98" s="8">
        <v>90.256230000000002</v>
      </c>
      <c r="Q98" s="1" t="e">
        <v>#N/A</v>
      </c>
      <c r="S98" t="str">
        <f t="shared" si="1"/>
        <v>2008-Q1</v>
      </c>
    </row>
    <row r="99" spans="1:19" x14ac:dyDescent="0.2">
      <c r="A99" s="1">
        <v>39479</v>
      </c>
      <c r="B99" s="9" t="e">
        <v>#N/A</v>
      </c>
      <c r="C99" s="8">
        <v>3.9528571428571402</v>
      </c>
      <c r="D99">
        <v>2.1</v>
      </c>
      <c r="E99" t="e">
        <v>#N/A</v>
      </c>
      <c r="F99">
        <v>7.9</v>
      </c>
      <c r="G99" s="5">
        <v>2671</v>
      </c>
      <c r="H99" t="e">
        <v>#N/A</v>
      </c>
      <c r="I99" s="4">
        <v>0.21614061295986176</v>
      </c>
      <c r="L99">
        <v>105.6</v>
      </c>
      <c r="M99">
        <v>82</v>
      </c>
      <c r="N99" t="e">
        <v>#N/A</v>
      </c>
      <c r="O99" t="e">
        <v>#N/A</v>
      </c>
      <c r="P99" s="8">
        <v>90.620729999999995</v>
      </c>
      <c r="Q99" s="1" t="e">
        <v>#N/A</v>
      </c>
      <c r="S99" t="str">
        <f t="shared" si="1"/>
        <v/>
      </c>
    </row>
    <row r="100" spans="1:19" x14ac:dyDescent="0.2">
      <c r="A100" s="1">
        <v>39508</v>
      </c>
      <c r="B100" s="9" t="e">
        <v>#N/A</v>
      </c>
      <c r="C100" s="8">
        <v>3.799473684210529</v>
      </c>
      <c r="D100">
        <v>2.5</v>
      </c>
      <c r="E100" t="e">
        <v>#N/A</v>
      </c>
      <c r="F100">
        <v>7.8</v>
      </c>
      <c r="G100" s="5">
        <v>2639</v>
      </c>
      <c r="H100" t="e">
        <v>#N/A</v>
      </c>
      <c r="I100" s="4">
        <v>0.14553786814212799</v>
      </c>
      <c r="L100">
        <v>105.4</v>
      </c>
      <c r="M100">
        <v>80.900000000000006</v>
      </c>
      <c r="N100" t="e">
        <v>#N/A</v>
      </c>
      <c r="O100" t="e">
        <v>#N/A</v>
      </c>
      <c r="P100" s="8">
        <v>92.664119999999997</v>
      </c>
      <c r="Q100" s="1" t="e">
        <v>#N/A</v>
      </c>
      <c r="S100" t="str">
        <f t="shared" si="1"/>
        <v/>
      </c>
    </row>
    <row r="101" spans="1:19" x14ac:dyDescent="0.2">
      <c r="A101" s="1">
        <v>39539</v>
      </c>
      <c r="B101" s="9">
        <v>286378</v>
      </c>
      <c r="C101" s="8">
        <v>4.04</v>
      </c>
      <c r="D101">
        <v>1.8</v>
      </c>
      <c r="E101">
        <v>39.4</v>
      </c>
      <c r="F101">
        <v>7.7</v>
      </c>
      <c r="G101" s="5">
        <v>2610</v>
      </c>
      <c r="H101" t="s">
        <v>25</v>
      </c>
      <c r="I101" s="4">
        <v>0.1361793726682663</v>
      </c>
      <c r="L101">
        <v>106</v>
      </c>
      <c r="M101">
        <v>81.2</v>
      </c>
      <c r="N101">
        <v>98</v>
      </c>
      <c r="O101">
        <v>309758</v>
      </c>
      <c r="P101" s="8">
        <v>93.457210000000003</v>
      </c>
      <c r="Q101" s="1" t="e">
        <v>#N/A</v>
      </c>
      <c r="S101" t="str">
        <f t="shared" si="1"/>
        <v>2008-Q2</v>
      </c>
    </row>
    <row r="102" spans="1:19" x14ac:dyDescent="0.2">
      <c r="A102" s="1">
        <v>39569</v>
      </c>
      <c r="B102" s="9" t="e">
        <v>#N/A</v>
      </c>
      <c r="C102" s="8">
        <v>4.2019047619047596</v>
      </c>
      <c r="D102">
        <v>1.8</v>
      </c>
      <c r="E102" t="e">
        <v>#N/A</v>
      </c>
      <c r="F102">
        <v>7.5</v>
      </c>
      <c r="G102" s="5">
        <v>2576</v>
      </c>
      <c r="H102" t="e">
        <v>#N/A</v>
      </c>
      <c r="I102" s="4">
        <v>0.1862311065196991</v>
      </c>
      <c r="L102">
        <v>103.6</v>
      </c>
      <c r="M102">
        <v>81</v>
      </c>
      <c r="N102" t="e">
        <v>#N/A</v>
      </c>
      <c r="O102" t="e">
        <v>#N/A</v>
      </c>
      <c r="P102" s="8">
        <v>96.786379999999994</v>
      </c>
      <c r="Q102" s="1" t="e">
        <v>#N/A</v>
      </c>
      <c r="S102" t="str">
        <f t="shared" si="1"/>
        <v/>
      </c>
    </row>
    <row r="103" spans="1:19" x14ac:dyDescent="0.2">
      <c r="A103" s="1">
        <v>39600</v>
      </c>
      <c r="B103" s="9" t="e">
        <v>#N/A</v>
      </c>
      <c r="C103" s="8">
        <v>4.5204761904761908</v>
      </c>
      <c r="D103">
        <v>1.9</v>
      </c>
      <c r="E103" t="e">
        <v>#N/A</v>
      </c>
      <c r="F103">
        <v>7.4</v>
      </c>
      <c r="G103" s="5">
        <v>2532</v>
      </c>
      <c r="H103" t="e">
        <v>#N/A</v>
      </c>
      <c r="I103" s="4">
        <v>0.33924844861030579</v>
      </c>
      <c r="L103">
        <v>104.7</v>
      </c>
      <c r="M103">
        <v>80.400000000000006</v>
      </c>
      <c r="N103" t="e">
        <v>#N/A</v>
      </c>
      <c r="O103" t="e">
        <v>#N/A</v>
      </c>
      <c r="P103" s="8">
        <v>98.594800000000006</v>
      </c>
      <c r="Q103" s="1" t="e">
        <v>#N/A</v>
      </c>
      <c r="S103" t="str">
        <f t="shared" si="1"/>
        <v/>
      </c>
    </row>
    <row r="104" spans="1:19" x14ac:dyDescent="0.2">
      <c r="A104" s="1">
        <v>39630</v>
      </c>
      <c r="B104" s="9">
        <v>285003</v>
      </c>
      <c r="C104" s="8">
        <v>4.4904347826087001</v>
      </c>
      <c r="D104">
        <v>2</v>
      </c>
      <c r="E104">
        <v>39.200000000000003</v>
      </c>
      <c r="F104">
        <v>7.3</v>
      </c>
      <c r="G104" s="5">
        <v>2479</v>
      </c>
      <c r="H104" t="s">
        <v>25</v>
      </c>
      <c r="I104" s="4">
        <v>0.45245879888534546</v>
      </c>
      <c r="L104">
        <v>103.1</v>
      </c>
      <c r="M104">
        <v>80.400000000000006</v>
      </c>
      <c r="N104">
        <v>97.7</v>
      </c>
      <c r="O104">
        <v>314570</v>
      </c>
      <c r="P104" s="8">
        <v>99.890559999999994</v>
      </c>
      <c r="Q104" s="1" t="e">
        <v>#N/A</v>
      </c>
      <c r="S104" t="str">
        <f t="shared" si="1"/>
        <v>2008-Q3</v>
      </c>
    </row>
    <row r="105" spans="1:19" x14ac:dyDescent="0.2">
      <c r="A105" s="1">
        <v>39661</v>
      </c>
      <c r="B105" s="9" t="e">
        <v>#N/A</v>
      </c>
      <c r="C105" s="8">
        <v>4.2023809523809508</v>
      </c>
      <c r="D105">
        <v>2</v>
      </c>
      <c r="E105" t="e">
        <v>#N/A</v>
      </c>
      <c r="F105">
        <v>7.1</v>
      </c>
      <c r="G105" s="5">
        <v>2425</v>
      </c>
      <c r="H105" t="e">
        <v>#N/A</v>
      </c>
      <c r="I105" s="4">
        <v>0.37038272619247437</v>
      </c>
      <c r="L105">
        <v>104.8</v>
      </c>
      <c r="M105">
        <v>81.400000000000006</v>
      </c>
      <c r="N105" t="e">
        <v>#N/A</v>
      </c>
      <c r="O105" t="e">
        <v>#N/A</v>
      </c>
      <c r="P105" s="8">
        <v>96.841819999999998</v>
      </c>
      <c r="Q105" s="1" t="e">
        <v>#N/A</v>
      </c>
      <c r="S105" t="str">
        <f t="shared" si="1"/>
        <v/>
      </c>
    </row>
    <row r="106" spans="1:19" x14ac:dyDescent="0.2">
      <c r="A106" s="1">
        <v>39692</v>
      </c>
      <c r="B106" s="9" t="e">
        <v>#N/A</v>
      </c>
      <c r="C106" s="8">
        <v>4.0940909090909106</v>
      </c>
      <c r="D106">
        <v>1.9</v>
      </c>
      <c r="E106" t="e">
        <v>#N/A</v>
      </c>
      <c r="F106">
        <v>7</v>
      </c>
      <c r="G106" s="5">
        <v>2383</v>
      </c>
      <c r="H106" t="e">
        <v>#N/A</v>
      </c>
      <c r="I106" s="4">
        <v>0.33522099256515503</v>
      </c>
      <c r="L106">
        <v>102.8</v>
      </c>
      <c r="M106">
        <v>82.8</v>
      </c>
      <c r="N106" t="e">
        <v>#N/A</v>
      </c>
      <c r="O106" t="e">
        <v>#N/A</v>
      </c>
      <c r="P106" s="8">
        <v>97.445549999999997</v>
      </c>
      <c r="Q106" s="1" t="e">
        <v>#N/A</v>
      </c>
      <c r="S106" t="str">
        <f t="shared" si="1"/>
        <v/>
      </c>
    </row>
    <row r="107" spans="1:19" x14ac:dyDescent="0.2">
      <c r="A107" s="1">
        <v>39722</v>
      </c>
      <c r="B107" s="9">
        <v>293370</v>
      </c>
      <c r="C107" s="8">
        <v>3.8834782608695702</v>
      </c>
      <c r="D107">
        <v>1.6</v>
      </c>
      <c r="E107">
        <v>39.9</v>
      </c>
      <c r="F107">
        <v>7</v>
      </c>
      <c r="G107" s="5">
        <v>2361</v>
      </c>
      <c r="H107" t="s">
        <v>25</v>
      </c>
      <c r="I107" s="4">
        <v>0.17182131111621857</v>
      </c>
      <c r="L107">
        <v>100.6</v>
      </c>
      <c r="M107">
        <v>81.400000000000006</v>
      </c>
      <c r="N107">
        <v>97.2</v>
      </c>
      <c r="O107">
        <v>351310</v>
      </c>
      <c r="P107" s="8">
        <v>95.095889999999997</v>
      </c>
      <c r="Q107" s="1" t="e">
        <v>#N/A</v>
      </c>
      <c r="S107" t="str">
        <f t="shared" si="1"/>
        <v>2008-Q4</v>
      </c>
    </row>
    <row r="108" spans="1:19" x14ac:dyDescent="0.2">
      <c r="A108" s="1">
        <v>39753</v>
      </c>
      <c r="B108" s="9" t="e">
        <v>#N/A</v>
      </c>
      <c r="C108" s="8">
        <v>3.5565000000000002</v>
      </c>
      <c r="D108">
        <v>1.3</v>
      </c>
      <c r="E108" t="e">
        <v>#N/A</v>
      </c>
      <c r="F108">
        <v>7</v>
      </c>
      <c r="G108" s="5">
        <v>2357</v>
      </c>
      <c r="H108" t="e">
        <v>#N/A</v>
      </c>
      <c r="I108" s="4">
        <v>0.18583592772483826</v>
      </c>
      <c r="L108">
        <v>96.1</v>
      </c>
      <c r="M108">
        <v>81.900000000000006</v>
      </c>
      <c r="N108" t="e">
        <v>#N/A</v>
      </c>
      <c r="O108" t="e">
        <v>#N/A</v>
      </c>
      <c r="P108" s="8">
        <v>91.246859999999998</v>
      </c>
      <c r="Q108" s="1" t="e">
        <v>#N/A</v>
      </c>
      <c r="S108" t="str">
        <f t="shared" si="1"/>
        <v/>
      </c>
    </row>
    <row r="109" spans="1:19" x14ac:dyDescent="0.2">
      <c r="A109" s="1">
        <v>39783</v>
      </c>
      <c r="B109" s="9" t="e">
        <v>#N/A</v>
      </c>
      <c r="C109" s="8">
        <v>3.0478947368421099</v>
      </c>
      <c r="D109">
        <v>1.4</v>
      </c>
      <c r="E109" t="e">
        <v>#N/A</v>
      </c>
      <c r="F109">
        <v>7.1</v>
      </c>
      <c r="G109" s="5">
        <v>2368</v>
      </c>
      <c r="H109" t="e">
        <v>#N/A</v>
      </c>
      <c r="I109" s="4">
        <v>0.10813229531049728</v>
      </c>
      <c r="L109">
        <v>92.7</v>
      </c>
      <c r="M109">
        <v>81.900000000000006</v>
      </c>
      <c r="N109" t="e">
        <v>#N/A</v>
      </c>
      <c r="O109" t="e">
        <v>#N/A</v>
      </c>
      <c r="P109" s="8">
        <v>87.366619999999998</v>
      </c>
      <c r="Q109" s="1" t="e">
        <v>#N/A</v>
      </c>
      <c r="S109" t="str">
        <f t="shared" si="1"/>
        <v/>
      </c>
    </row>
    <row r="110" spans="1:19" x14ac:dyDescent="0.2">
      <c r="A110" s="1">
        <v>39814</v>
      </c>
      <c r="B110" s="9">
        <v>293438</v>
      </c>
      <c r="C110" s="8">
        <v>3.07095238095238</v>
      </c>
      <c r="D110">
        <v>1.1000000000000001</v>
      </c>
      <c r="E110">
        <v>41.1</v>
      </c>
      <c r="F110">
        <v>7.1</v>
      </c>
      <c r="G110" s="5">
        <v>2389</v>
      </c>
      <c r="H110">
        <v>49.8</v>
      </c>
      <c r="I110" s="4">
        <v>0.14167732000350952</v>
      </c>
      <c r="L110">
        <v>86.2</v>
      </c>
      <c r="M110">
        <v>79.7</v>
      </c>
      <c r="N110">
        <v>96.2</v>
      </c>
      <c r="O110">
        <v>301410</v>
      </c>
      <c r="P110" s="8">
        <v>89.320340000000002</v>
      </c>
      <c r="Q110" s="1" t="e">
        <v>#N/A</v>
      </c>
      <c r="S110" t="str">
        <f t="shared" si="1"/>
        <v>2009-Q1</v>
      </c>
    </row>
    <row r="111" spans="1:19" x14ac:dyDescent="0.2">
      <c r="A111" s="1">
        <v>39845</v>
      </c>
      <c r="B111" s="9" t="e">
        <v>#N/A</v>
      </c>
      <c r="C111" s="8">
        <v>3.1274999999999999</v>
      </c>
      <c r="D111">
        <v>1.4</v>
      </c>
      <c r="E111" t="e">
        <v>#N/A</v>
      </c>
      <c r="F111">
        <v>7.2</v>
      </c>
      <c r="G111" s="5">
        <v>2409</v>
      </c>
      <c r="H111" t="e">
        <v>#N/A</v>
      </c>
      <c r="I111" s="4">
        <v>0.18426594138145447</v>
      </c>
      <c r="L111">
        <v>83.5</v>
      </c>
      <c r="M111">
        <v>78.900000000000006</v>
      </c>
      <c r="N111" t="e">
        <v>#N/A</v>
      </c>
      <c r="O111" t="e">
        <v>#N/A</v>
      </c>
      <c r="P111" s="8">
        <v>89.524019999999993</v>
      </c>
      <c r="Q111" s="1" t="e">
        <v>#N/A</v>
      </c>
      <c r="S111" t="str">
        <f t="shared" si="1"/>
        <v/>
      </c>
    </row>
    <row r="112" spans="1:19" x14ac:dyDescent="0.2">
      <c r="A112" s="1">
        <v>39873</v>
      </c>
      <c r="B112" s="9" t="e">
        <v>#N/A</v>
      </c>
      <c r="C112" s="8">
        <v>3.0195454545454501</v>
      </c>
      <c r="D112">
        <v>1</v>
      </c>
      <c r="E112" t="e">
        <v>#N/A</v>
      </c>
      <c r="F112">
        <v>7.3</v>
      </c>
      <c r="G112" s="5">
        <v>2428</v>
      </c>
      <c r="H112" t="e">
        <v>#N/A</v>
      </c>
      <c r="I112" s="4">
        <v>0.14572201669216156</v>
      </c>
      <c r="L112">
        <v>83.5</v>
      </c>
      <c r="M112">
        <v>79.099999999999994</v>
      </c>
      <c r="N112" t="e">
        <v>#N/A</v>
      </c>
      <c r="O112" t="e">
        <v>#N/A</v>
      </c>
      <c r="P112" s="8">
        <v>88.378690000000006</v>
      </c>
      <c r="Q112" s="1" t="e">
        <v>#N/A</v>
      </c>
      <c r="S112" t="str">
        <f t="shared" si="1"/>
        <v/>
      </c>
    </row>
    <row r="113" spans="1:19" x14ac:dyDescent="0.2">
      <c r="A113" s="1">
        <v>39904</v>
      </c>
      <c r="B113" s="9">
        <v>299430</v>
      </c>
      <c r="C113" s="8">
        <v>3.133</v>
      </c>
      <c r="D113">
        <v>1.5</v>
      </c>
      <c r="E113">
        <v>43.5</v>
      </c>
      <c r="F113">
        <v>7.4</v>
      </c>
      <c r="G113" s="5">
        <v>2447</v>
      </c>
      <c r="H113">
        <v>48.7</v>
      </c>
      <c r="I113" s="4">
        <v>0.22411799430847168</v>
      </c>
      <c r="L113">
        <v>81</v>
      </c>
      <c r="M113">
        <v>80.900000000000006</v>
      </c>
      <c r="N113">
        <v>95</v>
      </c>
      <c r="O113">
        <v>311244</v>
      </c>
      <c r="P113" s="8">
        <v>88.876640000000009</v>
      </c>
      <c r="Q113" s="1" t="e">
        <v>#N/A</v>
      </c>
      <c r="S113" t="str">
        <f t="shared" si="1"/>
        <v>2009-Q2</v>
      </c>
    </row>
    <row r="114" spans="1:19" x14ac:dyDescent="0.2">
      <c r="A114" s="1">
        <v>39934</v>
      </c>
      <c r="B114" s="9" t="e">
        <v>#N/A</v>
      </c>
      <c r="C114" s="8">
        <v>3.371</v>
      </c>
      <c r="D114">
        <v>1.1000000000000001</v>
      </c>
      <c r="E114" t="e">
        <v>#N/A</v>
      </c>
      <c r="F114">
        <v>7.5</v>
      </c>
      <c r="G114" s="5">
        <v>2469</v>
      </c>
      <c r="H114" t="e">
        <v>#N/A</v>
      </c>
      <c r="I114" s="4">
        <v>0.11867088824510574</v>
      </c>
      <c r="L114">
        <v>84.5</v>
      </c>
      <c r="M114">
        <v>78.8</v>
      </c>
      <c r="N114" t="e">
        <v>#N/A</v>
      </c>
      <c r="O114" t="e">
        <v>#N/A</v>
      </c>
      <c r="P114" s="8">
        <v>89.389469999999989</v>
      </c>
      <c r="Q114" s="1" t="e">
        <v>#N/A</v>
      </c>
      <c r="S114" t="str">
        <f t="shared" si="1"/>
        <v/>
      </c>
    </row>
    <row r="115" spans="1:19" x14ac:dyDescent="0.2">
      <c r="A115" s="1">
        <v>39965</v>
      </c>
      <c r="B115" s="9" t="e">
        <v>#N/A</v>
      </c>
      <c r="C115" s="8">
        <v>3.4736363636363601</v>
      </c>
      <c r="D115">
        <v>1.2</v>
      </c>
      <c r="E115" t="e">
        <v>#N/A</v>
      </c>
      <c r="F115">
        <v>7.5</v>
      </c>
      <c r="G115" s="5">
        <v>2487</v>
      </c>
      <c r="H115" t="e">
        <v>#N/A</v>
      </c>
      <c r="I115" s="4">
        <v>0.22184620797634125</v>
      </c>
      <c r="L115">
        <v>85.9</v>
      </c>
      <c r="M115">
        <v>77.599999999999994</v>
      </c>
      <c r="N115" t="e">
        <v>#N/A</v>
      </c>
      <c r="O115" t="e">
        <v>#N/A</v>
      </c>
      <c r="P115" s="8">
        <v>91.433130000000006</v>
      </c>
      <c r="Q115" s="1" t="e">
        <v>#N/A</v>
      </c>
      <c r="S115" t="str">
        <f t="shared" si="1"/>
        <v/>
      </c>
    </row>
    <row r="116" spans="1:19" x14ac:dyDescent="0.2">
      <c r="A116" s="1">
        <v>39995</v>
      </c>
      <c r="B116" s="9">
        <v>304532</v>
      </c>
      <c r="C116" s="8">
        <v>3.3378260869565199</v>
      </c>
      <c r="D116">
        <v>1</v>
      </c>
      <c r="E116">
        <v>44</v>
      </c>
      <c r="F116">
        <v>7.6</v>
      </c>
      <c r="G116" s="5">
        <v>2495</v>
      </c>
      <c r="H116">
        <v>48.5</v>
      </c>
      <c r="I116" s="4">
        <v>0.14519333839416504</v>
      </c>
      <c r="L116">
        <v>84.9</v>
      </c>
      <c r="M116">
        <v>79</v>
      </c>
      <c r="N116">
        <v>94.9</v>
      </c>
      <c r="O116">
        <v>315671</v>
      </c>
      <c r="P116" s="8">
        <v>88.901449999999997</v>
      </c>
      <c r="Q116" s="1" t="e">
        <v>#N/A</v>
      </c>
      <c r="S116" t="str">
        <f t="shared" si="1"/>
        <v>2009-Q3</v>
      </c>
    </row>
    <row r="117" spans="1:19" x14ac:dyDescent="0.2">
      <c r="A117" s="1">
        <v>40026</v>
      </c>
      <c r="B117" s="9" t="e">
        <v>#N/A</v>
      </c>
      <c r="C117" s="8">
        <v>3.3052380952381002</v>
      </c>
      <c r="D117">
        <v>1</v>
      </c>
      <c r="E117" t="e">
        <v>#N/A</v>
      </c>
      <c r="F117">
        <v>7.5</v>
      </c>
      <c r="G117" s="5">
        <v>2485</v>
      </c>
      <c r="H117" t="e">
        <v>#N/A</v>
      </c>
      <c r="I117" s="4">
        <v>0.13604353368282318</v>
      </c>
      <c r="L117">
        <v>86.1</v>
      </c>
      <c r="M117">
        <v>78.3</v>
      </c>
      <c r="N117" t="e">
        <v>#N/A</v>
      </c>
      <c r="O117" t="e">
        <v>#N/A</v>
      </c>
      <c r="P117" s="8">
        <v>90.837329999999994</v>
      </c>
      <c r="Q117" s="1" t="e">
        <v>#N/A</v>
      </c>
      <c r="S117" t="str">
        <f t="shared" si="1"/>
        <v/>
      </c>
    </row>
    <row r="118" spans="1:19" x14ac:dyDescent="0.2">
      <c r="A118" s="1">
        <v>40057</v>
      </c>
      <c r="B118" s="9" t="e">
        <v>#N/A</v>
      </c>
      <c r="C118" s="8">
        <v>3.26318181818182</v>
      </c>
      <c r="D118">
        <v>0.8</v>
      </c>
      <c r="E118" t="e">
        <v>#N/A</v>
      </c>
      <c r="F118">
        <v>7.5</v>
      </c>
      <c r="G118" s="5">
        <v>2461</v>
      </c>
      <c r="H118" t="e">
        <v>#N/A</v>
      </c>
      <c r="I118" s="4">
        <v>0.62976592779159546</v>
      </c>
      <c r="L118">
        <v>89.5</v>
      </c>
      <c r="M118">
        <v>79.2</v>
      </c>
      <c r="N118" t="e">
        <v>#N/A</v>
      </c>
      <c r="O118" t="e">
        <v>#N/A</v>
      </c>
      <c r="P118" s="8">
        <v>89.320700000000002</v>
      </c>
      <c r="Q118" s="1" t="e">
        <v>#N/A</v>
      </c>
      <c r="S118" t="str">
        <f t="shared" si="1"/>
        <v/>
      </c>
    </row>
    <row r="119" spans="1:19" x14ac:dyDescent="0.2">
      <c r="A119" s="1">
        <v>40087</v>
      </c>
      <c r="B119" s="9">
        <v>307418</v>
      </c>
      <c r="C119" s="8">
        <v>3.2090909090909099</v>
      </c>
      <c r="D119">
        <v>0.9</v>
      </c>
      <c r="E119">
        <v>44</v>
      </c>
      <c r="F119">
        <v>7.4</v>
      </c>
      <c r="G119" s="5">
        <v>2427</v>
      </c>
      <c r="H119">
        <v>48.4</v>
      </c>
      <c r="I119" s="4">
        <v>0.25247138738632202</v>
      </c>
      <c r="L119">
        <v>87.8</v>
      </c>
      <c r="M119">
        <v>79.099999999999994</v>
      </c>
      <c r="N119">
        <v>94.6</v>
      </c>
      <c r="O119">
        <v>350455</v>
      </c>
      <c r="P119" s="8">
        <v>89.224159999999998</v>
      </c>
      <c r="Q119" s="1" t="e">
        <v>#N/A</v>
      </c>
      <c r="S119" t="str">
        <f t="shared" si="1"/>
        <v>2009-Q4</v>
      </c>
    </row>
    <row r="120" spans="1:19" x14ac:dyDescent="0.2">
      <c r="A120" s="1">
        <v>40118</v>
      </c>
      <c r="B120" s="9" t="e">
        <v>#N/A</v>
      </c>
      <c r="C120" s="8">
        <v>3.2171428571428602</v>
      </c>
      <c r="D120">
        <v>0.8</v>
      </c>
      <c r="E120" t="e">
        <v>#N/A</v>
      </c>
      <c r="F120">
        <v>7.2</v>
      </c>
      <c r="G120" s="5">
        <v>2392</v>
      </c>
      <c r="H120" t="e">
        <v>#N/A</v>
      </c>
      <c r="I120" s="4">
        <v>0.23634353280067444</v>
      </c>
      <c r="L120">
        <v>88.3</v>
      </c>
      <c r="M120">
        <v>79.7</v>
      </c>
      <c r="N120" t="e">
        <v>#N/A</v>
      </c>
      <c r="O120" t="e">
        <v>#N/A</v>
      </c>
      <c r="P120" s="8">
        <v>89.895679999999999</v>
      </c>
      <c r="Q120" s="1" t="e">
        <v>#N/A</v>
      </c>
      <c r="S120" t="str">
        <f t="shared" si="1"/>
        <v/>
      </c>
    </row>
    <row r="121" spans="1:19" x14ac:dyDescent="0.2">
      <c r="A121" s="1">
        <v>40148</v>
      </c>
      <c r="B121" s="9" t="e">
        <v>#N/A</v>
      </c>
      <c r="C121" s="8">
        <v>3.1385000000000001</v>
      </c>
      <c r="D121">
        <v>0.8</v>
      </c>
      <c r="E121" t="e">
        <v>#N/A</v>
      </c>
      <c r="F121">
        <v>7.2</v>
      </c>
      <c r="G121" s="5">
        <v>2360</v>
      </c>
      <c r="H121" t="e">
        <v>#N/A</v>
      </c>
      <c r="I121" s="4">
        <v>0.22527958452701569</v>
      </c>
      <c r="L121">
        <v>88.7</v>
      </c>
      <c r="M121">
        <v>80.5</v>
      </c>
      <c r="N121" t="e">
        <v>#N/A</v>
      </c>
      <c r="O121" t="e">
        <v>#N/A</v>
      </c>
      <c r="P121" s="8">
        <v>89.147130000000004</v>
      </c>
      <c r="Q121" s="1" t="e">
        <v>#N/A</v>
      </c>
      <c r="S121" t="str">
        <f t="shared" si="1"/>
        <v/>
      </c>
    </row>
    <row r="122" spans="1:19" x14ac:dyDescent="0.2">
      <c r="A122" s="1">
        <v>40179</v>
      </c>
      <c r="B122" s="9">
        <v>305551</v>
      </c>
      <c r="C122" s="8">
        <v>3.2574999999999998</v>
      </c>
      <c r="D122">
        <v>0.7</v>
      </c>
      <c r="E122">
        <v>44.2</v>
      </c>
      <c r="F122">
        <v>7.1</v>
      </c>
      <c r="G122" s="5">
        <v>2333</v>
      </c>
      <c r="H122">
        <v>50.4</v>
      </c>
      <c r="I122" s="4">
        <v>0.19594070315361023</v>
      </c>
      <c r="L122">
        <v>90</v>
      </c>
      <c r="M122">
        <v>78.5</v>
      </c>
      <c r="N122">
        <v>95.7</v>
      </c>
      <c r="O122">
        <v>307003</v>
      </c>
      <c r="P122" s="8">
        <v>91.113020000000006</v>
      </c>
      <c r="Q122" s="1" t="e">
        <v>#N/A</v>
      </c>
      <c r="S122" t="str">
        <f t="shared" si="1"/>
        <v>2010-Q1</v>
      </c>
    </row>
    <row r="123" spans="1:19" x14ac:dyDescent="0.2">
      <c r="A123" s="1">
        <v>40210</v>
      </c>
      <c r="B123" s="9" t="e">
        <v>#N/A</v>
      </c>
      <c r="C123" s="8">
        <v>3.17</v>
      </c>
      <c r="D123">
        <v>0.4</v>
      </c>
      <c r="E123" t="e">
        <v>#N/A</v>
      </c>
      <c r="F123">
        <v>7</v>
      </c>
      <c r="G123" s="5">
        <v>2310</v>
      </c>
      <c r="H123" t="e">
        <v>#N/A</v>
      </c>
      <c r="I123" s="4">
        <v>0.26579281687736511</v>
      </c>
      <c r="L123">
        <v>89</v>
      </c>
      <c r="M123">
        <v>79.7</v>
      </c>
      <c r="N123" t="e">
        <v>#N/A</v>
      </c>
      <c r="O123" t="e">
        <v>#N/A</v>
      </c>
      <c r="P123" s="8">
        <v>90.323570000000004</v>
      </c>
      <c r="Q123" s="1" t="e">
        <v>#N/A</v>
      </c>
      <c r="S123" t="str">
        <f t="shared" si="1"/>
        <v/>
      </c>
    </row>
    <row r="124" spans="1:19" x14ac:dyDescent="0.2">
      <c r="A124" s="1">
        <v>40238</v>
      </c>
      <c r="B124" s="9" t="e">
        <v>#N/A</v>
      </c>
      <c r="C124" s="8">
        <v>3.10217391304348</v>
      </c>
      <c r="D124">
        <v>0.9</v>
      </c>
      <c r="E124" t="e">
        <v>#N/A</v>
      </c>
      <c r="F124">
        <v>6.9</v>
      </c>
      <c r="G124" s="5">
        <v>2281</v>
      </c>
      <c r="H124" t="e">
        <v>#N/A</v>
      </c>
      <c r="I124" s="4">
        <v>0.19685038924217224</v>
      </c>
      <c r="L124">
        <v>91.1</v>
      </c>
      <c r="M124">
        <v>80.3</v>
      </c>
      <c r="N124" t="e">
        <v>#N/A</v>
      </c>
      <c r="O124" t="e">
        <v>#N/A</v>
      </c>
      <c r="P124" s="8">
        <v>92.713099999999997</v>
      </c>
      <c r="Q124" s="1" t="e">
        <v>#N/A</v>
      </c>
      <c r="S124" t="str">
        <f t="shared" si="1"/>
        <v/>
      </c>
    </row>
    <row r="125" spans="1:19" x14ac:dyDescent="0.2">
      <c r="A125" s="1">
        <v>40269</v>
      </c>
      <c r="B125" s="9">
        <v>308198</v>
      </c>
      <c r="C125" s="8">
        <v>3.0644999999999998</v>
      </c>
      <c r="D125">
        <v>0.4</v>
      </c>
      <c r="E125">
        <v>44</v>
      </c>
      <c r="F125">
        <v>6.8</v>
      </c>
      <c r="G125" s="5">
        <v>2242</v>
      </c>
      <c r="H125">
        <v>51.5</v>
      </c>
      <c r="I125" s="4">
        <v>0.27406036853790283</v>
      </c>
      <c r="L125">
        <v>93</v>
      </c>
      <c r="M125">
        <v>80</v>
      </c>
      <c r="N125">
        <v>96.5</v>
      </c>
      <c r="O125">
        <v>320755</v>
      </c>
      <c r="P125" s="8">
        <v>93.924210000000002</v>
      </c>
      <c r="Q125" s="1" t="e">
        <v>#N/A</v>
      </c>
      <c r="S125" t="str">
        <f t="shared" si="1"/>
        <v>2010-Q2</v>
      </c>
    </row>
    <row r="126" spans="1:19" x14ac:dyDescent="0.2">
      <c r="A126" s="1">
        <v>40299</v>
      </c>
      <c r="B126" s="9" t="e">
        <v>#N/A</v>
      </c>
      <c r="C126" s="8">
        <v>2.73428571428571</v>
      </c>
      <c r="D126">
        <v>0.8</v>
      </c>
      <c r="E126" t="e">
        <v>#N/A</v>
      </c>
      <c r="F126">
        <v>6.7</v>
      </c>
      <c r="G126" s="5">
        <v>2199</v>
      </c>
      <c r="H126" t="e">
        <v>#N/A</v>
      </c>
      <c r="I126" s="4">
        <v>0.2729630172252655</v>
      </c>
      <c r="L126">
        <v>95.9</v>
      </c>
      <c r="M126">
        <v>80.5</v>
      </c>
      <c r="N126" t="e">
        <v>#N/A</v>
      </c>
      <c r="O126" t="e">
        <v>#N/A</v>
      </c>
      <c r="P126" s="8">
        <v>94.159099999999995</v>
      </c>
      <c r="Q126" s="1" t="e">
        <v>#N/A</v>
      </c>
      <c r="S126" t="str">
        <f t="shared" si="1"/>
        <v/>
      </c>
    </row>
    <row r="127" spans="1:19" x14ac:dyDescent="0.2">
      <c r="A127" s="1">
        <v>40330</v>
      </c>
      <c r="B127" s="9" t="e">
        <v>#N/A</v>
      </c>
      <c r="C127" s="8">
        <v>2.5431818181818202</v>
      </c>
      <c r="D127">
        <v>0.5</v>
      </c>
      <c r="E127" t="e">
        <v>#N/A</v>
      </c>
      <c r="F127">
        <v>6.6</v>
      </c>
      <c r="G127" s="5">
        <v>2161</v>
      </c>
      <c r="H127" t="e">
        <v>#N/A</v>
      </c>
      <c r="I127" s="4">
        <v>0.25799793004989624</v>
      </c>
      <c r="L127">
        <v>95</v>
      </c>
      <c r="M127">
        <v>80.900000000000006</v>
      </c>
      <c r="N127" t="e">
        <v>#N/A</v>
      </c>
      <c r="O127" t="e">
        <v>#N/A</v>
      </c>
      <c r="P127" s="8">
        <v>94.079189999999997</v>
      </c>
      <c r="Q127" s="1" t="e">
        <v>#N/A</v>
      </c>
      <c r="S127" t="str">
        <f t="shared" si="1"/>
        <v/>
      </c>
    </row>
    <row r="128" spans="1:19" x14ac:dyDescent="0.2">
      <c r="A128" s="1">
        <v>40360</v>
      </c>
      <c r="B128" s="9">
        <v>338371</v>
      </c>
      <c r="C128" s="8">
        <v>2.6159090909090899</v>
      </c>
      <c r="D128">
        <v>0.7</v>
      </c>
      <c r="E128">
        <v>44.2</v>
      </c>
      <c r="F128">
        <v>6.5</v>
      </c>
      <c r="G128" s="5">
        <v>2133</v>
      </c>
      <c r="H128">
        <v>50.6</v>
      </c>
      <c r="I128" s="4">
        <v>0.23563340306282043</v>
      </c>
      <c r="L128">
        <v>95</v>
      </c>
      <c r="M128">
        <v>81.400000000000006</v>
      </c>
      <c r="N128">
        <v>97</v>
      </c>
      <c r="O128">
        <v>325887</v>
      </c>
      <c r="P128" s="8">
        <v>93.231020000000001</v>
      </c>
      <c r="Q128" s="1" t="e">
        <v>#N/A</v>
      </c>
      <c r="S128" t="str">
        <f t="shared" si="1"/>
        <v>2010-Q3</v>
      </c>
    </row>
    <row r="129" spans="1:19" x14ac:dyDescent="0.2">
      <c r="A129" s="1">
        <v>40391</v>
      </c>
      <c r="B129" s="9" t="e">
        <v>#N/A</v>
      </c>
      <c r="C129" s="8">
        <v>2.35</v>
      </c>
      <c r="D129">
        <v>0.8</v>
      </c>
      <c r="E129" t="e">
        <v>#N/A</v>
      </c>
      <c r="F129">
        <v>6.4</v>
      </c>
      <c r="G129" s="5">
        <v>2115</v>
      </c>
      <c r="H129" t="e">
        <v>#N/A</v>
      </c>
      <c r="I129" s="4">
        <v>0.18773701786994934</v>
      </c>
      <c r="L129">
        <v>96.2</v>
      </c>
      <c r="M129">
        <v>80.900000000000006</v>
      </c>
      <c r="N129" t="e">
        <v>#N/A</v>
      </c>
      <c r="O129" t="e">
        <v>#N/A</v>
      </c>
      <c r="P129" s="8">
        <v>93.036529999999999</v>
      </c>
      <c r="Q129" s="1" t="e">
        <v>#N/A</v>
      </c>
      <c r="S129" t="str">
        <f t="shared" si="1"/>
        <v/>
      </c>
    </row>
    <row r="130" spans="1:19" x14ac:dyDescent="0.2">
      <c r="A130" s="1">
        <v>40422</v>
      </c>
      <c r="B130" s="9" t="e">
        <v>#N/A</v>
      </c>
      <c r="C130" s="8">
        <v>2.3004545454545502</v>
      </c>
      <c r="D130">
        <v>0.9</v>
      </c>
      <c r="E130" t="e">
        <v>#N/A</v>
      </c>
      <c r="F130">
        <v>6.4</v>
      </c>
      <c r="G130" s="5">
        <v>2101</v>
      </c>
      <c r="H130" t="e">
        <v>#N/A</v>
      </c>
      <c r="I130" s="4">
        <v>0.20748347043991089</v>
      </c>
      <c r="L130">
        <v>97.4</v>
      </c>
      <c r="M130">
        <v>80.5</v>
      </c>
      <c r="N130" t="e">
        <v>#N/A</v>
      </c>
      <c r="O130" t="e">
        <v>#N/A</v>
      </c>
      <c r="P130" s="8">
        <v>93.468789999999998</v>
      </c>
      <c r="Q130" s="1" t="e">
        <v>#N/A</v>
      </c>
      <c r="S130" t="str">
        <f t="shared" si="1"/>
        <v/>
      </c>
    </row>
    <row r="131" spans="1:19" x14ac:dyDescent="0.2">
      <c r="A131" s="1">
        <v>40452</v>
      </c>
      <c r="B131" s="9">
        <v>306587</v>
      </c>
      <c r="C131" s="8">
        <v>2.3457142857142901</v>
      </c>
      <c r="D131">
        <v>0.9</v>
      </c>
      <c r="E131">
        <v>51.6</v>
      </c>
      <c r="F131">
        <v>6.3</v>
      </c>
      <c r="G131" s="5">
        <v>2086</v>
      </c>
      <c r="H131">
        <v>51</v>
      </c>
      <c r="I131" s="4">
        <v>0.34523573517799377</v>
      </c>
      <c r="L131">
        <v>99.5</v>
      </c>
      <c r="M131">
        <v>81.400000000000006</v>
      </c>
      <c r="N131">
        <v>97.7</v>
      </c>
      <c r="O131">
        <v>363458</v>
      </c>
      <c r="P131" s="8">
        <v>93.772999999999996</v>
      </c>
      <c r="Q131" s="1" t="e">
        <v>#N/A</v>
      </c>
      <c r="S131" t="str">
        <f t="shared" ref="S131:S194" si="2">IF(MONTH($A131) = 1, YEAR($A131)&amp;"-Q"&amp;MONTH($A131), IF(MONTH($A131) = 4, YEAR($A131)&amp;"-Q2", IF(MONTH($A131) = 7, YEAR($A131)&amp;"-Q3", IF(MONTH($A131) = 10, YEAR($A131)&amp;"-Q4",""))))</f>
        <v>2010-Q4</v>
      </c>
    </row>
    <row r="132" spans="1:19" x14ac:dyDescent="0.2">
      <c r="A132" s="1">
        <v>40483</v>
      </c>
      <c r="B132" s="9" t="e">
        <v>#N/A</v>
      </c>
      <c r="C132" s="8">
        <v>2.5327272727272701</v>
      </c>
      <c r="D132">
        <v>1.1000000000000001</v>
      </c>
      <c r="E132" t="e">
        <v>#N/A</v>
      </c>
      <c r="F132">
        <v>6.2</v>
      </c>
      <c r="G132" s="5">
        <v>2064</v>
      </c>
      <c r="H132" t="e">
        <v>#N/A</v>
      </c>
      <c r="I132" s="4">
        <v>0.38782712817192078</v>
      </c>
      <c r="L132">
        <v>98.9</v>
      </c>
      <c r="M132">
        <v>80.400000000000006</v>
      </c>
      <c r="N132" t="e">
        <v>#N/A</v>
      </c>
      <c r="O132" t="e">
        <v>#N/A</v>
      </c>
      <c r="P132" s="8">
        <v>94.378559999999993</v>
      </c>
      <c r="Q132" s="1" t="e">
        <v>#N/A</v>
      </c>
      <c r="S132" t="str">
        <f t="shared" si="2"/>
        <v/>
      </c>
    </row>
    <row r="133" spans="1:19" x14ac:dyDescent="0.2">
      <c r="A133" s="1">
        <v>40513</v>
      </c>
      <c r="B133" s="9" t="e">
        <v>#N/A</v>
      </c>
      <c r="C133" s="8">
        <v>2.9147619047619</v>
      </c>
      <c r="D133">
        <v>1</v>
      </c>
      <c r="E133" t="e">
        <v>#N/A</v>
      </c>
      <c r="F133">
        <v>6.1</v>
      </c>
      <c r="G133" s="5">
        <v>2031</v>
      </c>
      <c r="H133" t="e">
        <v>#N/A</v>
      </c>
      <c r="I133" s="4">
        <v>0.35499829053878784</v>
      </c>
      <c r="L133">
        <v>100.8</v>
      </c>
      <c r="M133">
        <v>80.400000000000006</v>
      </c>
      <c r="N133" t="e">
        <v>#N/A</v>
      </c>
      <c r="O133" t="e">
        <v>#N/A</v>
      </c>
      <c r="P133" s="8">
        <v>96.480220000000003</v>
      </c>
      <c r="Q133" s="1" t="e">
        <v>#N/A</v>
      </c>
      <c r="S133" t="str">
        <f t="shared" si="2"/>
        <v/>
      </c>
    </row>
    <row r="134" spans="1:19" x14ac:dyDescent="0.2">
      <c r="A134" s="1">
        <v>40544</v>
      </c>
      <c r="B134" s="9">
        <v>309483</v>
      </c>
      <c r="C134" s="8">
        <v>3.0166666666666702</v>
      </c>
      <c r="D134">
        <v>1.1000000000000001</v>
      </c>
      <c r="E134">
        <v>50.9</v>
      </c>
      <c r="F134">
        <v>6</v>
      </c>
      <c r="G134" s="5">
        <v>1986</v>
      </c>
      <c r="H134">
        <v>53.3</v>
      </c>
      <c r="I134" s="4">
        <v>0.25704148411750793</v>
      </c>
      <c r="L134">
        <v>100.1</v>
      </c>
      <c r="M134">
        <v>80.900000000000006</v>
      </c>
      <c r="N134">
        <v>98</v>
      </c>
      <c r="O134">
        <v>320244</v>
      </c>
      <c r="P134" s="8">
        <v>98.935100000000006</v>
      </c>
      <c r="Q134" s="1" t="e">
        <v>#N/A</v>
      </c>
      <c r="S134" t="str">
        <f t="shared" si="2"/>
        <v>2011-Q1</v>
      </c>
    </row>
    <row r="135" spans="1:19" x14ac:dyDescent="0.2">
      <c r="A135" s="1">
        <v>40575</v>
      </c>
      <c r="B135" s="9" t="e">
        <v>#N/A</v>
      </c>
      <c r="C135" s="8">
        <v>3.1989999999999998</v>
      </c>
      <c r="D135">
        <v>1.2</v>
      </c>
      <c r="E135" t="e">
        <v>#N/A</v>
      </c>
      <c r="F135">
        <v>5.9</v>
      </c>
      <c r="G135" s="5">
        <v>1936</v>
      </c>
      <c r="H135" t="e">
        <v>#N/A</v>
      </c>
      <c r="I135" s="4">
        <v>0.30944183468818665</v>
      </c>
      <c r="L135">
        <v>101.1</v>
      </c>
      <c r="M135">
        <v>82</v>
      </c>
      <c r="N135" t="e">
        <v>#N/A</v>
      </c>
      <c r="O135" t="e">
        <v>#N/A</v>
      </c>
      <c r="P135" s="8">
        <v>99.595320000000001</v>
      </c>
      <c r="Q135" s="1" t="e">
        <v>#N/A</v>
      </c>
      <c r="S135" t="str">
        <f t="shared" si="2"/>
        <v/>
      </c>
    </row>
    <row r="136" spans="1:19" x14ac:dyDescent="0.2">
      <c r="A136" s="1">
        <v>40603</v>
      </c>
      <c r="B136" s="9" t="e">
        <v>#N/A</v>
      </c>
      <c r="C136" s="8">
        <v>3.21173913043478</v>
      </c>
      <c r="D136">
        <v>1.2</v>
      </c>
      <c r="E136" t="e">
        <v>#N/A</v>
      </c>
      <c r="F136">
        <v>5.7</v>
      </c>
      <c r="G136" s="5">
        <v>1892</v>
      </c>
      <c r="H136" t="e">
        <v>#N/A</v>
      </c>
      <c r="I136" s="4">
        <v>0.52903008460998535</v>
      </c>
      <c r="L136">
        <v>101.5</v>
      </c>
      <c r="M136">
        <v>80.3</v>
      </c>
      <c r="N136" t="e">
        <v>#N/A</v>
      </c>
      <c r="O136" t="e">
        <v>#N/A</v>
      </c>
      <c r="P136" s="8">
        <v>102.50539999999999</v>
      </c>
      <c r="Q136" s="1" t="e">
        <v>#N/A</v>
      </c>
      <c r="S136" t="str">
        <f t="shared" si="2"/>
        <v/>
      </c>
    </row>
    <row r="137" spans="1:19" x14ac:dyDescent="0.2">
      <c r="A137" s="1">
        <v>40634</v>
      </c>
      <c r="B137" s="9">
        <v>310515</v>
      </c>
      <c r="C137" s="8">
        <v>3.3405263157894698</v>
      </c>
      <c r="D137">
        <v>1.6</v>
      </c>
      <c r="E137">
        <v>50.4</v>
      </c>
      <c r="F137">
        <v>5.6</v>
      </c>
      <c r="G137" s="5">
        <v>1859</v>
      </c>
      <c r="H137">
        <v>51.9</v>
      </c>
      <c r="I137" s="4">
        <v>0.24330030381679535</v>
      </c>
      <c r="L137">
        <v>101.7</v>
      </c>
      <c r="M137">
        <v>81.5</v>
      </c>
      <c r="N137">
        <v>98</v>
      </c>
      <c r="O137">
        <v>336155</v>
      </c>
      <c r="P137" s="8">
        <v>103.8005</v>
      </c>
      <c r="Q137" s="1" t="e">
        <v>#N/A</v>
      </c>
      <c r="S137" t="str">
        <f t="shared" si="2"/>
        <v>2011-Q2</v>
      </c>
    </row>
    <row r="138" spans="1:19" x14ac:dyDescent="0.2">
      <c r="A138" s="1">
        <v>40664</v>
      </c>
      <c r="B138" s="9" t="e">
        <v>#N/A</v>
      </c>
      <c r="C138" s="8">
        <v>3.0609090909090901</v>
      </c>
      <c r="D138">
        <v>1.4</v>
      </c>
      <c r="E138" t="e">
        <v>#N/A</v>
      </c>
      <c r="F138">
        <v>5.6</v>
      </c>
      <c r="G138" s="5">
        <v>1834</v>
      </c>
      <c r="H138" t="e">
        <v>#N/A</v>
      </c>
      <c r="I138" s="4">
        <v>0.23563854396343231</v>
      </c>
      <c r="L138">
        <v>102.7</v>
      </c>
      <c r="M138">
        <v>79.3</v>
      </c>
      <c r="N138" t="e">
        <v>#N/A</v>
      </c>
      <c r="O138" t="e">
        <v>#N/A</v>
      </c>
      <c r="P138" s="8">
        <v>103.0265</v>
      </c>
      <c r="Q138" s="1" t="e">
        <v>#N/A</v>
      </c>
      <c r="S138" t="str">
        <f t="shared" si="2"/>
        <v/>
      </c>
    </row>
    <row r="139" spans="1:19" x14ac:dyDescent="0.2">
      <c r="A139" s="1">
        <v>40695</v>
      </c>
      <c r="B139" s="9" t="e">
        <v>#N/A</v>
      </c>
      <c r="C139" s="8">
        <v>2.8909090909090902</v>
      </c>
      <c r="D139">
        <v>1.5</v>
      </c>
      <c r="E139" t="e">
        <v>#N/A</v>
      </c>
      <c r="F139">
        <v>5.5</v>
      </c>
      <c r="G139" s="5">
        <v>1816</v>
      </c>
      <c r="H139" t="e">
        <v>#N/A</v>
      </c>
      <c r="I139" s="4">
        <v>0.25924459099769592</v>
      </c>
      <c r="L139">
        <v>101.1</v>
      </c>
      <c r="M139">
        <v>81.400000000000006</v>
      </c>
      <c r="N139" t="e">
        <v>#N/A</v>
      </c>
      <c r="O139" t="e">
        <v>#N/A</v>
      </c>
      <c r="P139" s="8">
        <v>102.5988</v>
      </c>
      <c r="Q139" s="1" t="e">
        <v>#N/A</v>
      </c>
      <c r="S139" t="str">
        <f t="shared" si="2"/>
        <v/>
      </c>
    </row>
    <row r="140" spans="1:19" x14ac:dyDescent="0.2">
      <c r="A140" s="1">
        <v>40725</v>
      </c>
      <c r="B140" s="9">
        <v>312465</v>
      </c>
      <c r="C140" s="8">
        <v>2.7438095238095199</v>
      </c>
      <c r="D140">
        <v>1.5</v>
      </c>
      <c r="E140">
        <v>50.3</v>
      </c>
      <c r="F140">
        <v>5.5</v>
      </c>
      <c r="G140" s="5">
        <v>1802</v>
      </c>
      <c r="H140">
        <v>51.7</v>
      </c>
      <c r="I140" s="4">
        <v>0.17330382764339447</v>
      </c>
      <c r="L140">
        <v>104.4</v>
      </c>
      <c r="M140">
        <v>81.5</v>
      </c>
      <c r="N140">
        <v>98.2</v>
      </c>
      <c r="O140">
        <v>339350</v>
      </c>
      <c r="P140" s="8">
        <v>103.2193</v>
      </c>
      <c r="Q140" s="1" t="e">
        <v>#N/A</v>
      </c>
      <c r="S140" t="str">
        <f t="shared" si="2"/>
        <v>2011-Q3</v>
      </c>
    </row>
    <row r="141" spans="1:19" x14ac:dyDescent="0.2">
      <c r="A141" s="1">
        <v>40756</v>
      </c>
      <c r="B141" s="9" t="e">
        <v>#N/A</v>
      </c>
      <c r="C141" s="8">
        <v>2.2134782608695698</v>
      </c>
      <c r="D141">
        <v>1.5</v>
      </c>
      <c r="E141" t="e">
        <v>#N/A</v>
      </c>
      <c r="F141">
        <v>5.4</v>
      </c>
      <c r="G141" s="5">
        <v>1787</v>
      </c>
      <c r="H141" t="e">
        <v>#N/A</v>
      </c>
      <c r="I141" s="4">
        <v>0.23606999218463898</v>
      </c>
      <c r="L141">
        <v>103.5</v>
      </c>
      <c r="M141">
        <v>81.7</v>
      </c>
      <c r="N141" t="e">
        <v>#N/A</v>
      </c>
      <c r="O141" t="e">
        <v>#N/A</v>
      </c>
      <c r="P141" s="8">
        <v>102.4314</v>
      </c>
      <c r="Q141" s="1" t="e">
        <v>#N/A</v>
      </c>
      <c r="S141" t="str">
        <f t="shared" si="2"/>
        <v/>
      </c>
    </row>
    <row r="142" spans="1:19" x14ac:dyDescent="0.2">
      <c r="A142" s="1">
        <v>40787</v>
      </c>
      <c r="B142" s="9" t="e">
        <v>#N/A</v>
      </c>
      <c r="C142" s="8">
        <v>1.82909090909091</v>
      </c>
      <c r="D142">
        <v>1.6</v>
      </c>
      <c r="E142" t="e">
        <v>#N/A</v>
      </c>
      <c r="F142">
        <v>5.4</v>
      </c>
      <c r="G142" s="5">
        <v>1771</v>
      </c>
      <c r="H142" t="e">
        <v>#N/A</v>
      </c>
      <c r="I142" s="4">
        <v>0.18465909361839294</v>
      </c>
      <c r="L142">
        <v>101.9</v>
      </c>
      <c r="M142">
        <v>81.400000000000006</v>
      </c>
      <c r="N142" t="e">
        <v>#N/A</v>
      </c>
      <c r="O142" t="e">
        <v>#N/A</v>
      </c>
      <c r="P142" s="8">
        <v>104.0934</v>
      </c>
      <c r="Q142" s="1" t="s">
        <v>28</v>
      </c>
      <c r="S142" t="str">
        <f t="shared" si="2"/>
        <v/>
      </c>
    </row>
    <row r="143" spans="1:19" x14ac:dyDescent="0.2">
      <c r="A143" s="1">
        <v>40817</v>
      </c>
      <c r="B143" s="9">
        <v>311600</v>
      </c>
      <c r="C143" s="8">
        <v>2.0023809523809502</v>
      </c>
      <c r="D143">
        <v>1.6</v>
      </c>
      <c r="E143">
        <v>49.5</v>
      </c>
      <c r="F143">
        <v>5.3</v>
      </c>
      <c r="G143" s="5">
        <v>1750</v>
      </c>
      <c r="H143">
        <v>49.7</v>
      </c>
      <c r="I143" s="4">
        <v>0.14398595690727234</v>
      </c>
      <c r="L143">
        <v>103.1</v>
      </c>
      <c r="M143">
        <v>81.5</v>
      </c>
      <c r="N143">
        <v>98.2</v>
      </c>
      <c r="O143">
        <v>377711</v>
      </c>
      <c r="P143" s="8">
        <v>104.3597</v>
      </c>
      <c r="Q143" s="1" t="e">
        <v>#N/A</v>
      </c>
      <c r="S143" t="str">
        <f t="shared" si="2"/>
        <v>2011-Q4</v>
      </c>
    </row>
    <row r="144" spans="1:19" x14ac:dyDescent="0.2">
      <c r="A144" s="1">
        <v>40848</v>
      </c>
      <c r="B144" s="9" t="e">
        <v>#N/A</v>
      </c>
      <c r="C144" s="8">
        <v>1.8740909090909099</v>
      </c>
      <c r="D144">
        <v>1.5</v>
      </c>
      <c r="E144" t="e">
        <v>#N/A</v>
      </c>
      <c r="F144">
        <v>5.2</v>
      </c>
      <c r="G144" s="5">
        <v>1728</v>
      </c>
      <c r="H144" t="e">
        <v>#N/A</v>
      </c>
      <c r="I144" s="4">
        <v>0.26685643196105957</v>
      </c>
      <c r="L144">
        <v>102.4</v>
      </c>
      <c r="M144">
        <v>81.3</v>
      </c>
      <c r="N144" t="e">
        <v>#N/A</v>
      </c>
      <c r="O144" t="e">
        <v>#N/A</v>
      </c>
      <c r="P144" s="8">
        <v>105.0398</v>
      </c>
      <c r="Q144" s="1" t="s">
        <v>28</v>
      </c>
      <c r="S144" t="str">
        <f t="shared" si="2"/>
        <v/>
      </c>
    </row>
    <row r="145" spans="1:19" x14ac:dyDescent="0.2">
      <c r="A145" s="1">
        <v>40878</v>
      </c>
      <c r="B145" s="9" t="e">
        <v>#N/A</v>
      </c>
      <c r="C145" s="8">
        <v>1.92761904761905</v>
      </c>
      <c r="D145">
        <v>1.5</v>
      </c>
      <c r="E145" t="e">
        <v>#N/A</v>
      </c>
      <c r="F145">
        <v>5.2</v>
      </c>
      <c r="G145" s="5">
        <v>1710</v>
      </c>
      <c r="H145" t="e">
        <v>#N/A</v>
      </c>
      <c r="I145" s="4">
        <v>0.28525787591934204</v>
      </c>
      <c r="L145">
        <v>101.2</v>
      </c>
      <c r="M145">
        <v>81.2</v>
      </c>
      <c r="N145" t="e">
        <v>#N/A</v>
      </c>
      <c r="O145" t="e">
        <v>#N/A</v>
      </c>
      <c r="P145" s="8">
        <v>104.1986</v>
      </c>
      <c r="Q145" s="1" t="s">
        <v>29</v>
      </c>
      <c r="S145" t="str">
        <f t="shared" si="2"/>
        <v/>
      </c>
    </row>
    <row r="146" spans="1:19" x14ac:dyDescent="0.2">
      <c r="A146" s="1">
        <v>40909</v>
      </c>
      <c r="B146" s="9">
        <v>312955</v>
      </c>
      <c r="C146" s="8">
        <v>1.8209090909090899</v>
      </c>
      <c r="D146">
        <v>1.6</v>
      </c>
      <c r="E146">
        <v>49.9</v>
      </c>
      <c r="F146">
        <v>5.0999999999999996</v>
      </c>
      <c r="G146" s="5">
        <v>1697</v>
      </c>
      <c r="H146">
        <v>50.7</v>
      </c>
      <c r="I146" s="4">
        <v>0.24517087638378143</v>
      </c>
      <c r="L146">
        <v>101.6</v>
      </c>
      <c r="M146">
        <v>80.400000000000006</v>
      </c>
      <c r="N146">
        <v>98.2</v>
      </c>
      <c r="O146">
        <v>332803</v>
      </c>
      <c r="P146" s="8">
        <v>106.16379999999999</v>
      </c>
      <c r="Q146" s="1" t="s">
        <v>28</v>
      </c>
      <c r="S146" t="str">
        <f t="shared" si="2"/>
        <v>2012-Q1</v>
      </c>
    </row>
    <row r="147" spans="1:19" x14ac:dyDescent="0.2">
      <c r="A147" s="1">
        <v>40940</v>
      </c>
      <c r="B147" s="9" t="e">
        <v>#N/A</v>
      </c>
      <c r="C147" s="8">
        <v>1.8519047619047599</v>
      </c>
      <c r="D147">
        <v>1.8</v>
      </c>
      <c r="E147" t="e">
        <v>#N/A</v>
      </c>
      <c r="F147">
        <v>5.0999999999999996</v>
      </c>
      <c r="G147" s="5">
        <v>1691</v>
      </c>
      <c r="H147" t="e">
        <v>#N/A</v>
      </c>
      <c r="I147" s="4">
        <v>0.29327747225761414</v>
      </c>
      <c r="L147">
        <v>102.2</v>
      </c>
      <c r="M147">
        <v>80.900000000000006</v>
      </c>
      <c r="N147" t="e">
        <v>#N/A</v>
      </c>
      <c r="O147" t="e">
        <v>#N/A</v>
      </c>
      <c r="P147" s="8">
        <v>107.7054</v>
      </c>
      <c r="Q147" s="1" t="s">
        <v>28</v>
      </c>
      <c r="S147" t="str">
        <f t="shared" si="2"/>
        <v/>
      </c>
    </row>
    <row r="148" spans="1:19" x14ac:dyDescent="0.2">
      <c r="A148" s="1">
        <v>40969</v>
      </c>
      <c r="B148" s="9" t="e">
        <v>#N/A</v>
      </c>
      <c r="C148" s="8">
        <v>1.83045454545455</v>
      </c>
      <c r="D148">
        <v>1.7</v>
      </c>
      <c r="E148" t="e">
        <v>#N/A</v>
      </c>
      <c r="F148">
        <v>5.0999999999999996</v>
      </c>
      <c r="G148" s="5">
        <v>1692</v>
      </c>
      <c r="H148" t="e">
        <v>#N/A</v>
      </c>
      <c r="I148" s="4">
        <v>0.17587420344352722</v>
      </c>
      <c r="L148">
        <v>102.9</v>
      </c>
      <c r="M148">
        <v>81.5</v>
      </c>
      <c r="N148" t="e">
        <v>#N/A</v>
      </c>
      <c r="O148" t="e">
        <v>#N/A</v>
      </c>
      <c r="P148" s="8">
        <v>109.4838</v>
      </c>
      <c r="Q148" s="1" t="e">
        <v>#N/A</v>
      </c>
      <c r="S148" t="str">
        <f t="shared" si="2"/>
        <v/>
      </c>
    </row>
    <row r="149" spans="1:19" x14ac:dyDescent="0.2">
      <c r="A149" s="1">
        <v>41000</v>
      </c>
      <c r="B149" s="9">
        <v>314903</v>
      </c>
      <c r="C149" s="8">
        <v>1.62421052631579</v>
      </c>
      <c r="D149">
        <v>1.7</v>
      </c>
      <c r="E149">
        <v>50.7</v>
      </c>
      <c r="F149">
        <v>5.0999999999999996</v>
      </c>
      <c r="G149" s="5">
        <v>1697</v>
      </c>
      <c r="H149">
        <v>49.8</v>
      </c>
      <c r="I149" s="4">
        <v>0.35666856169700623</v>
      </c>
      <c r="L149">
        <v>101.4</v>
      </c>
      <c r="M149">
        <v>81.5</v>
      </c>
      <c r="N149">
        <v>98</v>
      </c>
      <c r="O149">
        <v>350322</v>
      </c>
      <c r="P149" s="8">
        <v>109.9044</v>
      </c>
      <c r="Q149" s="1" t="e">
        <v>#N/A</v>
      </c>
      <c r="S149" t="str">
        <f t="shared" si="2"/>
        <v>2012-Q2</v>
      </c>
    </row>
    <row r="150" spans="1:19" x14ac:dyDescent="0.2">
      <c r="A150" s="1">
        <v>41030</v>
      </c>
      <c r="B150" s="9" t="e">
        <v>#N/A</v>
      </c>
      <c r="C150" s="8">
        <v>1.3368181818181799</v>
      </c>
      <c r="D150">
        <v>1.8</v>
      </c>
      <c r="E150" t="e">
        <v>#N/A</v>
      </c>
      <c r="F150">
        <v>5.0999999999999996</v>
      </c>
      <c r="G150" s="5">
        <v>1700</v>
      </c>
      <c r="H150" t="e">
        <v>#N/A</v>
      </c>
      <c r="I150" s="4">
        <v>0.28901734948158264</v>
      </c>
      <c r="L150">
        <v>103.1</v>
      </c>
      <c r="M150">
        <v>81.3</v>
      </c>
      <c r="N150" t="e">
        <v>#N/A</v>
      </c>
      <c r="O150" t="e">
        <v>#N/A</v>
      </c>
      <c r="P150" s="8">
        <v>108.2723</v>
      </c>
      <c r="Q150" s="1" t="s">
        <v>28</v>
      </c>
      <c r="S150" t="str">
        <f t="shared" si="2"/>
        <v/>
      </c>
    </row>
    <row r="151" spans="1:19" x14ac:dyDescent="0.2">
      <c r="A151" s="1">
        <v>41061</v>
      </c>
      <c r="B151" s="9" t="e">
        <v>#N/A</v>
      </c>
      <c r="C151" s="8">
        <v>1.3004761904761899</v>
      </c>
      <c r="D151">
        <v>1.7</v>
      </c>
      <c r="E151" t="e">
        <v>#N/A</v>
      </c>
      <c r="F151">
        <v>5.0999999999999996</v>
      </c>
      <c r="G151" s="5">
        <v>1698</v>
      </c>
      <c r="H151" t="e">
        <v>#N/A</v>
      </c>
      <c r="I151" s="4">
        <v>0.27307072281837463</v>
      </c>
      <c r="L151">
        <v>102</v>
      </c>
      <c r="M151">
        <v>82</v>
      </c>
      <c r="N151" t="e">
        <v>#N/A</v>
      </c>
      <c r="O151" t="e">
        <v>#N/A</v>
      </c>
      <c r="P151" s="8">
        <v>106.6932</v>
      </c>
      <c r="Q151" s="1" t="e">
        <v>#N/A</v>
      </c>
      <c r="S151" t="str">
        <f t="shared" si="2"/>
        <v/>
      </c>
    </row>
    <row r="152" spans="1:19" x14ac:dyDescent="0.2">
      <c r="A152" s="1">
        <v>41091</v>
      </c>
      <c r="B152" s="9">
        <v>317792</v>
      </c>
      <c r="C152" s="8">
        <v>1.2422727272727301</v>
      </c>
      <c r="D152">
        <v>1.5</v>
      </c>
      <c r="E152">
        <v>49.9</v>
      </c>
      <c r="F152">
        <v>5.0999999999999996</v>
      </c>
      <c r="G152" s="5">
        <v>1688</v>
      </c>
      <c r="H152">
        <v>49.3</v>
      </c>
      <c r="I152" s="4">
        <v>0.22334322333335876</v>
      </c>
      <c r="L152">
        <v>102.8</v>
      </c>
      <c r="M152">
        <v>80.900000000000006</v>
      </c>
      <c r="N152">
        <v>98</v>
      </c>
      <c r="O152">
        <v>353010</v>
      </c>
      <c r="P152" s="8">
        <v>107.8237</v>
      </c>
      <c r="Q152" s="1" t="s">
        <v>30</v>
      </c>
      <c r="S152" t="str">
        <f t="shared" si="2"/>
        <v>2012-Q3</v>
      </c>
    </row>
    <row r="153" spans="1:19" x14ac:dyDescent="0.2">
      <c r="A153" s="1">
        <v>41122</v>
      </c>
      <c r="B153" s="9" t="e">
        <v>#N/A</v>
      </c>
      <c r="C153" s="8">
        <v>1.3417391304347801</v>
      </c>
      <c r="D153">
        <v>1.6</v>
      </c>
      <c r="E153" t="e">
        <v>#N/A</v>
      </c>
      <c r="F153">
        <v>5</v>
      </c>
      <c r="G153" s="5">
        <v>1673</v>
      </c>
      <c r="H153" t="e">
        <v>#N/A</v>
      </c>
      <c r="I153" s="4">
        <v>0.16068759560585022</v>
      </c>
      <c r="L153">
        <v>103</v>
      </c>
      <c r="M153">
        <v>81.3</v>
      </c>
      <c r="N153" t="e">
        <v>#N/A</v>
      </c>
      <c r="O153" t="e">
        <v>#N/A</v>
      </c>
      <c r="P153" s="8">
        <v>110.23739999999999</v>
      </c>
      <c r="Q153" s="1" t="s">
        <v>28</v>
      </c>
      <c r="S153" t="str">
        <f t="shared" si="2"/>
        <v/>
      </c>
    </row>
    <row r="154" spans="1:19" x14ac:dyDescent="0.2">
      <c r="A154" s="1">
        <v>41153</v>
      </c>
      <c r="B154" s="9" t="e">
        <v>#N/A</v>
      </c>
      <c r="C154" s="8">
        <v>1.4904999999999999</v>
      </c>
      <c r="D154">
        <v>1.5</v>
      </c>
      <c r="E154" t="e">
        <v>#N/A</v>
      </c>
      <c r="F154">
        <v>5</v>
      </c>
      <c r="G154" s="5">
        <v>1663</v>
      </c>
      <c r="H154" t="e">
        <v>#N/A</v>
      </c>
      <c r="I154" s="4">
        <v>0.1869090348482132</v>
      </c>
      <c r="L154">
        <v>101.7</v>
      </c>
      <c r="M154">
        <v>81.7</v>
      </c>
      <c r="N154" t="e">
        <v>#N/A</v>
      </c>
      <c r="O154" t="e">
        <v>#N/A</v>
      </c>
      <c r="P154" s="8">
        <v>111.43340000000001</v>
      </c>
      <c r="Q154" s="1" t="e">
        <v>#N/A</v>
      </c>
      <c r="S154" t="str">
        <f t="shared" si="2"/>
        <v/>
      </c>
    </row>
    <row r="155" spans="1:19" x14ac:dyDescent="0.2">
      <c r="A155" s="1">
        <v>41183</v>
      </c>
      <c r="B155" s="9">
        <v>316858</v>
      </c>
      <c r="C155" s="8">
        <v>1.46695652173913</v>
      </c>
      <c r="D155">
        <v>1.6</v>
      </c>
      <c r="E155">
        <v>50.1</v>
      </c>
      <c r="F155">
        <v>5</v>
      </c>
      <c r="G155" s="5">
        <v>1663</v>
      </c>
      <c r="H155">
        <v>46</v>
      </c>
      <c r="I155" s="4">
        <v>0.2407536655664444</v>
      </c>
      <c r="L155">
        <v>100.3</v>
      </c>
      <c r="M155">
        <v>81.3</v>
      </c>
      <c r="N155">
        <v>98.1</v>
      </c>
      <c r="O155">
        <v>392673</v>
      </c>
      <c r="P155" s="8">
        <v>110.29640000000001</v>
      </c>
      <c r="Q155" s="1" t="e">
        <v>#N/A</v>
      </c>
      <c r="S155" t="str">
        <f t="shared" si="2"/>
        <v>2012-Q4</v>
      </c>
    </row>
    <row r="156" spans="1:19" x14ac:dyDescent="0.2">
      <c r="A156" s="1">
        <v>41214</v>
      </c>
      <c r="B156" s="9" t="e">
        <v>#N/A</v>
      </c>
      <c r="C156" s="8">
        <v>1.33590909090909</v>
      </c>
      <c r="D156">
        <v>1.7</v>
      </c>
      <c r="E156" t="e">
        <v>#N/A</v>
      </c>
      <c r="F156">
        <v>5</v>
      </c>
      <c r="G156" s="5">
        <v>1673</v>
      </c>
      <c r="H156" t="e">
        <v>#N/A</v>
      </c>
      <c r="I156" s="4">
        <v>0.19870135188102722</v>
      </c>
      <c r="L156">
        <v>99.7</v>
      </c>
      <c r="M156">
        <v>81</v>
      </c>
      <c r="N156" t="e">
        <v>#N/A</v>
      </c>
      <c r="O156" t="e">
        <v>#N/A</v>
      </c>
      <c r="P156" s="8">
        <v>109.03189999999999</v>
      </c>
      <c r="Q156" s="1" t="e">
        <v>#N/A</v>
      </c>
      <c r="S156" t="str">
        <f t="shared" si="2"/>
        <v/>
      </c>
    </row>
    <row r="157" spans="1:19" x14ac:dyDescent="0.2">
      <c r="A157" s="1">
        <v>41244</v>
      </c>
      <c r="B157" s="9" t="e">
        <v>#N/A</v>
      </c>
      <c r="C157" s="8">
        <v>1.29941176470588</v>
      </c>
      <c r="D157">
        <v>1.9</v>
      </c>
      <c r="E157" t="e">
        <v>#N/A</v>
      </c>
      <c r="F157">
        <v>5</v>
      </c>
      <c r="G157" s="5">
        <v>1687</v>
      </c>
      <c r="H157" t="e">
        <v>#N/A</v>
      </c>
      <c r="I157" s="4">
        <v>0.24075800180435181</v>
      </c>
      <c r="L157">
        <v>100.1</v>
      </c>
      <c r="M157">
        <v>81.3</v>
      </c>
      <c r="N157" t="e">
        <v>#N/A</v>
      </c>
      <c r="O157" t="e">
        <v>#N/A</v>
      </c>
      <c r="P157" s="8">
        <v>107.8329</v>
      </c>
      <c r="Q157" s="1" t="e">
        <v>#N/A</v>
      </c>
      <c r="S157" t="str">
        <f t="shared" si="2"/>
        <v/>
      </c>
    </row>
    <row r="158" spans="1:19" x14ac:dyDescent="0.2">
      <c r="A158" s="1">
        <v>41275</v>
      </c>
      <c r="B158" s="9">
        <v>321323</v>
      </c>
      <c r="C158" s="8">
        <v>1.5122727272727301</v>
      </c>
      <c r="D158">
        <v>1.6</v>
      </c>
      <c r="E158">
        <v>50.1</v>
      </c>
      <c r="F158">
        <v>5.0999999999999996</v>
      </c>
      <c r="G158" s="5">
        <v>1700</v>
      </c>
      <c r="H158">
        <v>48.1</v>
      </c>
      <c r="I158" s="4">
        <v>0.26054090261459351</v>
      </c>
      <c r="L158">
        <v>99.2</v>
      </c>
      <c r="M158">
        <v>81.8</v>
      </c>
      <c r="N158">
        <v>97.4</v>
      </c>
      <c r="O158">
        <v>343190</v>
      </c>
      <c r="P158" s="8">
        <v>110.2723</v>
      </c>
      <c r="Q158" s="1" t="e">
        <v>#N/A</v>
      </c>
      <c r="S158" t="str">
        <f t="shared" si="2"/>
        <v>2013-Q1</v>
      </c>
    </row>
    <row r="159" spans="1:19" x14ac:dyDescent="0.2">
      <c r="A159" s="1">
        <v>41306</v>
      </c>
      <c r="B159" s="9" t="e">
        <v>#N/A</v>
      </c>
      <c r="C159" s="8">
        <v>1.5435000000000001</v>
      </c>
      <c r="D159">
        <v>1.5</v>
      </c>
      <c r="E159" t="e">
        <v>#N/A</v>
      </c>
      <c r="F159">
        <v>5.0999999999999996</v>
      </c>
      <c r="G159" s="5">
        <v>1708</v>
      </c>
      <c r="H159" t="e">
        <v>#N/A</v>
      </c>
      <c r="I159" s="4">
        <v>0.32761001586914062</v>
      </c>
      <c r="L159">
        <v>100</v>
      </c>
      <c r="M159">
        <v>81.099999999999994</v>
      </c>
      <c r="N159" t="e">
        <v>#N/A</v>
      </c>
      <c r="O159" t="e">
        <v>#N/A</v>
      </c>
      <c r="P159" s="8">
        <v>111.57810000000001</v>
      </c>
      <c r="Q159" s="1" t="s">
        <v>28</v>
      </c>
      <c r="S159" t="str">
        <f t="shared" si="2"/>
        <v/>
      </c>
    </row>
    <row r="160" spans="1:19" x14ac:dyDescent="0.2">
      <c r="A160" s="1">
        <v>41334</v>
      </c>
      <c r="B160" s="9" t="e">
        <v>#N/A</v>
      </c>
      <c r="C160" s="8">
        <v>1.3545</v>
      </c>
      <c r="D160">
        <v>2</v>
      </c>
      <c r="E160" t="e">
        <v>#N/A</v>
      </c>
      <c r="F160">
        <v>5</v>
      </c>
      <c r="G160" s="5">
        <v>1704</v>
      </c>
      <c r="H160" t="e">
        <v>#N/A</v>
      </c>
      <c r="I160" s="4">
        <v>0.19502162933349609</v>
      </c>
      <c r="L160">
        <v>101.7</v>
      </c>
      <c r="M160">
        <v>81.5</v>
      </c>
      <c r="N160" t="e">
        <v>#N/A</v>
      </c>
      <c r="O160" t="e">
        <v>#N/A</v>
      </c>
      <c r="P160" s="8">
        <v>110.00369999999999</v>
      </c>
      <c r="Q160" s="1" t="e">
        <v>#N/A</v>
      </c>
      <c r="S160" t="str">
        <f t="shared" si="2"/>
        <v/>
      </c>
    </row>
    <row r="161" spans="1:19" x14ac:dyDescent="0.2">
      <c r="A161" s="1">
        <v>41365</v>
      </c>
      <c r="B161" s="9">
        <v>324355</v>
      </c>
      <c r="C161" s="8">
        <v>1.19619047619048</v>
      </c>
      <c r="D161">
        <v>1.2</v>
      </c>
      <c r="E161">
        <v>49.9</v>
      </c>
      <c r="F161">
        <v>5</v>
      </c>
      <c r="G161" s="5">
        <v>1691</v>
      </c>
      <c r="H161">
        <v>48.2</v>
      </c>
      <c r="I161" s="4">
        <v>0.23210541903972626</v>
      </c>
      <c r="L161">
        <v>101.6</v>
      </c>
      <c r="M161">
        <v>81</v>
      </c>
      <c r="N161">
        <v>98</v>
      </c>
      <c r="O161">
        <v>360058</v>
      </c>
      <c r="P161" s="8">
        <v>110.4285</v>
      </c>
      <c r="Q161" s="1" t="e">
        <v>#N/A</v>
      </c>
      <c r="S161" t="str">
        <f t="shared" si="2"/>
        <v>2013-Q2</v>
      </c>
    </row>
    <row r="162" spans="1:19" x14ac:dyDescent="0.2">
      <c r="A162" s="1">
        <v>41395</v>
      </c>
      <c r="B162" s="9" t="e">
        <v>#N/A</v>
      </c>
      <c r="C162" s="8">
        <v>1.2940909090909101</v>
      </c>
      <c r="D162">
        <v>1.6</v>
      </c>
      <c r="E162" t="e">
        <v>#N/A</v>
      </c>
      <c r="F162">
        <v>5</v>
      </c>
      <c r="G162" s="5">
        <v>1675</v>
      </c>
      <c r="H162" t="e">
        <v>#N/A</v>
      </c>
      <c r="I162" s="4">
        <v>0.19481925666332245</v>
      </c>
      <c r="L162">
        <v>100.8</v>
      </c>
      <c r="M162">
        <v>81.599999999999994</v>
      </c>
      <c r="N162" t="e">
        <v>#N/A</v>
      </c>
      <c r="O162" t="e">
        <v>#N/A</v>
      </c>
      <c r="P162" s="8">
        <v>109.8737</v>
      </c>
      <c r="Q162" s="1" t="s">
        <v>28</v>
      </c>
      <c r="S162" t="str">
        <f t="shared" si="2"/>
        <v/>
      </c>
    </row>
    <row r="163" spans="1:19" x14ac:dyDescent="0.2">
      <c r="A163" s="1">
        <v>41426</v>
      </c>
      <c r="B163" s="9" t="e">
        <v>#N/A</v>
      </c>
      <c r="C163" s="8">
        <v>1.5305</v>
      </c>
      <c r="D163">
        <v>1.7</v>
      </c>
      <c r="E163" t="e">
        <v>#N/A</v>
      </c>
      <c r="F163">
        <v>4.9000000000000004</v>
      </c>
      <c r="G163" s="5">
        <v>1659</v>
      </c>
      <c r="H163" t="e">
        <v>#N/A</v>
      </c>
      <c r="I163" s="4">
        <v>0.3234521746635437</v>
      </c>
      <c r="L163">
        <v>102.6</v>
      </c>
      <c r="M163">
        <v>80.900000000000006</v>
      </c>
      <c r="N163" t="e">
        <v>#N/A</v>
      </c>
      <c r="O163" t="e">
        <v>#N/A</v>
      </c>
      <c r="P163" s="8">
        <v>109.8146</v>
      </c>
      <c r="Q163" s="1" t="s">
        <v>28</v>
      </c>
      <c r="S163" t="str">
        <f t="shared" si="2"/>
        <v/>
      </c>
    </row>
    <row r="164" spans="1:19" x14ac:dyDescent="0.2">
      <c r="A164" s="1">
        <v>41456</v>
      </c>
      <c r="B164" s="9">
        <v>325525</v>
      </c>
      <c r="C164" s="8">
        <v>1.56565217391304</v>
      </c>
      <c r="D164">
        <v>1.8</v>
      </c>
      <c r="E164">
        <v>49</v>
      </c>
      <c r="F164">
        <v>4.9000000000000004</v>
      </c>
      <c r="G164" s="5">
        <v>1645</v>
      </c>
      <c r="H164">
        <v>47.5</v>
      </c>
      <c r="I164" s="4">
        <v>0.2002827525138855</v>
      </c>
      <c r="L164">
        <v>101</v>
      </c>
      <c r="M164">
        <v>81.5</v>
      </c>
      <c r="N164">
        <v>98.7</v>
      </c>
      <c r="O164">
        <v>363571</v>
      </c>
      <c r="P164" s="8">
        <v>111.008</v>
      </c>
      <c r="Q164" s="1" t="s">
        <v>28</v>
      </c>
      <c r="S164" t="str">
        <f t="shared" si="2"/>
        <v>2013-Q3</v>
      </c>
    </row>
    <row r="165" spans="1:19" x14ac:dyDescent="0.2">
      <c r="A165" s="1">
        <v>41487</v>
      </c>
      <c r="B165" s="9" t="e">
        <v>#N/A</v>
      </c>
      <c r="C165" s="8">
        <v>1.7350000000000001</v>
      </c>
      <c r="D165">
        <v>1.7</v>
      </c>
      <c r="E165" t="e">
        <v>#N/A</v>
      </c>
      <c r="F165">
        <v>4.9000000000000004</v>
      </c>
      <c r="G165" s="5">
        <v>1634</v>
      </c>
      <c r="H165" t="e">
        <v>#N/A</v>
      </c>
      <c r="I165" s="4">
        <v>0.28697147965431213</v>
      </c>
      <c r="L165">
        <v>103</v>
      </c>
      <c r="M165">
        <v>81.5</v>
      </c>
      <c r="N165" t="e">
        <v>#N/A</v>
      </c>
      <c r="O165" t="e">
        <v>#N/A</v>
      </c>
      <c r="P165" s="8">
        <v>110.7525</v>
      </c>
      <c r="Q165" s="1" t="e">
        <v>#N/A</v>
      </c>
      <c r="S165" t="str">
        <f t="shared" si="2"/>
        <v/>
      </c>
    </row>
    <row r="166" spans="1:19" x14ac:dyDescent="0.2">
      <c r="A166" s="1">
        <v>41518</v>
      </c>
      <c r="B166" s="9" t="e">
        <v>#N/A</v>
      </c>
      <c r="C166" s="8">
        <v>1.88809523809524</v>
      </c>
      <c r="D166">
        <v>1.8</v>
      </c>
      <c r="E166" t="e">
        <v>#N/A</v>
      </c>
      <c r="F166">
        <v>4.9000000000000004</v>
      </c>
      <c r="G166" s="5">
        <v>1625</v>
      </c>
      <c r="H166" t="e">
        <v>#N/A</v>
      </c>
      <c r="I166" s="4">
        <v>0.338643878698349</v>
      </c>
      <c r="L166">
        <v>102.7</v>
      </c>
      <c r="M166">
        <v>82</v>
      </c>
      <c r="N166" t="e">
        <v>#N/A</v>
      </c>
      <c r="O166" t="e">
        <v>#N/A</v>
      </c>
      <c r="P166" s="8">
        <v>111.2007</v>
      </c>
      <c r="Q166" s="1" t="s">
        <v>28</v>
      </c>
      <c r="S166" t="str">
        <f t="shared" si="2"/>
        <v/>
      </c>
    </row>
    <row r="167" spans="1:19" x14ac:dyDescent="0.2">
      <c r="A167" s="1">
        <v>41548</v>
      </c>
      <c r="B167" s="9">
        <v>323397</v>
      </c>
      <c r="C167" s="8">
        <v>1.7621739130434799</v>
      </c>
      <c r="D167">
        <v>1.5</v>
      </c>
      <c r="E167">
        <v>49</v>
      </c>
      <c r="F167">
        <v>4.8</v>
      </c>
      <c r="G167" s="5">
        <v>1619</v>
      </c>
      <c r="H167">
        <v>49</v>
      </c>
      <c r="I167" s="4">
        <v>0.31827551126480103</v>
      </c>
      <c r="L167">
        <v>102</v>
      </c>
      <c r="M167">
        <v>81.3</v>
      </c>
      <c r="N167">
        <v>98.8</v>
      </c>
      <c r="O167">
        <v>404624</v>
      </c>
      <c r="P167" s="8">
        <v>109.67959999999999</v>
      </c>
      <c r="Q167" s="1" t="s">
        <v>28</v>
      </c>
      <c r="S167" t="str">
        <f t="shared" si="2"/>
        <v>2013-Q4</v>
      </c>
    </row>
    <row r="168" spans="1:19" x14ac:dyDescent="0.2">
      <c r="A168" s="1">
        <v>41579</v>
      </c>
      <c r="B168" s="9" t="e">
        <v>#N/A</v>
      </c>
      <c r="C168" s="8">
        <v>1.6771428571428599</v>
      </c>
      <c r="D168">
        <v>1.8</v>
      </c>
      <c r="E168" t="e">
        <v>#N/A</v>
      </c>
      <c r="F168">
        <v>4.8</v>
      </c>
      <c r="G168" s="5">
        <v>1620</v>
      </c>
      <c r="H168" t="e">
        <v>#N/A</v>
      </c>
      <c r="I168" s="4">
        <v>0.48475667834281921</v>
      </c>
      <c r="L168">
        <v>103.7</v>
      </c>
      <c r="M168">
        <v>82.5</v>
      </c>
      <c r="N168" t="e">
        <v>#N/A</v>
      </c>
      <c r="O168" t="e">
        <v>#N/A</v>
      </c>
      <c r="P168" s="8">
        <v>108.6388</v>
      </c>
      <c r="Q168" s="1" t="s">
        <v>28</v>
      </c>
      <c r="S168" t="str">
        <f t="shared" si="2"/>
        <v/>
      </c>
    </row>
    <row r="169" spans="1:19" x14ac:dyDescent="0.2">
      <c r="A169" s="1">
        <v>41609</v>
      </c>
      <c r="B169" s="9" t="e">
        <v>#N/A</v>
      </c>
      <c r="C169" s="8">
        <v>1.7977777777777799</v>
      </c>
      <c r="D169">
        <v>1.2</v>
      </c>
      <c r="E169" t="e">
        <v>#N/A</v>
      </c>
      <c r="F169">
        <v>4.8</v>
      </c>
      <c r="G169" s="5">
        <v>1623</v>
      </c>
      <c r="H169" t="e">
        <v>#N/A</v>
      </c>
      <c r="I169" s="4">
        <v>0.24146544933319092</v>
      </c>
      <c r="L169">
        <v>103.9</v>
      </c>
      <c r="M169">
        <v>81.7</v>
      </c>
      <c r="N169" t="e">
        <v>#N/A</v>
      </c>
      <c r="O169" t="e">
        <v>#N/A</v>
      </c>
      <c r="P169" s="8">
        <v>109.1095</v>
      </c>
      <c r="Q169" s="1" t="e">
        <v>#N/A</v>
      </c>
      <c r="S169" t="str">
        <f t="shared" si="2"/>
        <v/>
      </c>
    </row>
    <row r="170" spans="1:19" x14ac:dyDescent="0.2">
      <c r="A170" s="1">
        <v>41640</v>
      </c>
      <c r="B170" s="9">
        <v>327871</v>
      </c>
      <c r="C170" s="8">
        <v>1.75590909090909</v>
      </c>
      <c r="D170">
        <v>1.6</v>
      </c>
      <c r="E170">
        <v>48.3</v>
      </c>
      <c r="F170">
        <v>4.8</v>
      </c>
      <c r="G170" s="5">
        <v>1624</v>
      </c>
      <c r="H170">
        <v>49.8</v>
      </c>
      <c r="I170" s="4">
        <v>0.2985074520111084</v>
      </c>
      <c r="L170">
        <v>103.2</v>
      </c>
      <c r="M170">
        <v>82.1</v>
      </c>
      <c r="N170">
        <v>99.4</v>
      </c>
      <c r="O170">
        <v>357955</v>
      </c>
      <c r="P170" s="8">
        <v>108.28959999999999</v>
      </c>
      <c r="Q170" s="1" t="s">
        <v>28</v>
      </c>
      <c r="S170" t="str">
        <f t="shared" si="2"/>
        <v>2014-Q1</v>
      </c>
    </row>
    <row r="171" spans="1:19" x14ac:dyDescent="0.2">
      <c r="A171" s="1">
        <v>41671</v>
      </c>
      <c r="B171" s="9" t="e">
        <v>#N/A</v>
      </c>
      <c r="C171" s="8">
        <v>1.5585</v>
      </c>
      <c r="D171">
        <v>1.4</v>
      </c>
      <c r="E171" t="e">
        <v>#N/A</v>
      </c>
      <c r="F171">
        <v>4.8</v>
      </c>
      <c r="G171" s="5">
        <v>1618</v>
      </c>
      <c r="H171" t="e">
        <v>#N/A</v>
      </c>
      <c r="I171" s="4">
        <v>0.44794690608978271</v>
      </c>
      <c r="L171">
        <v>103.2</v>
      </c>
      <c r="M171">
        <v>82.4</v>
      </c>
      <c r="N171" t="e">
        <v>#N/A</v>
      </c>
      <c r="O171" t="e">
        <v>#N/A</v>
      </c>
      <c r="P171" s="8">
        <v>108.5836</v>
      </c>
      <c r="Q171" s="1" t="s">
        <v>31</v>
      </c>
      <c r="S171" t="str">
        <f t="shared" si="2"/>
        <v/>
      </c>
    </row>
    <row r="172" spans="1:19" x14ac:dyDescent="0.2">
      <c r="A172" s="1">
        <v>41699</v>
      </c>
      <c r="B172" s="9" t="e">
        <v>#N/A</v>
      </c>
      <c r="C172" s="8">
        <v>1.50857142857143</v>
      </c>
      <c r="D172">
        <v>1.1000000000000001</v>
      </c>
      <c r="E172" t="e">
        <v>#N/A</v>
      </c>
      <c r="F172">
        <v>4.8</v>
      </c>
      <c r="G172" s="5">
        <v>1607</v>
      </c>
      <c r="H172" t="e">
        <v>#N/A</v>
      </c>
      <c r="I172" s="4">
        <v>0.98604649305343628</v>
      </c>
      <c r="L172">
        <v>103.5</v>
      </c>
      <c r="M172">
        <v>82.9</v>
      </c>
      <c r="N172" t="e">
        <v>#N/A</v>
      </c>
      <c r="O172" t="e">
        <v>#N/A</v>
      </c>
      <c r="P172" s="8">
        <v>108.1872</v>
      </c>
      <c r="Q172" s="1" t="s">
        <v>28</v>
      </c>
      <c r="S172" t="str">
        <f t="shared" si="2"/>
        <v/>
      </c>
    </row>
    <row r="173" spans="1:19" x14ac:dyDescent="0.2">
      <c r="A173" s="1">
        <v>41730</v>
      </c>
      <c r="B173" s="9">
        <v>330116</v>
      </c>
      <c r="C173" s="8">
        <v>1.4564999999999999</v>
      </c>
      <c r="D173">
        <v>1.4</v>
      </c>
      <c r="E173">
        <v>48.2</v>
      </c>
      <c r="F173">
        <v>4.8</v>
      </c>
      <c r="G173" s="5">
        <v>1596</v>
      </c>
      <c r="H173">
        <v>48.7</v>
      </c>
      <c r="I173" s="4">
        <v>0.51267892122268677</v>
      </c>
      <c r="L173">
        <v>103.1</v>
      </c>
      <c r="M173">
        <v>82.5</v>
      </c>
      <c r="N173">
        <v>99.3</v>
      </c>
      <c r="O173">
        <v>374965</v>
      </c>
      <c r="P173" s="8">
        <v>108.9447</v>
      </c>
      <c r="Q173" s="1" t="s">
        <v>28</v>
      </c>
      <c r="S173" t="str">
        <f t="shared" si="2"/>
        <v>2014-Q2</v>
      </c>
    </row>
    <row r="174" spans="1:19" x14ac:dyDescent="0.2">
      <c r="A174" s="1">
        <v>41760</v>
      </c>
      <c r="B174" s="9" t="e">
        <v>#N/A</v>
      </c>
      <c r="C174" s="8">
        <v>1.3271428571428601</v>
      </c>
      <c r="D174">
        <v>0.8</v>
      </c>
      <c r="E174" t="e">
        <v>#N/A</v>
      </c>
      <c r="F174">
        <v>4.7</v>
      </c>
      <c r="G174" s="5">
        <v>1585</v>
      </c>
      <c r="H174" t="e">
        <v>#N/A</v>
      </c>
      <c r="I174" s="4">
        <v>0.50799626111984253</v>
      </c>
      <c r="L174">
        <v>102.6</v>
      </c>
      <c r="M174">
        <v>81.599999999999994</v>
      </c>
      <c r="N174" t="e">
        <v>#N/A</v>
      </c>
      <c r="O174" t="e">
        <v>#N/A</v>
      </c>
      <c r="P174" s="8">
        <v>108.9581</v>
      </c>
      <c r="Q174" s="1" t="s">
        <v>28</v>
      </c>
      <c r="S174" t="str">
        <f t="shared" si="2"/>
        <v/>
      </c>
    </row>
    <row r="175" spans="1:19" x14ac:dyDescent="0.2">
      <c r="A175" s="1">
        <v>41791</v>
      </c>
      <c r="B175" s="9" t="e">
        <v>#N/A</v>
      </c>
      <c r="C175" s="8">
        <v>1.26428571428571</v>
      </c>
      <c r="D175">
        <v>1</v>
      </c>
      <c r="E175" t="e">
        <v>#N/A</v>
      </c>
      <c r="F175">
        <v>4.7</v>
      </c>
      <c r="G175" s="5">
        <v>1581</v>
      </c>
      <c r="H175" t="e">
        <v>#N/A</v>
      </c>
      <c r="I175" s="4">
        <v>0.41640228033065796</v>
      </c>
      <c r="L175">
        <v>102.7</v>
      </c>
      <c r="M175">
        <v>82.8</v>
      </c>
      <c r="N175" t="e">
        <v>#N/A</v>
      </c>
      <c r="O175" t="e">
        <v>#N/A</v>
      </c>
      <c r="P175" s="8">
        <v>109.4795</v>
      </c>
      <c r="Q175" s="1" t="s">
        <v>28</v>
      </c>
      <c r="S175" t="str">
        <f t="shared" si="2"/>
        <v/>
      </c>
    </row>
    <row r="176" spans="1:19" x14ac:dyDescent="0.2">
      <c r="A176" s="1">
        <v>41821</v>
      </c>
      <c r="B176" s="9">
        <v>333489</v>
      </c>
      <c r="C176" s="8">
        <v>1.1143478260869599</v>
      </c>
      <c r="D176">
        <v>1.1000000000000001</v>
      </c>
      <c r="E176">
        <v>47.6</v>
      </c>
      <c r="F176">
        <v>4.7</v>
      </c>
      <c r="G176" s="5">
        <v>1586</v>
      </c>
      <c r="H176">
        <v>45.6</v>
      </c>
      <c r="I176" s="4">
        <v>0.87471562623977661</v>
      </c>
      <c r="L176">
        <v>104.4</v>
      </c>
      <c r="M176">
        <v>81.8</v>
      </c>
      <c r="N176">
        <v>99.2</v>
      </c>
      <c r="O176">
        <v>378024</v>
      </c>
      <c r="P176" s="8">
        <v>109.2924</v>
      </c>
      <c r="Q176" s="1" t="s">
        <v>28</v>
      </c>
      <c r="S176" t="str">
        <f t="shared" si="2"/>
        <v>2014-Q3</v>
      </c>
    </row>
    <row r="177" spans="1:19" x14ac:dyDescent="0.2">
      <c r="A177" s="1">
        <v>41852</v>
      </c>
      <c r="B177" s="9" t="e">
        <v>#N/A</v>
      </c>
      <c r="C177" s="8">
        <v>0.95619047619047604</v>
      </c>
      <c r="D177">
        <v>1.1000000000000001</v>
      </c>
      <c r="E177" t="e">
        <v>#N/A</v>
      </c>
      <c r="F177">
        <v>4.7</v>
      </c>
      <c r="G177" s="5">
        <v>1594</v>
      </c>
      <c r="H177" t="e">
        <v>#N/A</v>
      </c>
      <c r="I177" s="4">
        <v>0.80691879987716675</v>
      </c>
      <c r="L177">
        <v>100.7</v>
      </c>
      <c r="M177">
        <v>82.9</v>
      </c>
      <c r="N177" t="e">
        <v>#N/A</v>
      </c>
      <c r="O177" t="e">
        <v>#N/A</v>
      </c>
      <c r="P177" s="8">
        <v>108.6729</v>
      </c>
      <c r="Q177" s="1" t="s">
        <v>28</v>
      </c>
      <c r="S177" t="str">
        <f t="shared" si="2"/>
        <v/>
      </c>
    </row>
    <row r="178" spans="1:19" x14ac:dyDescent="0.2">
      <c r="A178" s="1">
        <v>41883</v>
      </c>
      <c r="B178" s="9" t="e">
        <v>#N/A</v>
      </c>
      <c r="C178" s="8">
        <v>0.92136363636363605</v>
      </c>
      <c r="D178">
        <v>1.2</v>
      </c>
      <c r="E178" t="e">
        <v>#N/A</v>
      </c>
      <c r="F178">
        <v>4.7</v>
      </c>
      <c r="G178" s="5">
        <v>1599</v>
      </c>
      <c r="H178" t="e">
        <v>#N/A</v>
      </c>
      <c r="I178" s="4">
        <v>0.60613358020782471</v>
      </c>
      <c r="L178">
        <v>103.2</v>
      </c>
      <c r="M178">
        <v>82</v>
      </c>
      <c r="N178" t="e">
        <v>#N/A</v>
      </c>
      <c r="O178" t="e">
        <v>#N/A</v>
      </c>
      <c r="P178" s="8">
        <v>108.8155</v>
      </c>
      <c r="Q178" s="1" t="s">
        <v>28</v>
      </c>
      <c r="S178" t="str">
        <f t="shared" si="2"/>
        <v/>
      </c>
    </row>
    <row r="179" spans="1:19" x14ac:dyDescent="0.2">
      <c r="A179" s="1">
        <v>41913</v>
      </c>
      <c r="B179" s="9">
        <v>336856</v>
      </c>
      <c r="C179" s="8">
        <v>0.79090909090909101</v>
      </c>
      <c r="D179">
        <v>1.1000000000000001</v>
      </c>
      <c r="E179">
        <v>47.3</v>
      </c>
      <c r="F179">
        <v>4.7</v>
      </c>
      <c r="G179" s="5">
        <v>1594</v>
      </c>
      <c r="H179">
        <v>46.6</v>
      </c>
      <c r="I179" s="4">
        <v>0.37639722228050232</v>
      </c>
      <c r="L179">
        <v>103.5</v>
      </c>
      <c r="M179">
        <v>83.1</v>
      </c>
      <c r="N179">
        <v>99.5</v>
      </c>
      <c r="O179">
        <v>420926</v>
      </c>
      <c r="P179" s="8">
        <v>107.22969999999999</v>
      </c>
      <c r="Q179" s="1" t="s">
        <v>28</v>
      </c>
      <c r="S179" t="str">
        <f t="shared" si="2"/>
        <v>2014-Q4</v>
      </c>
    </row>
    <row r="180" spans="1:19" x14ac:dyDescent="0.2">
      <c r="A180" s="1">
        <v>41944</v>
      </c>
      <c r="B180" s="9" t="e">
        <v>#N/A</v>
      </c>
      <c r="C180" s="8">
        <v>0.71899999999999997</v>
      </c>
      <c r="D180">
        <v>1</v>
      </c>
      <c r="E180" t="e">
        <v>#N/A</v>
      </c>
      <c r="F180">
        <v>4.5999999999999996</v>
      </c>
      <c r="G180" s="5">
        <v>1580</v>
      </c>
      <c r="H180" t="e">
        <v>#N/A</v>
      </c>
      <c r="I180" s="4">
        <v>0.40236592292785645</v>
      </c>
      <c r="L180">
        <v>103.4</v>
      </c>
      <c r="M180">
        <v>82.8</v>
      </c>
      <c r="N180" t="e">
        <v>#N/A</v>
      </c>
      <c r="O180" t="e">
        <v>#N/A</v>
      </c>
      <c r="P180" s="8">
        <v>105.92870000000001</v>
      </c>
      <c r="Q180" s="1" t="e">
        <v>#N/A</v>
      </c>
      <c r="S180" t="str">
        <f t="shared" si="2"/>
        <v/>
      </c>
    </row>
    <row r="181" spans="1:19" x14ac:dyDescent="0.2">
      <c r="A181" s="1">
        <v>41974</v>
      </c>
      <c r="B181" s="9" t="e">
        <v>#N/A</v>
      </c>
      <c r="C181" s="8">
        <v>0.588947368421053</v>
      </c>
      <c r="D181">
        <v>0.9</v>
      </c>
      <c r="E181" t="e">
        <v>#N/A</v>
      </c>
      <c r="F181">
        <v>4.5999999999999996</v>
      </c>
      <c r="G181" s="5">
        <v>1559</v>
      </c>
      <c r="H181" t="e">
        <v>#N/A</v>
      </c>
      <c r="I181" s="4">
        <v>0.26126715540885925</v>
      </c>
      <c r="L181">
        <v>105.2</v>
      </c>
      <c r="M181">
        <v>83.6</v>
      </c>
      <c r="N181" t="e">
        <v>#N/A</v>
      </c>
      <c r="O181" t="e">
        <v>#N/A</v>
      </c>
      <c r="P181" s="8">
        <v>101.74120000000001</v>
      </c>
      <c r="Q181" s="1" t="e">
        <v>#N/A</v>
      </c>
      <c r="S181" t="str">
        <f t="shared" si="2"/>
        <v/>
      </c>
    </row>
    <row r="182" spans="1:19" x14ac:dyDescent="0.2">
      <c r="A182" s="1">
        <v>42005</v>
      </c>
      <c r="B182" s="9">
        <v>339982</v>
      </c>
      <c r="C182" s="8">
        <v>0.39</v>
      </c>
      <c r="D182">
        <v>0.7</v>
      </c>
      <c r="E182">
        <v>46.9</v>
      </c>
      <c r="F182">
        <v>4.5</v>
      </c>
      <c r="G182" s="5">
        <v>1539</v>
      </c>
      <c r="H182">
        <v>48.3</v>
      </c>
      <c r="I182" s="4">
        <v>0.56539767980575562</v>
      </c>
      <c r="L182">
        <v>102.7</v>
      </c>
      <c r="M182">
        <v>84.4</v>
      </c>
      <c r="N182">
        <v>99.7</v>
      </c>
      <c r="O182">
        <v>370524</v>
      </c>
      <c r="P182" s="8">
        <v>98.427289999999999</v>
      </c>
      <c r="Q182" s="1" t="e">
        <v>#N/A</v>
      </c>
      <c r="S182" t="str">
        <f t="shared" si="2"/>
        <v>2015-Q1</v>
      </c>
    </row>
    <row r="183" spans="1:19" x14ac:dyDescent="0.2">
      <c r="A183" s="1">
        <v>42036</v>
      </c>
      <c r="B183" s="9" t="e">
        <v>#N/A</v>
      </c>
      <c r="C183" s="8">
        <v>0.30199999999999999</v>
      </c>
      <c r="D183">
        <v>0.9</v>
      </c>
      <c r="E183" t="e">
        <v>#N/A</v>
      </c>
      <c r="F183">
        <v>4.5</v>
      </c>
      <c r="G183" s="5">
        <v>1527</v>
      </c>
      <c r="H183" t="e">
        <v>#N/A</v>
      </c>
      <c r="I183" s="4">
        <v>0.86206895112991333</v>
      </c>
      <c r="L183">
        <v>103.7</v>
      </c>
      <c r="M183">
        <v>84.4</v>
      </c>
      <c r="N183" t="e">
        <v>#N/A</v>
      </c>
      <c r="O183" t="e">
        <v>#N/A</v>
      </c>
      <c r="P183" s="8">
        <v>100.2559</v>
      </c>
      <c r="Q183" s="1" t="e">
        <v>#N/A</v>
      </c>
      <c r="S183" t="str">
        <f t="shared" si="2"/>
        <v/>
      </c>
    </row>
    <row r="184" spans="1:19" x14ac:dyDescent="0.2">
      <c r="A184" s="1">
        <v>42064</v>
      </c>
      <c r="B184" s="9" t="e">
        <v>#N/A</v>
      </c>
      <c r="C184" s="8">
        <v>0.22727272727272699</v>
      </c>
      <c r="D184">
        <v>1</v>
      </c>
      <c r="E184" t="e">
        <v>#N/A</v>
      </c>
      <c r="F184">
        <v>4.5</v>
      </c>
      <c r="G184" s="5">
        <v>1521</v>
      </c>
      <c r="H184" t="e">
        <v>#N/A</v>
      </c>
      <c r="I184" s="4">
        <v>0.62610703706741333</v>
      </c>
      <c r="L184">
        <v>103.7</v>
      </c>
      <c r="M184">
        <v>84.1</v>
      </c>
      <c r="N184" t="e">
        <v>#N/A</v>
      </c>
      <c r="O184" t="e">
        <v>#N/A</v>
      </c>
      <c r="P184" s="8">
        <v>101.6713</v>
      </c>
      <c r="Q184" s="1" t="e">
        <v>#N/A</v>
      </c>
      <c r="S184" t="str">
        <f t="shared" si="2"/>
        <v/>
      </c>
    </row>
    <row r="185" spans="1:19" x14ac:dyDescent="0.2">
      <c r="A185" s="1">
        <v>42095</v>
      </c>
      <c r="B185" s="9">
        <v>342963</v>
      </c>
      <c r="C185" s="8">
        <v>0.122</v>
      </c>
      <c r="D185">
        <v>2</v>
      </c>
      <c r="E185">
        <v>46</v>
      </c>
      <c r="F185">
        <v>4.4000000000000004</v>
      </c>
      <c r="G185" s="5">
        <v>1516</v>
      </c>
      <c r="H185">
        <v>48.4</v>
      </c>
      <c r="I185" s="4">
        <v>0.4591251015663147</v>
      </c>
      <c r="L185">
        <v>104.6</v>
      </c>
      <c r="M185">
        <v>85.1</v>
      </c>
      <c r="N185">
        <v>100.2</v>
      </c>
      <c r="O185">
        <v>390667</v>
      </c>
      <c r="P185" s="8">
        <v>102.16889999999999</v>
      </c>
      <c r="Q185" s="1" t="e">
        <v>#N/A</v>
      </c>
      <c r="S185" t="str">
        <f t="shared" si="2"/>
        <v>2015-Q2</v>
      </c>
    </row>
    <row r="186" spans="1:19" x14ac:dyDescent="0.2">
      <c r="A186" s="1">
        <v>42125</v>
      </c>
      <c r="B186" s="9" t="e">
        <v>#N/A</v>
      </c>
      <c r="C186" s="8">
        <v>0.55578947368420994</v>
      </c>
      <c r="D186">
        <v>2.5</v>
      </c>
      <c r="E186" t="e">
        <v>#N/A</v>
      </c>
      <c r="F186">
        <v>4.4000000000000004</v>
      </c>
      <c r="G186" s="5">
        <v>1507</v>
      </c>
      <c r="H186" t="e">
        <v>#N/A</v>
      </c>
      <c r="I186" s="4">
        <v>0.25225532054901123</v>
      </c>
      <c r="L186">
        <v>104.7</v>
      </c>
      <c r="M186">
        <v>85.7</v>
      </c>
      <c r="N186" t="e">
        <v>#N/A</v>
      </c>
      <c r="O186" t="e">
        <v>#N/A</v>
      </c>
      <c r="P186" s="8">
        <v>103.1284</v>
      </c>
      <c r="Q186" s="1" t="e">
        <v>#N/A</v>
      </c>
      <c r="S186" t="str">
        <f t="shared" si="2"/>
        <v/>
      </c>
    </row>
    <row r="187" spans="1:19" x14ac:dyDescent="0.2">
      <c r="A187" s="1">
        <v>42156</v>
      </c>
      <c r="B187" s="9" t="e">
        <v>#N/A</v>
      </c>
      <c r="C187" s="8">
        <v>0.79272727272727295</v>
      </c>
      <c r="D187">
        <v>2.1</v>
      </c>
      <c r="E187" t="e">
        <v>#N/A</v>
      </c>
      <c r="F187">
        <v>4.4000000000000004</v>
      </c>
      <c r="G187" s="5">
        <v>1494</v>
      </c>
      <c r="H187" t="e">
        <v>#N/A</v>
      </c>
      <c r="I187" s="4">
        <v>0.45037242770195007</v>
      </c>
      <c r="L187">
        <v>104.7</v>
      </c>
      <c r="M187">
        <v>85.4</v>
      </c>
      <c r="N187" t="e">
        <v>#N/A</v>
      </c>
      <c r="O187" t="e">
        <v>#N/A</v>
      </c>
      <c r="P187" s="8">
        <v>102.6974</v>
      </c>
      <c r="Q187" s="1" t="e">
        <v>#N/A</v>
      </c>
      <c r="S187" t="str">
        <f t="shared" si="2"/>
        <v/>
      </c>
    </row>
    <row r="188" spans="1:19" x14ac:dyDescent="0.2">
      <c r="A188" s="1">
        <v>42186</v>
      </c>
      <c r="B188" s="9">
        <v>341013</v>
      </c>
      <c r="C188" s="8">
        <v>0.71</v>
      </c>
      <c r="D188">
        <v>2.2000000000000002</v>
      </c>
      <c r="E188">
        <v>45.4</v>
      </c>
      <c r="F188">
        <v>4.3</v>
      </c>
      <c r="G188" s="5">
        <v>1478</v>
      </c>
      <c r="H188">
        <v>45.8</v>
      </c>
      <c r="I188" s="4">
        <v>0.6060868501663208</v>
      </c>
      <c r="L188">
        <v>106.1</v>
      </c>
      <c r="M188">
        <v>86.5</v>
      </c>
      <c r="N188">
        <v>100</v>
      </c>
      <c r="O188">
        <v>393749</v>
      </c>
      <c r="P188" s="8">
        <v>102.2462</v>
      </c>
      <c r="Q188" s="1" t="e">
        <v>#N/A</v>
      </c>
      <c r="S188" t="str">
        <f t="shared" si="2"/>
        <v>2015-Q3</v>
      </c>
    </row>
    <row r="189" spans="1:19" x14ac:dyDescent="0.2">
      <c r="A189" s="1">
        <v>42217</v>
      </c>
      <c r="B189" s="9" t="e">
        <v>#N/A</v>
      </c>
      <c r="C189" s="8">
        <v>0.60857142857142899</v>
      </c>
      <c r="D189">
        <v>2.2999999999999998</v>
      </c>
      <c r="E189" t="e">
        <v>#N/A</v>
      </c>
      <c r="F189">
        <v>4.3</v>
      </c>
      <c r="G189" s="5">
        <v>1466</v>
      </c>
      <c r="H189" t="e">
        <v>#N/A</v>
      </c>
      <c r="I189" s="4">
        <v>0.29686173796653748</v>
      </c>
      <c r="L189">
        <v>103.5</v>
      </c>
      <c r="M189">
        <v>86.1</v>
      </c>
      <c r="N189" t="e">
        <v>#N/A</v>
      </c>
      <c r="O189" t="e">
        <v>#N/A</v>
      </c>
      <c r="P189" s="8">
        <v>100.2033</v>
      </c>
      <c r="Q189" s="1" t="e">
        <v>#N/A</v>
      </c>
      <c r="S189" t="str">
        <f t="shared" si="2"/>
        <v/>
      </c>
    </row>
    <row r="190" spans="1:19" x14ac:dyDescent="0.2">
      <c r="A190" s="1">
        <v>42248</v>
      </c>
      <c r="B190" s="9" t="e">
        <v>#N/A</v>
      </c>
      <c r="C190" s="8">
        <v>0.65409090909090895</v>
      </c>
      <c r="D190">
        <v>2.2000000000000002</v>
      </c>
      <c r="E190" t="e">
        <v>#N/A</v>
      </c>
      <c r="F190">
        <v>4.3</v>
      </c>
      <c r="G190" s="5">
        <v>1457</v>
      </c>
      <c r="H190" t="e">
        <v>#N/A</v>
      </c>
      <c r="I190" s="4">
        <v>0.52636158466339111</v>
      </c>
      <c r="L190">
        <v>103.7</v>
      </c>
      <c r="M190">
        <v>86.4</v>
      </c>
      <c r="N190" t="e">
        <v>#N/A</v>
      </c>
      <c r="O190" t="e">
        <v>#N/A</v>
      </c>
      <c r="P190" s="8">
        <v>98.487849999999995</v>
      </c>
      <c r="Q190" s="1" t="e">
        <v>#N/A</v>
      </c>
      <c r="S190" t="str">
        <f t="shared" si="2"/>
        <v/>
      </c>
    </row>
    <row r="191" spans="1:19" x14ac:dyDescent="0.2">
      <c r="A191" s="1">
        <v>42278</v>
      </c>
      <c r="B191" s="9">
        <v>349334</v>
      </c>
      <c r="C191" s="8">
        <v>0.51818181818181797</v>
      </c>
      <c r="D191">
        <v>2.5</v>
      </c>
      <c r="E191">
        <v>44.9</v>
      </c>
      <c r="F191">
        <v>4.2</v>
      </c>
      <c r="G191" s="5">
        <v>1452</v>
      </c>
      <c r="H191">
        <v>46.2</v>
      </c>
      <c r="I191" s="4">
        <v>0.34872877597808838</v>
      </c>
      <c r="L191">
        <v>104.6</v>
      </c>
      <c r="M191">
        <v>86.2</v>
      </c>
      <c r="N191">
        <v>100.1</v>
      </c>
      <c r="O191">
        <v>439064</v>
      </c>
      <c r="P191" s="8">
        <v>97.608080000000001</v>
      </c>
      <c r="Q191" s="1" t="e">
        <v>#N/A</v>
      </c>
      <c r="S191" t="str">
        <f t="shared" si="2"/>
        <v>2015-Q4</v>
      </c>
    </row>
    <row r="192" spans="1:19" x14ac:dyDescent="0.2">
      <c r="A192" s="1">
        <v>42309</v>
      </c>
      <c r="B192" s="9" t="e">
        <v>#N/A</v>
      </c>
      <c r="C192" s="8">
        <v>0.51619047619047598</v>
      </c>
      <c r="D192">
        <v>1.2</v>
      </c>
      <c r="E192" t="e">
        <v>#N/A</v>
      </c>
      <c r="F192">
        <v>4.2</v>
      </c>
      <c r="G192" s="5">
        <v>1447</v>
      </c>
      <c r="H192" t="e">
        <v>#N/A</v>
      </c>
      <c r="I192" s="4">
        <v>0.72146117687225342</v>
      </c>
      <c r="L192">
        <v>103.3</v>
      </c>
      <c r="M192">
        <v>86.3</v>
      </c>
      <c r="N192" t="e">
        <v>#N/A</v>
      </c>
      <c r="O192" t="e">
        <v>#N/A</v>
      </c>
      <c r="P192" s="8">
        <v>97.818770000000001</v>
      </c>
      <c r="Q192" s="1" t="e">
        <v>#N/A</v>
      </c>
      <c r="S192" t="str">
        <f t="shared" si="2"/>
        <v/>
      </c>
    </row>
    <row r="193" spans="1:19" x14ac:dyDescent="0.2">
      <c r="A193" s="1">
        <v>42339</v>
      </c>
      <c r="B193" s="9" t="e">
        <v>#N/A</v>
      </c>
      <c r="C193" s="8">
        <v>0.54549999999999998</v>
      </c>
      <c r="D193">
        <v>1.1000000000000001</v>
      </c>
      <c r="E193" t="e">
        <v>#N/A</v>
      </c>
      <c r="F193">
        <v>4.2</v>
      </c>
      <c r="G193" s="5">
        <v>1437</v>
      </c>
      <c r="H193" t="e">
        <v>#N/A</v>
      </c>
      <c r="I193" s="4">
        <v>0.53610074520111084</v>
      </c>
      <c r="L193">
        <v>103.8</v>
      </c>
      <c r="M193">
        <v>87.9</v>
      </c>
      <c r="N193" t="e">
        <v>#N/A</v>
      </c>
      <c r="O193" t="e">
        <v>#N/A</v>
      </c>
      <c r="P193" s="8">
        <v>95.286569999999998</v>
      </c>
      <c r="Q193" s="1" t="e">
        <v>#N/A</v>
      </c>
      <c r="S193" t="str">
        <f t="shared" si="2"/>
        <v/>
      </c>
    </row>
    <row r="194" spans="1:19" x14ac:dyDescent="0.2">
      <c r="A194" s="1">
        <v>42370</v>
      </c>
      <c r="B194" s="9">
        <v>353250</v>
      </c>
      <c r="C194" s="8">
        <v>0.43049999999999999</v>
      </c>
      <c r="D194">
        <v>1.1000000000000001</v>
      </c>
      <c r="E194">
        <v>44.8</v>
      </c>
      <c r="F194">
        <v>4.0999999999999996</v>
      </c>
      <c r="G194" s="5">
        <v>1421</v>
      </c>
      <c r="H194">
        <v>43.7</v>
      </c>
      <c r="I194" s="4">
        <v>0.47738227248191833</v>
      </c>
      <c r="L194">
        <v>105.5</v>
      </c>
      <c r="M194">
        <v>87.2</v>
      </c>
      <c r="N194">
        <v>100.5</v>
      </c>
      <c r="O194">
        <v>387016</v>
      </c>
      <c r="P194" s="8">
        <v>93.082849999999993</v>
      </c>
      <c r="Q194" s="1" t="s">
        <v>28</v>
      </c>
      <c r="S194" t="str">
        <f t="shared" si="2"/>
        <v>2016-Q1</v>
      </c>
    </row>
    <row r="195" spans="1:19" x14ac:dyDescent="0.2">
      <c r="A195" s="1">
        <v>42401</v>
      </c>
      <c r="B195" s="9" t="e">
        <v>#N/A</v>
      </c>
      <c r="C195" s="8">
        <v>0.17285714285714299</v>
      </c>
      <c r="D195">
        <v>0.9</v>
      </c>
      <c r="E195" t="e">
        <v>#N/A</v>
      </c>
      <c r="F195">
        <v>4.0999999999999996</v>
      </c>
      <c r="G195" s="5">
        <v>1402</v>
      </c>
      <c r="H195" t="e">
        <v>#N/A</v>
      </c>
      <c r="I195" s="4">
        <v>0.6605343222618103</v>
      </c>
      <c r="L195">
        <v>105.3</v>
      </c>
      <c r="M195">
        <v>86.9</v>
      </c>
      <c r="N195" t="e">
        <v>#N/A</v>
      </c>
      <c r="O195" t="e">
        <v>#N/A</v>
      </c>
      <c r="P195" s="8">
        <v>92.2239</v>
      </c>
      <c r="Q195" s="1" t="e">
        <v>#N/A</v>
      </c>
      <c r="S195" t="str">
        <f t="shared" ref="S195:S258" si="3">IF(MONTH($A195) = 1, YEAR($A195)&amp;"-Q"&amp;MONTH($A195), IF(MONTH($A195) = 4, YEAR($A195)&amp;"-Q2", IF(MONTH($A195) = 7, YEAR($A195)&amp;"-Q3", IF(MONTH($A195) = 10, YEAR($A195)&amp;"-Q4",""))))</f>
        <v/>
      </c>
    </row>
    <row r="196" spans="1:19" x14ac:dyDescent="0.2">
      <c r="A196" s="1">
        <v>42430</v>
      </c>
      <c r="B196" s="9" t="e">
        <v>#N/A</v>
      </c>
      <c r="C196" s="8">
        <v>0.17142857142857101</v>
      </c>
      <c r="D196">
        <v>1.3</v>
      </c>
      <c r="E196" t="e">
        <v>#N/A</v>
      </c>
      <c r="F196">
        <v>4</v>
      </c>
      <c r="G196" s="5">
        <v>1384</v>
      </c>
      <c r="H196" t="e">
        <v>#N/A</v>
      </c>
      <c r="I196" s="4">
        <v>0.47530668973922729</v>
      </c>
      <c r="L196">
        <v>104.4</v>
      </c>
      <c r="M196">
        <v>86.3</v>
      </c>
      <c r="N196" t="e">
        <v>#N/A</v>
      </c>
      <c r="O196" t="e">
        <v>#N/A</v>
      </c>
      <c r="P196" s="8">
        <v>92.998699999999999</v>
      </c>
      <c r="Q196" s="1" t="e">
        <v>#N/A</v>
      </c>
      <c r="S196" t="str">
        <f t="shared" si="3"/>
        <v/>
      </c>
    </row>
    <row r="197" spans="1:19" x14ac:dyDescent="0.2">
      <c r="A197" s="1">
        <v>42461</v>
      </c>
      <c r="B197" s="9">
        <v>355817</v>
      </c>
      <c r="C197" s="8">
        <v>0.13428571428571401</v>
      </c>
      <c r="D197">
        <v>0.7</v>
      </c>
      <c r="E197">
        <v>44.6</v>
      </c>
      <c r="F197">
        <v>4</v>
      </c>
      <c r="G197" s="5">
        <v>1370</v>
      </c>
      <c r="H197">
        <v>44.9</v>
      </c>
      <c r="I197" s="4">
        <v>0.30673420429229736</v>
      </c>
      <c r="L197">
        <v>105.1</v>
      </c>
      <c r="M197">
        <v>86.3</v>
      </c>
      <c r="N197">
        <v>100.7</v>
      </c>
      <c r="O197">
        <v>404672</v>
      </c>
      <c r="P197" s="8">
        <v>93.776669999999996</v>
      </c>
      <c r="Q197" s="1" t="s">
        <v>28</v>
      </c>
      <c r="S197" t="str">
        <f t="shared" si="3"/>
        <v>2016-Q2</v>
      </c>
    </row>
    <row r="198" spans="1:19" x14ac:dyDescent="0.2">
      <c r="A198" s="1">
        <v>42491</v>
      </c>
      <c r="B198" s="9" t="e">
        <v>#N/A</v>
      </c>
      <c r="C198" s="8">
        <v>0.13285714285714301</v>
      </c>
      <c r="D198">
        <v>1</v>
      </c>
      <c r="E198" t="e">
        <v>#N/A</v>
      </c>
      <c r="F198">
        <v>4</v>
      </c>
      <c r="G198" s="5">
        <v>1360</v>
      </c>
      <c r="H198" t="e">
        <v>#N/A</v>
      </c>
      <c r="I198" s="4">
        <v>0.40060091018676758</v>
      </c>
      <c r="L198">
        <v>103.4</v>
      </c>
      <c r="M198">
        <v>86.6</v>
      </c>
      <c r="N198" t="e">
        <v>#N/A</v>
      </c>
      <c r="O198" t="e">
        <v>#N/A</v>
      </c>
      <c r="P198" s="8">
        <v>95.150030000000001</v>
      </c>
      <c r="Q198" s="1" t="e">
        <v>#N/A</v>
      </c>
      <c r="S198" t="str">
        <f t="shared" si="3"/>
        <v/>
      </c>
    </row>
    <row r="199" spans="1:19" x14ac:dyDescent="0.2">
      <c r="A199" s="1">
        <v>42522</v>
      </c>
      <c r="B199" s="9" t="e">
        <v>#N/A</v>
      </c>
      <c r="C199" s="8">
        <v>-1.6818181818181802E-2</v>
      </c>
      <c r="D199">
        <v>1</v>
      </c>
      <c r="E199" t="e">
        <v>#N/A</v>
      </c>
      <c r="F199">
        <v>4</v>
      </c>
      <c r="G199" s="5">
        <v>1350</v>
      </c>
      <c r="H199" t="e">
        <v>#N/A</v>
      </c>
      <c r="I199" s="4">
        <v>0.35871052742004395</v>
      </c>
      <c r="L199">
        <v>105.3</v>
      </c>
      <c r="M199">
        <v>86.4</v>
      </c>
      <c r="N199" t="e">
        <v>#N/A</v>
      </c>
      <c r="O199" t="e">
        <v>#N/A</v>
      </c>
      <c r="P199" s="8">
        <v>96.253489999999999</v>
      </c>
      <c r="Q199" s="1" t="e">
        <v>#N/A</v>
      </c>
      <c r="S199" t="str">
        <f t="shared" si="3"/>
        <v/>
      </c>
    </row>
    <row r="200" spans="1:19" x14ac:dyDescent="0.2">
      <c r="A200" s="1">
        <v>42552</v>
      </c>
      <c r="B200" s="9">
        <v>362211</v>
      </c>
      <c r="C200" s="8">
        <v>-0.154285714285714</v>
      </c>
      <c r="D200">
        <v>1.3</v>
      </c>
      <c r="E200">
        <v>43.9</v>
      </c>
      <c r="F200">
        <v>3.9</v>
      </c>
      <c r="G200" s="5">
        <v>1336</v>
      </c>
      <c r="H200">
        <v>44</v>
      </c>
      <c r="I200" s="4">
        <v>0.64823454618453979</v>
      </c>
      <c r="L200">
        <v>104</v>
      </c>
      <c r="M200">
        <v>87.4</v>
      </c>
      <c r="N200">
        <v>101.1</v>
      </c>
      <c r="O200">
        <v>408958</v>
      </c>
      <c r="P200" s="8">
        <v>95.169089999999997</v>
      </c>
      <c r="Q200" s="1" t="s">
        <v>28</v>
      </c>
      <c r="S200" t="str">
        <f t="shared" si="3"/>
        <v>2016-Q3</v>
      </c>
    </row>
    <row r="201" spans="1:19" x14ac:dyDescent="0.2">
      <c r="A201" s="1">
        <v>42583</v>
      </c>
      <c r="B201" s="9" t="e">
        <v>#N/A</v>
      </c>
      <c r="C201" s="8">
        <v>-0.131739130434783</v>
      </c>
      <c r="D201">
        <v>1.1000000000000001</v>
      </c>
      <c r="E201" t="e">
        <v>#N/A</v>
      </c>
      <c r="F201">
        <v>3.9</v>
      </c>
      <c r="G201" s="5">
        <v>1316</v>
      </c>
      <c r="H201" t="e">
        <v>#N/A</v>
      </c>
      <c r="I201" s="4">
        <v>0.3462890088558197</v>
      </c>
      <c r="L201">
        <v>105.6</v>
      </c>
      <c r="M201">
        <v>88</v>
      </c>
      <c r="N201" t="e">
        <v>#N/A</v>
      </c>
      <c r="O201" t="e">
        <v>#N/A</v>
      </c>
      <c r="P201" s="8">
        <v>94.34984</v>
      </c>
      <c r="Q201" s="1" t="e">
        <v>#N/A</v>
      </c>
      <c r="S201" t="str">
        <f t="shared" si="3"/>
        <v/>
      </c>
    </row>
    <row r="202" spans="1:19" x14ac:dyDescent="0.2">
      <c r="A202" s="1">
        <v>42614</v>
      </c>
      <c r="B202" s="9" t="e">
        <v>#N/A</v>
      </c>
      <c r="C202" s="8">
        <v>-8.4090909090909105E-2</v>
      </c>
      <c r="D202">
        <v>1.1000000000000001</v>
      </c>
      <c r="E202" t="e">
        <v>#N/A</v>
      </c>
      <c r="F202">
        <v>3.8</v>
      </c>
      <c r="G202" s="5">
        <v>1295</v>
      </c>
      <c r="H202" t="e">
        <v>#N/A</v>
      </c>
      <c r="I202" s="4">
        <v>0.2722322940826416</v>
      </c>
      <c r="L202">
        <v>105.4</v>
      </c>
      <c r="M202">
        <v>86.8</v>
      </c>
      <c r="N202" t="e">
        <v>#N/A</v>
      </c>
      <c r="O202" t="e">
        <v>#N/A</v>
      </c>
      <c r="P202" s="8">
        <v>94.903949999999995</v>
      </c>
      <c r="Q202" s="1" t="s">
        <v>28</v>
      </c>
      <c r="S202" t="str">
        <f t="shared" si="3"/>
        <v/>
      </c>
    </row>
    <row r="203" spans="1:19" x14ac:dyDescent="0.2">
      <c r="A203" s="1">
        <v>42644</v>
      </c>
      <c r="B203" s="9">
        <v>357978</v>
      </c>
      <c r="C203" s="8">
        <v>2E-3</v>
      </c>
      <c r="D203">
        <v>1</v>
      </c>
      <c r="E203">
        <v>43.2</v>
      </c>
      <c r="F203">
        <v>3.7</v>
      </c>
      <c r="G203" s="5">
        <v>1274</v>
      </c>
      <c r="H203">
        <v>43.8</v>
      </c>
      <c r="I203" s="4">
        <v>0.34848335385322571</v>
      </c>
      <c r="L203">
        <v>106</v>
      </c>
      <c r="M203">
        <v>89.5</v>
      </c>
      <c r="N203">
        <v>101.1</v>
      </c>
      <c r="O203">
        <v>456755</v>
      </c>
      <c r="P203" s="8">
        <v>96.228089999999995</v>
      </c>
      <c r="Q203" s="1" t="e">
        <v>#N/A</v>
      </c>
      <c r="S203" t="str">
        <f t="shared" si="3"/>
        <v>2016-Q4</v>
      </c>
    </row>
    <row r="204" spans="1:19" x14ac:dyDescent="0.2">
      <c r="A204" s="1">
        <v>42675</v>
      </c>
      <c r="B204" s="9" t="e">
        <v>#N/A</v>
      </c>
      <c r="C204" s="8">
        <v>0.189090909090909</v>
      </c>
      <c r="D204">
        <v>1.1000000000000001</v>
      </c>
      <c r="E204" t="e">
        <v>#N/A</v>
      </c>
      <c r="F204">
        <v>3.7</v>
      </c>
      <c r="G204" s="5">
        <v>1257</v>
      </c>
      <c r="H204" t="e">
        <v>#N/A</v>
      </c>
      <c r="I204" s="4">
        <v>0.41023537516593933</v>
      </c>
      <c r="L204">
        <v>105.8</v>
      </c>
      <c r="M204">
        <v>88</v>
      </c>
      <c r="N204" t="e">
        <v>#N/A</v>
      </c>
      <c r="O204" t="e">
        <v>#N/A</v>
      </c>
      <c r="P204" s="8">
        <v>95.208789999999993</v>
      </c>
      <c r="Q204" s="1" t="e">
        <v>#N/A</v>
      </c>
      <c r="S204" t="str">
        <f t="shared" si="3"/>
        <v/>
      </c>
    </row>
    <row r="205" spans="1:19" x14ac:dyDescent="0.2">
      <c r="A205" s="1">
        <v>42705</v>
      </c>
      <c r="B205" s="9" t="e">
        <v>#N/A</v>
      </c>
      <c r="C205" s="8">
        <v>0.25190476190476202</v>
      </c>
      <c r="D205">
        <v>1.5</v>
      </c>
      <c r="E205" t="e">
        <v>#N/A</v>
      </c>
      <c r="F205">
        <v>3.7</v>
      </c>
      <c r="G205" s="5">
        <v>1247</v>
      </c>
      <c r="H205" t="e">
        <v>#N/A</v>
      </c>
      <c r="I205" s="4">
        <v>0.6870269775390625</v>
      </c>
      <c r="L205">
        <v>103.4</v>
      </c>
      <c r="M205">
        <v>89.4</v>
      </c>
      <c r="N205" t="e">
        <v>#N/A</v>
      </c>
      <c r="O205" t="e">
        <v>#N/A</v>
      </c>
      <c r="P205" s="8">
        <v>97.047340000000005</v>
      </c>
      <c r="Q205" s="1" t="e">
        <v>#N/A</v>
      </c>
      <c r="S205" t="str">
        <f t="shared" si="3"/>
        <v/>
      </c>
    </row>
    <row r="206" spans="1:19" x14ac:dyDescent="0.2">
      <c r="A206" s="1">
        <v>42736</v>
      </c>
      <c r="B206" s="9">
        <v>366856</v>
      </c>
      <c r="C206" s="8">
        <v>0.25090909090909103</v>
      </c>
      <c r="D206">
        <v>1.3</v>
      </c>
      <c r="E206">
        <v>42.2</v>
      </c>
      <c r="F206">
        <v>3.7</v>
      </c>
      <c r="G206" s="5">
        <v>1242</v>
      </c>
      <c r="H206">
        <v>46.3</v>
      </c>
      <c r="I206" s="4">
        <v>0.45583468675613403</v>
      </c>
      <c r="L206">
        <v>105.2</v>
      </c>
      <c r="M206">
        <v>88.3</v>
      </c>
      <c r="N206">
        <v>101.3</v>
      </c>
      <c r="O206">
        <v>404132</v>
      </c>
      <c r="P206" s="8">
        <v>97.784679999999994</v>
      </c>
      <c r="Q206" s="1" t="e">
        <v>#N/A</v>
      </c>
      <c r="S206" t="str">
        <f t="shared" si="3"/>
        <v>2017-Q1</v>
      </c>
    </row>
    <row r="207" spans="1:19" x14ac:dyDescent="0.2">
      <c r="A207" s="1">
        <v>42767</v>
      </c>
      <c r="B207" s="9" t="e">
        <v>#N/A</v>
      </c>
      <c r="C207" s="8">
        <v>0.25800000000000001</v>
      </c>
      <c r="D207">
        <v>1.6</v>
      </c>
      <c r="E207" t="e">
        <v>#N/A</v>
      </c>
      <c r="F207">
        <v>3.6</v>
      </c>
      <c r="G207" s="5">
        <v>1237</v>
      </c>
      <c r="H207" t="e">
        <v>#N/A</v>
      </c>
      <c r="I207" s="4">
        <v>0.62231522798538208</v>
      </c>
      <c r="L207">
        <v>106</v>
      </c>
      <c r="M207">
        <v>88.6</v>
      </c>
      <c r="N207" t="e">
        <v>#N/A</v>
      </c>
      <c r="O207" t="e">
        <v>#N/A</v>
      </c>
      <c r="P207" s="8">
        <v>98.084819999999993</v>
      </c>
      <c r="Q207" s="1" t="s">
        <v>31</v>
      </c>
      <c r="S207" t="str">
        <f t="shared" si="3"/>
        <v/>
      </c>
    </row>
    <row r="208" spans="1:19" x14ac:dyDescent="0.2">
      <c r="A208" s="1">
        <v>42795</v>
      </c>
      <c r="B208" s="9" t="e">
        <v>#N/A</v>
      </c>
      <c r="C208" s="8">
        <v>0.34826086956521701</v>
      </c>
      <c r="D208">
        <v>1.1000000000000001</v>
      </c>
      <c r="E208" t="e">
        <v>#N/A</v>
      </c>
      <c r="F208">
        <v>3.6</v>
      </c>
      <c r="G208" s="5">
        <v>1232</v>
      </c>
      <c r="H208" t="e">
        <v>#N/A</v>
      </c>
      <c r="I208" s="4">
        <v>0.3316669762134552</v>
      </c>
      <c r="L208">
        <v>105.5</v>
      </c>
      <c r="M208">
        <v>91</v>
      </c>
      <c r="N208" t="e">
        <v>#N/A</v>
      </c>
      <c r="O208" t="e">
        <v>#N/A</v>
      </c>
      <c r="P208" s="8">
        <v>97.248009999999994</v>
      </c>
      <c r="Q208" s="1" t="s">
        <v>28</v>
      </c>
      <c r="S208" t="str">
        <f t="shared" si="3"/>
        <v/>
      </c>
    </row>
    <row r="209" spans="1:19" x14ac:dyDescent="0.2">
      <c r="A209" s="1">
        <v>42826</v>
      </c>
      <c r="B209" s="9">
        <v>375334</v>
      </c>
      <c r="C209" s="8">
        <v>0.22555555555555601</v>
      </c>
      <c r="D209">
        <v>1.7</v>
      </c>
      <c r="E209">
        <v>42</v>
      </c>
      <c r="F209">
        <v>3.6</v>
      </c>
      <c r="G209" s="5">
        <v>1224</v>
      </c>
      <c r="H209">
        <v>45.6</v>
      </c>
      <c r="I209" s="4">
        <v>0.45707681775093079</v>
      </c>
      <c r="L209">
        <v>107.5</v>
      </c>
      <c r="M209">
        <v>89.8</v>
      </c>
      <c r="N209">
        <v>101.9</v>
      </c>
      <c r="O209">
        <v>423329</v>
      </c>
      <c r="P209" s="8">
        <v>97.951229999999995</v>
      </c>
      <c r="Q209" s="1" t="e">
        <v>#N/A</v>
      </c>
      <c r="S209" t="str">
        <f t="shared" si="3"/>
        <v>2017-Q2</v>
      </c>
    </row>
    <row r="210" spans="1:19" x14ac:dyDescent="0.2">
      <c r="A210" s="1">
        <v>42856</v>
      </c>
      <c r="B210" s="9" t="e">
        <v>#N/A</v>
      </c>
      <c r="C210" s="8">
        <v>0.33636363636363598</v>
      </c>
      <c r="D210">
        <v>1.3</v>
      </c>
      <c r="E210" t="e">
        <v>#N/A</v>
      </c>
      <c r="F210">
        <v>3.6</v>
      </c>
      <c r="G210" s="5">
        <v>1215</v>
      </c>
      <c r="H210" t="e">
        <v>#N/A</v>
      </c>
      <c r="I210" s="4">
        <v>0.48740860819816589</v>
      </c>
      <c r="L210">
        <v>107.8</v>
      </c>
      <c r="M210">
        <v>90.5</v>
      </c>
      <c r="N210" t="e">
        <v>#N/A</v>
      </c>
      <c r="O210" t="e">
        <v>#N/A</v>
      </c>
      <c r="P210" s="8">
        <v>96.713660000000004</v>
      </c>
      <c r="Q210" s="1" t="s">
        <v>32</v>
      </c>
      <c r="S210" t="str">
        <f t="shared" si="3"/>
        <v/>
      </c>
    </row>
    <row r="211" spans="1:19" x14ac:dyDescent="0.2">
      <c r="A211" s="1">
        <v>42887</v>
      </c>
      <c r="B211" s="9" t="e">
        <v>#N/A</v>
      </c>
      <c r="C211" s="8">
        <v>0.25047619047619002</v>
      </c>
      <c r="D211">
        <v>1.9</v>
      </c>
      <c r="E211" t="e">
        <v>#N/A</v>
      </c>
      <c r="F211">
        <v>3.5</v>
      </c>
      <c r="G211" s="5">
        <v>1203</v>
      </c>
      <c r="H211" t="e">
        <v>#N/A</v>
      </c>
      <c r="I211" s="4">
        <v>0.49535602331161499</v>
      </c>
      <c r="L211">
        <v>107.7</v>
      </c>
      <c r="M211">
        <v>90.7</v>
      </c>
      <c r="N211" t="e">
        <v>#N/A</v>
      </c>
      <c r="O211" t="e">
        <v>#N/A</v>
      </c>
      <c r="P211" s="8">
        <v>95.978059999999999</v>
      </c>
      <c r="Q211" s="1" t="s">
        <v>28</v>
      </c>
      <c r="S211" t="str">
        <f t="shared" si="3"/>
        <v/>
      </c>
    </row>
    <row r="212" spans="1:19" x14ac:dyDescent="0.2">
      <c r="A212" s="1">
        <v>42917</v>
      </c>
      <c r="B212" s="9">
        <v>368280</v>
      </c>
      <c r="C212" s="8">
        <v>0.45571428571428602</v>
      </c>
      <c r="D212">
        <v>1.8</v>
      </c>
      <c r="E212">
        <v>41.5</v>
      </c>
      <c r="F212">
        <v>3.5</v>
      </c>
      <c r="G212" s="5">
        <v>1191</v>
      </c>
      <c r="H212">
        <v>44</v>
      </c>
      <c r="I212" s="4">
        <v>0.72060614824295044</v>
      </c>
      <c r="L212">
        <v>108.2</v>
      </c>
      <c r="M212">
        <v>90.6</v>
      </c>
      <c r="N212">
        <v>102.4</v>
      </c>
      <c r="O212">
        <v>427573</v>
      </c>
      <c r="P212" s="8">
        <v>95.743260000000006</v>
      </c>
      <c r="Q212" s="1" t="e">
        <v>#N/A</v>
      </c>
      <c r="S212" t="str">
        <f t="shared" si="3"/>
        <v>2017-Q3</v>
      </c>
    </row>
    <row r="213" spans="1:19" x14ac:dyDescent="0.2">
      <c r="A213" s="1">
        <v>42948</v>
      </c>
      <c r="B213" s="9" t="e">
        <v>#N/A</v>
      </c>
      <c r="C213" s="8">
        <v>0.34608695652173899</v>
      </c>
      <c r="D213">
        <v>1.9</v>
      </c>
      <c r="E213" t="e">
        <v>#N/A</v>
      </c>
      <c r="F213">
        <v>3.5</v>
      </c>
      <c r="G213" s="5">
        <v>1181</v>
      </c>
      <c r="H213" t="e">
        <v>#N/A</v>
      </c>
      <c r="I213" s="4">
        <v>0.45396283268928528</v>
      </c>
      <c r="L213">
        <v>110.6</v>
      </c>
      <c r="M213">
        <v>90.4</v>
      </c>
      <c r="N213" t="e">
        <v>#N/A</v>
      </c>
      <c r="O213" t="e">
        <v>#N/A</v>
      </c>
      <c r="P213" s="8">
        <v>96.078100000000006</v>
      </c>
      <c r="Q213" s="1" t="e">
        <v>#N/A</v>
      </c>
      <c r="S213" t="str">
        <f t="shared" si="3"/>
        <v/>
      </c>
    </row>
    <row r="214" spans="1:19" x14ac:dyDescent="0.2">
      <c r="A214" s="1">
        <v>42979</v>
      </c>
      <c r="B214" s="9" t="e">
        <v>#N/A</v>
      </c>
      <c r="C214" s="8">
        <v>0.34714285714285698</v>
      </c>
      <c r="D214">
        <v>1.8</v>
      </c>
      <c r="E214" t="e">
        <v>#N/A</v>
      </c>
      <c r="F214">
        <v>3.4</v>
      </c>
      <c r="G214" s="5">
        <v>1172</v>
      </c>
      <c r="H214" t="e">
        <v>#N/A</v>
      </c>
      <c r="I214" s="4">
        <v>0.49433264136314392</v>
      </c>
      <c r="L214">
        <v>109.6</v>
      </c>
      <c r="M214">
        <v>91.9</v>
      </c>
      <c r="N214" t="e">
        <v>#N/A</v>
      </c>
      <c r="O214" t="e">
        <v>#N/A</v>
      </c>
      <c r="P214" s="8">
        <v>97.147959999999998</v>
      </c>
      <c r="Q214" s="1" t="s">
        <v>28</v>
      </c>
      <c r="S214" t="str">
        <f t="shared" si="3"/>
        <v/>
      </c>
    </row>
    <row r="215" spans="1:19" x14ac:dyDescent="0.2">
      <c r="A215" s="1">
        <v>43009</v>
      </c>
      <c r="B215" s="9">
        <v>374081</v>
      </c>
      <c r="C215" s="8">
        <v>0.3725</v>
      </c>
      <c r="D215">
        <v>1.5</v>
      </c>
      <c r="E215">
        <v>40.9</v>
      </c>
      <c r="F215">
        <v>3.4</v>
      </c>
      <c r="G215" s="5">
        <v>1161</v>
      </c>
      <c r="H215">
        <v>44.2</v>
      </c>
      <c r="I215" s="4">
        <v>0.56813567876815796</v>
      </c>
      <c r="L215">
        <v>108</v>
      </c>
      <c r="M215">
        <v>89</v>
      </c>
      <c r="N215">
        <v>102.7</v>
      </c>
      <c r="O215">
        <v>477353</v>
      </c>
      <c r="P215" s="8">
        <v>97.112679999999997</v>
      </c>
      <c r="Q215" s="1" t="e">
        <v>#N/A</v>
      </c>
      <c r="S215" t="str">
        <f t="shared" si="3"/>
        <v>2017-Q4</v>
      </c>
    </row>
    <row r="216" spans="1:19" x14ac:dyDescent="0.2">
      <c r="A216" s="1">
        <v>43040</v>
      </c>
      <c r="B216" s="9" t="e">
        <v>#N/A</v>
      </c>
      <c r="C216" s="8">
        <v>0.308181818181818</v>
      </c>
      <c r="D216">
        <v>1.6</v>
      </c>
      <c r="E216" t="e">
        <v>#N/A</v>
      </c>
      <c r="F216">
        <v>3.4</v>
      </c>
      <c r="G216" s="5">
        <v>1147</v>
      </c>
      <c r="H216" t="e">
        <v>#N/A</v>
      </c>
      <c r="I216" s="4">
        <v>0.29877126216888428</v>
      </c>
      <c r="L216">
        <v>111.8</v>
      </c>
      <c r="M216">
        <v>91.4</v>
      </c>
      <c r="N216" t="e">
        <v>#N/A</v>
      </c>
      <c r="O216" t="e">
        <v>#N/A</v>
      </c>
      <c r="P216" s="8">
        <v>98.283749999999998</v>
      </c>
      <c r="Q216" s="1" t="e">
        <v>#N/A</v>
      </c>
      <c r="S216" t="str">
        <f t="shared" si="3"/>
        <v/>
      </c>
    </row>
    <row r="217" spans="1:19" x14ac:dyDescent="0.2">
      <c r="A217" s="1">
        <v>43070</v>
      </c>
      <c r="B217" s="9" t="e">
        <v>#N/A</v>
      </c>
      <c r="C217" s="8">
        <v>0.29684210526315802</v>
      </c>
      <c r="D217">
        <v>1.5</v>
      </c>
      <c r="E217" t="e">
        <v>#N/A</v>
      </c>
      <c r="F217">
        <v>3.4</v>
      </c>
      <c r="G217" s="5">
        <v>1132</v>
      </c>
      <c r="H217" t="e">
        <v>#N/A</v>
      </c>
      <c r="I217" s="4">
        <v>0.24673306941986084</v>
      </c>
      <c r="L217">
        <v>111</v>
      </c>
      <c r="M217">
        <v>92.7</v>
      </c>
      <c r="N217" t="e">
        <v>#N/A</v>
      </c>
      <c r="O217" t="e">
        <v>#N/A</v>
      </c>
      <c r="P217" s="8">
        <v>98.148420000000002</v>
      </c>
      <c r="Q217" s="1" t="e">
        <v>#N/A</v>
      </c>
      <c r="S217" t="str">
        <f t="shared" si="3"/>
        <v/>
      </c>
    </row>
    <row r="218" spans="1:19" x14ac:dyDescent="0.2">
      <c r="A218" s="1">
        <v>43101</v>
      </c>
      <c r="B218" s="9">
        <v>375331</v>
      </c>
      <c r="C218" s="8">
        <v>0.47454545454545499</v>
      </c>
      <c r="D218">
        <v>1.5</v>
      </c>
      <c r="E218">
        <v>40.200000000000003</v>
      </c>
      <c r="F218">
        <v>3.3</v>
      </c>
      <c r="G218" s="5">
        <v>1116</v>
      </c>
      <c r="H218">
        <v>45.9</v>
      </c>
      <c r="I218" s="4">
        <v>0.42516270279884338</v>
      </c>
      <c r="L218">
        <v>110.2</v>
      </c>
      <c r="M218">
        <v>90.8</v>
      </c>
      <c r="N218">
        <v>101.9</v>
      </c>
      <c r="O218">
        <v>423703</v>
      </c>
      <c r="P218" s="8">
        <v>98.581699999999998</v>
      </c>
      <c r="Q218" s="1" t="e">
        <v>#N/A</v>
      </c>
      <c r="S218" t="str">
        <f t="shared" si="3"/>
        <v>2018-Q1</v>
      </c>
    </row>
    <row r="219" spans="1:19" x14ac:dyDescent="0.2">
      <c r="A219" s="1">
        <v>43132</v>
      </c>
      <c r="B219" s="9" t="e">
        <v>#N/A</v>
      </c>
      <c r="C219" s="8">
        <v>0.65900000000000003</v>
      </c>
      <c r="D219">
        <v>1.3</v>
      </c>
      <c r="E219" t="e">
        <v>#N/A</v>
      </c>
      <c r="F219">
        <v>3.3</v>
      </c>
      <c r="G219" s="5">
        <v>1103</v>
      </c>
      <c r="H219" t="e">
        <v>#N/A</v>
      </c>
      <c r="I219" s="4">
        <v>0.30224123597145081</v>
      </c>
      <c r="L219">
        <v>108.4</v>
      </c>
      <c r="M219">
        <v>89.8</v>
      </c>
      <c r="N219" t="e">
        <v>#N/A</v>
      </c>
      <c r="O219" t="e">
        <v>#N/A</v>
      </c>
      <c r="P219" s="8">
        <v>98.215770000000006</v>
      </c>
      <c r="Q219" s="1" t="s">
        <v>28</v>
      </c>
      <c r="S219" t="str">
        <f t="shared" si="3"/>
        <v/>
      </c>
    </row>
    <row r="220" spans="1:19" x14ac:dyDescent="0.2">
      <c r="A220" s="1">
        <v>43160</v>
      </c>
      <c r="B220" s="9" t="e">
        <v>#N/A</v>
      </c>
      <c r="C220" s="8">
        <v>0.52952380952380995</v>
      </c>
      <c r="D220">
        <v>1.8</v>
      </c>
      <c r="E220" t="e">
        <v>#N/A</v>
      </c>
      <c r="F220">
        <v>3.3</v>
      </c>
      <c r="G220" s="5">
        <v>1091</v>
      </c>
      <c r="H220" t="e">
        <v>#N/A</v>
      </c>
      <c r="I220" s="4">
        <v>0.70129036903381348</v>
      </c>
      <c r="L220">
        <v>110.1</v>
      </c>
      <c r="M220">
        <v>91.4</v>
      </c>
      <c r="N220" t="e">
        <v>#N/A</v>
      </c>
      <c r="O220" t="e">
        <v>#N/A</v>
      </c>
      <c r="P220" s="8">
        <v>97.546199999999999</v>
      </c>
      <c r="Q220" s="1" t="e">
        <v>#N/A</v>
      </c>
      <c r="S220" t="str">
        <f t="shared" si="3"/>
        <v/>
      </c>
    </row>
    <row r="221" spans="1:19" x14ac:dyDescent="0.2">
      <c r="A221" s="1">
        <v>43191</v>
      </c>
      <c r="B221" s="9">
        <v>379286</v>
      </c>
      <c r="C221" s="8">
        <v>0.48</v>
      </c>
      <c r="D221">
        <v>1.3</v>
      </c>
      <c r="E221">
        <v>39.6</v>
      </c>
      <c r="F221">
        <v>3.2</v>
      </c>
      <c r="G221" s="5">
        <v>1082</v>
      </c>
      <c r="H221">
        <v>44</v>
      </c>
      <c r="I221" s="4">
        <v>0.55284410715103149</v>
      </c>
      <c r="L221">
        <v>109.5</v>
      </c>
      <c r="M221">
        <v>93.3</v>
      </c>
      <c r="N221">
        <v>103.1</v>
      </c>
      <c r="O221">
        <v>443495</v>
      </c>
      <c r="P221" s="8">
        <v>99.150059999999996</v>
      </c>
      <c r="Q221" s="1" t="e">
        <v>#N/A</v>
      </c>
      <c r="S221" t="str">
        <f t="shared" si="3"/>
        <v>2018-Q2</v>
      </c>
    </row>
    <row r="222" spans="1:19" x14ac:dyDescent="0.2">
      <c r="A222" s="1">
        <v>43221</v>
      </c>
      <c r="B222" s="9" t="e">
        <v>#N/A</v>
      </c>
      <c r="C222" s="8">
        <v>0.45</v>
      </c>
      <c r="D222">
        <v>2</v>
      </c>
      <c r="E222" t="e">
        <v>#N/A</v>
      </c>
      <c r="F222">
        <v>3.2</v>
      </c>
      <c r="G222" s="5">
        <v>1077</v>
      </c>
      <c r="H222" t="e">
        <v>#N/A</v>
      </c>
      <c r="I222" s="4">
        <v>0.92444741725921631</v>
      </c>
      <c r="L222">
        <v>111.1</v>
      </c>
      <c r="M222">
        <v>91.7</v>
      </c>
      <c r="N222" t="e">
        <v>#N/A</v>
      </c>
      <c r="O222" t="e">
        <v>#N/A</v>
      </c>
      <c r="P222" s="8">
        <v>101.2561</v>
      </c>
      <c r="Q222" s="1" t="e">
        <v>#N/A</v>
      </c>
      <c r="S222" t="str">
        <f t="shared" si="3"/>
        <v/>
      </c>
    </row>
    <row r="223" spans="1:19" x14ac:dyDescent="0.2">
      <c r="A223" s="1">
        <v>43252</v>
      </c>
      <c r="B223" s="9" t="e">
        <v>#N/A</v>
      </c>
      <c r="C223" s="8">
        <v>0.32714285714285701</v>
      </c>
      <c r="D223">
        <v>1.5</v>
      </c>
      <c r="E223" t="e">
        <v>#N/A</v>
      </c>
      <c r="F223">
        <v>3.2</v>
      </c>
      <c r="G223" s="5">
        <v>1073</v>
      </c>
      <c r="H223" t="e">
        <v>#N/A</v>
      </c>
      <c r="I223" s="4">
        <v>0.55759775638580322</v>
      </c>
      <c r="L223">
        <v>110.8</v>
      </c>
      <c r="M223">
        <v>92.6</v>
      </c>
      <c r="N223" t="e">
        <v>#N/A</v>
      </c>
      <c r="O223" t="e">
        <v>#N/A</v>
      </c>
      <c r="P223" s="8">
        <v>101.6917</v>
      </c>
      <c r="Q223" s="1" t="e">
        <v>#N/A</v>
      </c>
      <c r="S223" t="str">
        <f t="shared" si="3"/>
        <v/>
      </c>
    </row>
    <row r="224" spans="1:19" x14ac:dyDescent="0.2">
      <c r="A224" s="1">
        <v>43282</v>
      </c>
      <c r="B224" s="9">
        <v>384637</v>
      </c>
      <c r="C224" s="8">
        <v>0.27454545454545498</v>
      </c>
      <c r="D224">
        <v>1.6</v>
      </c>
      <c r="E224">
        <v>39.6</v>
      </c>
      <c r="F224">
        <v>3.2</v>
      </c>
      <c r="G224" s="5">
        <v>1069</v>
      </c>
      <c r="H224">
        <v>43.5</v>
      </c>
      <c r="I224" s="4">
        <v>0.67455065250396729</v>
      </c>
      <c r="L224">
        <v>108.8</v>
      </c>
      <c r="M224">
        <v>92.2</v>
      </c>
      <c r="N224">
        <v>103</v>
      </c>
      <c r="O224">
        <v>449750</v>
      </c>
      <c r="P224" s="8">
        <v>101.65819999999999</v>
      </c>
      <c r="Q224" s="1" t="e">
        <v>#N/A</v>
      </c>
      <c r="S224" t="str">
        <f t="shared" si="3"/>
        <v>2018-Q3</v>
      </c>
    </row>
    <row r="225" spans="1:19" x14ac:dyDescent="0.2">
      <c r="A225" s="1">
        <v>43313</v>
      </c>
      <c r="B225" s="9" t="e">
        <v>#N/A</v>
      </c>
      <c r="C225" s="8">
        <v>0.29086956521739099</v>
      </c>
      <c r="D225">
        <v>1.5</v>
      </c>
      <c r="E225" t="e">
        <v>#N/A</v>
      </c>
      <c r="F225">
        <v>3.2</v>
      </c>
      <c r="G225" s="5">
        <v>1065</v>
      </c>
      <c r="H225" t="e">
        <v>#N/A</v>
      </c>
      <c r="I225" s="4">
        <v>0.45236709713935852</v>
      </c>
      <c r="L225">
        <v>110.3</v>
      </c>
      <c r="M225">
        <v>92.2</v>
      </c>
      <c r="N225" t="e">
        <v>#N/A</v>
      </c>
      <c r="O225" t="e">
        <v>#N/A</v>
      </c>
      <c r="P225" s="8">
        <v>102.39279999999999</v>
      </c>
      <c r="Q225" s="1" t="s">
        <v>28</v>
      </c>
      <c r="S225" t="str">
        <f t="shared" si="3"/>
        <v/>
      </c>
    </row>
    <row r="226" spans="1:19" x14ac:dyDescent="0.2">
      <c r="A226" s="1">
        <v>43344</v>
      </c>
      <c r="B226" s="9" t="e">
        <v>#N/A</v>
      </c>
      <c r="C226" s="8">
        <v>0.3705</v>
      </c>
      <c r="D226">
        <v>1.5</v>
      </c>
      <c r="E226" t="e">
        <v>#N/A</v>
      </c>
      <c r="F226">
        <v>3.1</v>
      </c>
      <c r="G226" s="5">
        <v>1059</v>
      </c>
      <c r="H226" t="e">
        <v>#N/A</v>
      </c>
      <c r="I226" s="4">
        <v>0.23939521610736847</v>
      </c>
      <c r="L226">
        <v>109.1</v>
      </c>
      <c r="M226">
        <v>92.2</v>
      </c>
      <c r="N226" t="e">
        <v>#N/A</v>
      </c>
      <c r="O226" t="e">
        <v>#N/A</v>
      </c>
      <c r="P226" s="8">
        <v>104.2291</v>
      </c>
      <c r="Q226" s="1" t="e">
        <v>#N/A</v>
      </c>
      <c r="S226" t="str">
        <f t="shared" si="3"/>
        <v/>
      </c>
    </row>
    <row r="227" spans="1:19" x14ac:dyDescent="0.2">
      <c r="A227" s="1">
        <v>43374</v>
      </c>
      <c r="B227" s="9">
        <v>394075</v>
      </c>
      <c r="C227" s="8">
        <v>0.399090909090909</v>
      </c>
      <c r="D227">
        <v>1.9</v>
      </c>
      <c r="E227">
        <v>38.9</v>
      </c>
      <c r="F227">
        <v>3.1</v>
      </c>
      <c r="G227" s="5">
        <v>1053</v>
      </c>
      <c r="H227">
        <v>43.3</v>
      </c>
      <c r="I227" s="4">
        <v>0.49431538581848145</v>
      </c>
      <c r="L227">
        <v>108.7</v>
      </c>
      <c r="M227">
        <v>92.5</v>
      </c>
      <c r="N227">
        <v>103.6</v>
      </c>
      <c r="O227">
        <v>499154</v>
      </c>
      <c r="P227" s="8">
        <v>105.1961</v>
      </c>
      <c r="Q227" s="1" t="e">
        <v>#N/A</v>
      </c>
      <c r="S227" t="str">
        <f t="shared" si="3"/>
        <v>2018-Q4</v>
      </c>
    </row>
    <row r="228" spans="1:19" x14ac:dyDescent="0.2">
      <c r="A228" s="1">
        <v>43405</v>
      </c>
      <c r="B228" s="9" t="e">
        <v>#N/A</v>
      </c>
      <c r="C228" s="8">
        <v>0.31409090909090898</v>
      </c>
      <c r="D228">
        <v>1.3</v>
      </c>
      <c r="E228" t="e">
        <v>#N/A</v>
      </c>
      <c r="F228">
        <v>3.1</v>
      </c>
      <c r="G228" s="5">
        <v>1046</v>
      </c>
      <c r="H228" t="e">
        <v>#N/A</v>
      </c>
      <c r="I228" s="4">
        <v>0.36451488733291626</v>
      </c>
      <c r="L228">
        <v>106.8</v>
      </c>
      <c r="M228">
        <v>92.7</v>
      </c>
      <c r="N228" t="e">
        <v>#N/A</v>
      </c>
      <c r="O228" t="e">
        <v>#N/A</v>
      </c>
      <c r="P228" s="8">
        <v>106.9331</v>
      </c>
      <c r="Q228" s="1" t="s">
        <v>28</v>
      </c>
      <c r="S228" t="str">
        <f t="shared" si="3"/>
        <v/>
      </c>
    </row>
    <row r="229" spans="1:19" x14ac:dyDescent="0.2">
      <c r="A229" s="1">
        <v>43435</v>
      </c>
      <c r="B229" s="9" t="e">
        <v>#N/A</v>
      </c>
      <c r="C229" s="8">
        <v>0.187058823529412</v>
      </c>
      <c r="D229">
        <v>1.3</v>
      </c>
      <c r="E229" t="e">
        <v>#N/A</v>
      </c>
      <c r="F229">
        <v>3.1</v>
      </c>
      <c r="G229" s="5">
        <v>1039</v>
      </c>
      <c r="H229" t="e">
        <v>#N/A</v>
      </c>
      <c r="I229" s="4">
        <v>0.37549871206283569</v>
      </c>
      <c r="L229">
        <v>107.9</v>
      </c>
      <c r="M229">
        <v>92.7</v>
      </c>
      <c r="N229" t="e">
        <v>#N/A</v>
      </c>
      <c r="O229" t="e">
        <v>#N/A</v>
      </c>
      <c r="P229" s="8">
        <v>102.9246</v>
      </c>
      <c r="Q229" s="1" t="e">
        <v>#N/A</v>
      </c>
      <c r="S229" t="str">
        <f t="shared" si="3"/>
        <v/>
      </c>
    </row>
    <row r="230" spans="1:19" x14ac:dyDescent="0.2">
      <c r="A230" s="1">
        <v>43466</v>
      </c>
      <c r="B230" s="9">
        <v>391942</v>
      </c>
      <c r="C230" s="8">
        <v>0.132727272727273</v>
      </c>
      <c r="D230">
        <v>1.7</v>
      </c>
      <c r="E230">
        <v>38.700000000000003</v>
      </c>
      <c r="F230">
        <v>3</v>
      </c>
      <c r="G230" s="5">
        <v>1031</v>
      </c>
      <c r="H230">
        <v>42.9</v>
      </c>
      <c r="I230" s="4">
        <v>0.36549085378646851</v>
      </c>
      <c r="L230">
        <v>107.7</v>
      </c>
      <c r="M230">
        <v>94.1</v>
      </c>
      <c r="N230">
        <v>103.3</v>
      </c>
      <c r="O230">
        <v>444425</v>
      </c>
      <c r="P230" s="8">
        <v>100.9444</v>
      </c>
      <c r="Q230" s="1" t="s">
        <v>31</v>
      </c>
      <c r="S230" t="str">
        <f t="shared" si="3"/>
        <v>2019-Q1</v>
      </c>
    </row>
    <row r="231" spans="1:19" x14ac:dyDescent="0.2">
      <c r="A231" s="1">
        <v>43497</v>
      </c>
      <c r="B231" s="9" t="e">
        <v>#N/A</v>
      </c>
      <c r="C231" s="8">
        <v>5.5500000000000001E-2</v>
      </c>
      <c r="D231">
        <v>1.6</v>
      </c>
      <c r="E231" t="e">
        <v>#N/A</v>
      </c>
      <c r="F231">
        <v>3</v>
      </c>
      <c r="G231" s="5">
        <v>1021</v>
      </c>
      <c r="H231" t="e">
        <v>#N/A</v>
      </c>
      <c r="I231" s="4">
        <v>0.57596069574356079</v>
      </c>
      <c r="L231">
        <v>107.1</v>
      </c>
      <c r="M231">
        <v>94.1</v>
      </c>
      <c r="N231" t="e">
        <v>#N/A</v>
      </c>
      <c r="O231" t="e">
        <v>#N/A</v>
      </c>
      <c r="P231" s="8">
        <v>101.1186</v>
      </c>
      <c r="Q231" s="1" t="e">
        <v>#N/A</v>
      </c>
      <c r="S231" t="str">
        <f t="shared" si="3"/>
        <v/>
      </c>
    </row>
    <row r="232" spans="1:19" x14ac:dyDescent="0.2">
      <c r="A232" s="1">
        <v>43525</v>
      </c>
      <c r="B232" s="9" t="e">
        <v>#N/A</v>
      </c>
      <c r="C232" s="8">
        <v>1.0952380952381E-2</v>
      </c>
      <c r="D232">
        <v>1.1000000000000001</v>
      </c>
      <c r="E232" t="e">
        <v>#N/A</v>
      </c>
      <c r="F232">
        <v>3</v>
      </c>
      <c r="G232" s="5">
        <v>1008</v>
      </c>
      <c r="H232" t="e">
        <v>#N/A</v>
      </c>
      <c r="I232" s="4">
        <v>0.31283891201019287</v>
      </c>
      <c r="L232">
        <v>108.2</v>
      </c>
      <c r="M232">
        <v>94.9</v>
      </c>
      <c r="N232" t="e">
        <v>#N/A</v>
      </c>
      <c r="O232" t="e">
        <v>#N/A</v>
      </c>
      <c r="P232" s="8">
        <v>101.80710000000001</v>
      </c>
      <c r="Q232" s="1" t="e">
        <v>#N/A</v>
      </c>
      <c r="S232" t="str">
        <f t="shared" si="3"/>
        <v/>
      </c>
    </row>
    <row r="233" spans="1:19" x14ac:dyDescent="0.2">
      <c r="A233" s="1">
        <v>43556</v>
      </c>
      <c r="B233" s="9">
        <v>400027</v>
      </c>
      <c r="C233" s="8">
        <v>-3.95E-2</v>
      </c>
      <c r="D233">
        <v>1.8</v>
      </c>
      <c r="E233">
        <v>38.4</v>
      </c>
      <c r="F233">
        <v>2.9</v>
      </c>
      <c r="G233" s="5">
        <v>991</v>
      </c>
      <c r="H233">
        <v>42.3</v>
      </c>
      <c r="I233" s="4">
        <v>0.26412391662597656</v>
      </c>
      <c r="L233">
        <v>106.7</v>
      </c>
      <c r="M233">
        <v>95</v>
      </c>
      <c r="N233">
        <v>102.8</v>
      </c>
      <c r="O233">
        <v>464823</v>
      </c>
      <c r="P233" s="8">
        <v>103.76300000000001</v>
      </c>
      <c r="Q233" s="1" t="e">
        <v>#N/A</v>
      </c>
      <c r="S233" t="str">
        <f t="shared" si="3"/>
        <v>2019-Q2</v>
      </c>
    </row>
    <row r="234" spans="1:19" x14ac:dyDescent="0.2">
      <c r="A234" s="1">
        <v>43586</v>
      </c>
      <c r="B234" s="9" t="e">
        <v>#N/A</v>
      </c>
      <c r="C234" s="8">
        <v>-0.134545454545455</v>
      </c>
      <c r="D234">
        <v>1</v>
      </c>
      <c r="E234" t="e">
        <v>#N/A</v>
      </c>
      <c r="F234">
        <v>2.9</v>
      </c>
      <c r="G234" s="5">
        <v>975</v>
      </c>
      <c r="H234" t="e">
        <v>#N/A</v>
      </c>
      <c r="I234" s="4">
        <v>0.5458608865737915</v>
      </c>
      <c r="L234">
        <v>107.1</v>
      </c>
      <c r="M234">
        <v>93.1</v>
      </c>
      <c r="N234" t="e">
        <v>#N/A</v>
      </c>
      <c r="O234" t="e">
        <v>#N/A</v>
      </c>
      <c r="P234" s="8">
        <v>105.39239999999999</v>
      </c>
      <c r="Q234" s="1" t="e">
        <v>#N/A</v>
      </c>
      <c r="S234" t="str">
        <f t="shared" si="3"/>
        <v/>
      </c>
    </row>
    <row r="235" spans="1:19" x14ac:dyDescent="0.2">
      <c r="A235" s="1">
        <v>43617</v>
      </c>
      <c r="B235" s="9" t="e">
        <v>#N/A</v>
      </c>
      <c r="C235" s="8">
        <v>-0.31526315789473702</v>
      </c>
      <c r="D235">
        <v>1.5</v>
      </c>
      <c r="E235" t="e">
        <v>#N/A</v>
      </c>
      <c r="F235">
        <v>2.9</v>
      </c>
      <c r="G235" s="5">
        <v>962</v>
      </c>
      <c r="H235" t="e">
        <v>#N/A</v>
      </c>
      <c r="I235" s="4">
        <v>0.62559324502944946</v>
      </c>
      <c r="L235">
        <v>105.7</v>
      </c>
      <c r="M235">
        <v>96.4</v>
      </c>
      <c r="N235" t="e">
        <v>#N/A</v>
      </c>
      <c r="O235" t="e">
        <v>#N/A</v>
      </c>
      <c r="P235" s="8">
        <v>104.2033</v>
      </c>
      <c r="Q235" s="1" t="e">
        <v>#N/A</v>
      </c>
      <c r="S235" t="str">
        <f t="shared" si="3"/>
        <v/>
      </c>
    </row>
    <row r="236" spans="1:19" x14ac:dyDescent="0.2">
      <c r="A236" s="1">
        <v>43647</v>
      </c>
      <c r="B236" s="9">
        <v>408515</v>
      </c>
      <c r="C236" s="8">
        <v>-0.38826086956521699</v>
      </c>
      <c r="D236">
        <v>1.1000000000000001</v>
      </c>
      <c r="E236">
        <v>38.200000000000003</v>
      </c>
      <c r="F236">
        <v>2.9</v>
      </c>
      <c r="G236" s="5">
        <v>958</v>
      </c>
      <c r="H236">
        <v>40.6</v>
      </c>
      <c r="I236" s="4">
        <v>0.51765328645706177</v>
      </c>
      <c r="L236">
        <v>105.3</v>
      </c>
      <c r="M236">
        <v>95.3</v>
      </c>
      <c r="N236">
        <v>103.6</v>
      </c>
      <c r="O236">
        <v>471520</v>
      </c>
      <c r="P236" s="8">
        <v>104.0864</v>
      </c>
      <c r="Q236" s="1" t="s">
        <v>28</v>
      </c>
      <c r="S236" t="str">
        <f t="shared" si="3"/>
        <v>2019-Q3</v>
      </c>
    </row>
    <row r="237" spans="1:19" x14ac:dyDescent="0.2">
      <c r="A237" s="1">
        <v>43678</v>
      </c>
      <c r="B237" s="9" t="e">
        <v>#N/A</v>
      </c>
      <c r="C237" s="8">
        <v>-0.64909090909090905</v>
      </c>
      <c r="D237">
        <v>1</v>
      </c>
      <c r="E237" t="e">
        <v>#N/A</v>
      </c>
      <c r="F237">
        <v>2.9</v>
      </c>
      <c r="G237" s="5">
        <v>961</v>
      </c>
      <c r="H237" t="e">
        <v>#N/A</v>
      </c>
      <c r="I237" s="4">
        <v>0.57959473133087158</v>
      </c>
      <c r="L237">
        <v>105.7</v>
      </c>
      <c r="M237">
        <v>95.4</v>
      </c>
      <c r="N237" t="e">
        <v>#N/A</v>
      </c>
      <c r="O237" t="e">
        <v>#N/A</v>
      </c>
      <c r="P237" s="8">
        <v>103.11</v>
      </c>
      <c r="Q237" s="1" t="e">
        <v>#N/A</v>
      </c>
      <c r="S237" t="str">
        <f t="shared" si="3"/>
        <v/>
      </c>
    </row>
    <row r="238" spans="1:19" x14ac:dyDescent="0.2">
      <c r="A238" s="1">
        <v>43709</v>
      </c>
      <c r="B238" s="9" t="e">
        <v>#N/A</v>
      </c>
      <c r="C238" s="8">
        <v>-0.59476190476190505</v>
      </c>
      <c r="D238">
        <v>1.2</v>
      </c>
      <c r="E238" t="e">
        <v>#N/A</v>
      </c>
      <c r="F238">
        <v>2.9</v>
      </c>
      <c r="G238" s="5">
        <v>970</v>
      </c>
      <c r="H238" t="e">
        <v>#N/A</v>
      </c>
      <c r="I238" s="4">
        <v>0.41188713908195496</v>
      </c>
      <c r="L238">
        <v>104.7</v>
      </c>
      <c r="M238">
        <v>96</v>
      </c>
      <c r="N238" t="e">
        <v>#N/A</v>
      </c>
      <c r="O238" t="e">
        <v>#N/A</v>
      </c>
      <c r="P238" s="8">
        <v>103.1902</v>
      </c>
      <c r="Q238" s="1" t="e">
        <v>#N/A</v>
      </c>
      <c r="S238" t="str">
        <f t="shared" si="3"/>
        <v/>
      </c>
    </row>
    <row r="239" spans="1:19" x14ac:dyDescent="0.2">
      <c r="A239" s="1">
        <v>43739</v>
      </c>
      <c r="B239" s="9">
        <v>410131</v>
      </c>
      <c r="C239" s="8">
        <v>-0.46954545454545499</v>
      </c>
      <c r="D239">
        <v>1.2</v>
      </c>
      <c r="E239">
        <v>37.200000000000003</v>
      </c>
      <c r="F239">
        <v>2.9</v>
      </c>
      <c r="G239" s="5">
        <v>984</v>
      </c>
      <c r="H239">
        <v>37.700000000000003</v>
      </c>
      <c r="I239" s="4">
        <v>0.36155721545219421</v>
      </c>
      <c r="L239">
        <v>104.1</v>
      </c>
      <c r="M239">
        <v>94.6</v>
      </c>
      <c r="N239">
        <v>103</v>
      </c>
      <c r="O239">
        <v>518295</v>
      </c>
      <c r="P239" s="8">
        <v>103.1255</v>
      </c>
      <c r="Q239" s="1" t="e">
        <v>#N/A</v>
      </c>
      <c r="S239" t="str">
        <f t="shared" si="3"/>
        <v>2019-Q4</v>
      </c>
    </row>
    <row r="240" spans="1:19" x14ac:dyDescent="0.2">
      <c r="A240" s="1">
        <v>43770</v>
      </c>
      <c r="B240" s="9" t="e">
        <v>#N/A</v>
      </c>
      <c r="C240" s="8">
        <v>-0.35238095238095202</v>
      </c>
      <c r="D240">
        <v>1.8</v>
      </c>
      <c r="E240" t="e">
        <v>#N/A</v>
      </c>
      <c r="F240">
        <v>3</v>
      </c>
      <c r="G240" s="5">
        <v>1001</v>
      </c>
      <c r="H240" t="e">
        <v>#N/A</v>
      </c>
      <c r="I240" s="4">
        <v>0.3125</v>
      </c>
      <c r="L240">
        <v>104.5</v>
      </c>
      <c r="M240">
        <v>95.3</v>
      </c>
      <c r="N240" t="e">
        <v>#N/A</v>
      </c>
      <c r="O240" t="e">
        <v>#N/A</v>
      </c>
      <c r="P240" s="8">
        <v>103.0932</v>
      </c>
      <c r="Q240" s="1" t="e">
        <v>#N/A</v>
      </c>
      <c r="S240" t="str">
        <f t="shared" si="3"/>
        <v/>
      </c>
    </row>
    <row r="241" spans="1:19" x14ac:dyDescent="0.2">
      <c r="A241" s="1">
        <v>43800</v>
      </c>
      <c r="B241" s="9" t="e">
        <v>#N/A</v>
      </c>
      <c r="C241" s="8">
        <v>-0.29944444444444401</v>
      </c>
      <c r="D241">
        <v>1.8</v>
      </c>
      <c r="E241" t="e">
        <v>#N/A</v>
      </c>
      <c r="F241">
        <v>3.1</v>
      </c>
      <c r="G241" s="5">
        <v>1021</v>
      </c>
      <c r="H241" t="e">
        <v>#N/A</v>
      </c>
      <c r="I241" s="4">
        <v>0.27181828022003174</v>
      </c>
      <c r="L241">
        <v>102</v>
      </c>
      <c r="M241">
        <v>96.1</v>
      </c>
      <c r="N241" t="e">
        <v>#N/A</v>
      </c>
      <c r="O241" t="e">
        <v>#N/A</v>
      </c>
      <c r="P241" s="8">
        <v>102.9669</v>
      </c>
      <c r="Q241" s="1" t="e">
        <v>#N/A</v>
      </c>
      <c r="S241" t="str">
        <f t="shared" si="3"/>
        <v/>
      </c>
    </row>
    <row r="242" spans="1:19" x14ac:dyDescent="0.2">
      <c r="A242" s="1">
        <v>43831</v>
      </c>
      <c r="B242" s="9">
        <v>418851</v>
      </c>
      <c r="C242" s="8">
        <v>-0.31363636363636399</v>
      </c>
      <c r="D242">
        <v>1.4</v>
      </c>
      <c r="E242">
        <v>37.9</v>
      </c>
      <c r="F242">
        <v>3.2</v>
      </c>
      <c r="G242" s="5">
        <v>1043</v>
      </c>
      <c r="H242" t="s">
        <v>25</v>
      </c>
      <c r="I242" s="4">
        <v>1.0236046314239502</v>
      </c>
      <c r="L242">
        <v>105.1</v>
      </c>
      <c r="M242">
        <v>96.2</v>
      </c>
      <c r="N242">
        <v>101</v>
      </c>
      <c r="O242">
        <v>457741</v>
      </c>
      <c r="P242" s="8">
        <v>104.4068</v>
      </c>
      <c r="Q242" s="1" t="s">
        <v>28</v>
      </c>
      <c r="S242" t="str">
        <f t="shared" si="3"/>
        <v>2020-Q1</v>
      </c>
    </row>
    <row r="243" spans="1:19" x14ac:dyDescent="0.2">
      <c r="A243" s="1">
        <v>43862</v>
      </c>
      <c r="B243" s="9" t="e">
        <v>#N/A</v>
      </c>
      <c r="C243" s="8">
        <v>-0.46600000000000003</v>
      </c>
      <c r="D243">
        <v>1.6</v>
      </c>
      <c r="E243" t="e">
        <v>#N/A</v>
      </c>
      <c r="F243">
        <v>3.3</v>
      </c>
      <c r="G243" s="5">
        <v>1073</v>
      </c>
      <c r="H243" t="e">
        <v>#N/A</v>
      </c>
      <c r="I243" s="4">
        <v>0.49041461944580078</v>
      </c>
      <c r="L243">
        <v>105.8</v>
      </c>
      <c r="M243">
        <v>96.6</v>
      </c>
      <c r="N243" t="e">
        <v>#N/A</v>
      </c>
      <c r="O243" t="e">
        <v>#N/A</v>
      </c>
      <c r="P243" s="8">
        <v>103.52979999999999</v>
      </c>
      <c r="Q243" s="1" t="e">
        <v>#N/A</v>
      </c>
      <c r="S243" t="str">
        <f t="shared" si="3"/>
        <v/>
      </c>
    </row>
    <row r="244" spans="1:19" x14ac:dyDescent="0.2">
      <c r="A244" s="1">
        <v>43891</v>
      </c>
      <c r="B244" s="9" t="e">
        <v>#N/A</v>
      </c>
      <c r="C244" s="8">
        <v>-0.54136363636363605</v>
      </c>
      <c r="D244">
        <v>1.5</v>
      </c>
      <c r="E244" t="e">
        <v>#N/A</v>
      </c>
      <c r="F244">
        <v>3.4</v>
      </c>
      <c r="G244" s="5">
        <v>1112</v>
      </c>
      <c r="H244" t="e">
        <v>#N/A</v>
      </c>
      <c r="I244" s="4">
        <v>0.32067728042602539</v>
      </c>
      <c r="L244">
        <v>95</v>
      </c>
      <c r="M244">
        <v>95.8</v>
      </c>
      <c r="N244" t="e">
        <v>#N/A</v>
      </c>
      <c r="O244" t="e">
        <v>#N/A</v>
      </c>
      <c r="P244" s="8">
        <v>101.3006</v>
      </c>
      <c r="Q244" s="1" t="e">
        <v>#N/A</v>
      </c>
      <c r="S244" t="str">
        <f t="shared" si="3"/>
        <v/>
      </c>
    </row>
    <row r="245" spans="1:19" x14ac:dyDescent="0.2">
      <c r="A245" s="1">
        <v>43922</v>
      </c>
      <c r="B245" s="9">
        <v>451680</v>
      </c>
      <c r="C245" s="8">
        <v>-0.44950000000000001</v>
      </c>
      <c r="D245">
        <v>1.6</v>
      </c>
      <c r="E245">
        <v>42.9</v>
      </c>
      <c r="F245">
        <v>3.5</v>
      </c>
      <c r="G245" s="5">
        <v>1157</v>
      </c>
      <c r="H245" t="s">
        <v>25</v>
      </c>
      <c r="I245" s="4">
        <v>0.25532704591751099</v>
      </c>
      <c r="L245">
        <v>74.7</v>
      </c>
      <c r="M245">
        <v>90.5</v>
      </c>
      <c r="N245">
        <v>94.7</v>
      </c>
      <c r="O245">
        <v>449524</v>
      </c>
      <c r="P245" s="8">
        <v>97.785790000000006</v>
      </c>
      <c r="Q245" s="1" t="e">
        <v>#N/A</v>
      </c>
      <c r="S245" t="str">
        <f t="shared" si="3"/>
        <v>2020-Q2</v>
      </c>
    </row>
    <row r="246" spans="1:19" x14ac:dyDescent="0.2">
      <c r="A246" s="1">
        <v>43952</v>
      </c>
      <c r="B246" s="9" t="e">
        <v>#N/A</v>
      </c>
      <c r="C246" s="8">
        <v>-0.51649999999999996</v>
      </c>
      <c r="D246">
        <v>1.6</v>
      </c>
      <c r="E246" t="e">
        <v>#N/A</v>
      </c>
      <c r="F246">
        <v>3.7</v>
      </c>
      <c r="G246" s="5">
        <v>1200</v>
      </c>
      <c r="H246" t="e">
        <v>#N/A</v>
      </c>
      <c r="I246" s="4">
        <v>0.3154289722442627</v>
      </c>
      <c r="L246">
        <v>83.1</v>
      </c>
      <c r="M246">
        <v>100.8</v>
      </c>
      <c r="N246" t="e">
        <v>#N/A</v>
      </c>
      <c r="O246" t="e">
        <v>#N/A</v>
      </c>
      <c r="P246" s="8">
        <v>96.688509999999994</v>
      </c>
      <c r="Q246" s="1" t="e">
        <v>#N/A</v>
      </c>
      <c r="S246" t="str">
        <f t="shared" si="3"/>
        <v/>
      </c>
    </row>
    <row r="247" spans="1:19" x14ac:dyDescent="0.2">
      <c r="A247" s="1">
        <v>43983</v>
      </c>
      <c r="B247" s="9" t="e">
        <v>#N/A</v>
      </c>
      <c r="C247" s="8">
        <v>-0.434285714285714</v>
      </c>
      <c r="D247">
        <v>1.6</v>
      </c>
      <c r="E247" t="e">
        <v>#N/A</v>
      </c>
      <c r="F247">
        <v>3.8</v>
      </c>
      <c r="G247" s="5">
        <v>1233</v>
      </c>
      <c r="H247" t="e">
        <v>#N/A</v>
      </c>
      <c r="I247" s="4">
        <v>0.26762643456459045</v>
      </c>
      <c r="L247">
        <v>92.6</v>
      </c>
      <c r="M247">
        <v>100.9</v>
      </c>
      <c r="N247" t="e">
        <v>#N/A</v>
      </c>
      <c r="O247" t="e">
        <v>#N/A</v>
      </c>
      <c r="P247" s="8">
        <v>98.343919999999997</v>
      </c>
      <c r="Q247" s="1" t="s">
        <v>28</v>
      </c>
      <c r="S247" t="str">
        <f t="shared" si="3"/>
        <v/>
      </c>
    </row>
    <row r="248" spans="1:19" x14ac:dyDescent="0.2">
      <c r="A248" s="1">
        <v>44013</v>
      </c>
      <c r="B248" s="9">
        <v>445580</v>
      </c>
      <c r="C248" s="8">
        <v>-0.52304347826087005</v>
      </c>
      <c r="D248">
        <v>0.7</v>
      </c>
      <c r="E248">
        <v>45</v>
      </c>
      <c r="F248">
        <v>3.8</v>
      </c>
      <c r="G248" s="5">
        <v>1253</v>
      </c>
      <c r="H248" t="s">
        <v>25</v>
      </c>
      <c r="I248" s="4">
        <v>0.20703001320362091</v>
      </c>
      <c r="L248">
        <v>94.7</v>
      </c>
      <c r="M248">
        <v>100</v>
      </c>
      <c r="N248">
        <v>96.2</v>
      </c>
      <c r="O248">
        <v>467072</v>
      </c>
      <c r="P248" s="8">
        <v>97.894549999999995</v>
      </c>
      <c r="Q248" s="1" t="e">
        <v>#N/A</v>
      </c>
      <c r="S248" t="str">
        <f t="shared" si="3"/>
        <v>2020-Q3</v>
      </c>
    </row>
    <row r="249" spans="1:19" x14ac:dyDescent="0.2">
      <c r="A249" s="1">
        <v>44044</v>
      </c>
      <c r="B249" s="9" t="e">
        <v>#N/A</v>
      </c>
      <c r="C249" s="8">
        <v>-0.52333333333333298</v>
      </c>
      <c r="D249">
        <v>0.7</v>
      </c>
      <c r="E249" t="e">
        <v>#N/A</v>
      </c>
      <c r="F249">
        <v>3.9</v>
      </c>
      <c r="G249" s="5">
        <v>1256</v>
      </c>
      <c r="H249" t="e">
        <v>#N/A</v>
      </c>
      <c r="I249" s="4">
        <v>0.43635067343711853</v>
      </c>
      <c r="L249">
        <v>94.7</v>
      </c>
      <c r="M249">
        <v>102</v>
      </c>
      <c r="N249" t="e">
        <v>#N/A</v>
      </c>
      <c r="O249" t="e">
        <v>#N/A</v>
      </c>
      <c r="P249" s="8">
        <v>97.502039999999994</v>
      </c>
      <c r="Q249" s="1" t="e">
        <v>#N/A</v>
      </c>
      <c r="S249" t="str">
        <f t="shared" si="3"/>
        <v/>
      </c>
    </row>
    <row r="250" spans="1:19" x14ac:dyDescent="0.2">
      <c r="A250" s="1">
        <v>44075</v>
      </c>
      <c r="B250" s="9" t="e">
        <v>#N/A</v>
      </c>
      <c r="C250" s="8">
        <v>-0.52409090909090905</v>
      </c>
      <c r="D250">
        <v>0.4</v>
      </c>
      <c r="E250" t="e">
        <v>#N/A</v>
      </c>
      <c r="F250">
        <v>3.8</v>
      </c>
      <c r="G250" s="5">
        <v>1251</v>
      </c>
      <c r="H250" t="e">
        <v>#N/A</v>
      </c>
      <c r="I250" s="4">
        <v>0.63183367252349854</v>
      </c>
      <c r="L250">
        <v>96.9</v>
      </c>
      <c r="M250">
        <v>101.5</v>
      </c>
      <c r="N250" t="e">
        <v>#N/A</v>
      </c>
      <c r="O250" t="e">
        <v>#N/A</v>
      </c>
      <c r="P250" s="8">
        <v>96.89152</v>
      </c>
      <c r="Q250" s="1" t="e">
        <v>#N/A</v>
      </c>
      <c r="S250" t="str">
        <f t="shared" si="3"/>
        <v/>
      </c>
    </row>
    <row r="251" spans="1:19" x14ac:dyDescent="0.2">
      <c r="A251" s="1">
        <v>44105</v>
      </c>
      <c r="B251" s="9">
        <v>447673</v>
      </c>
      <c r="C251" s="8">
        <v>-0.60727272727272696</v>
      </c>
      <c r="D251">
        <v>0.3</v>
      </c>
      <c r="E251">
        <v>44.3</v>
      </c>
      <c r="F251">
        <v>3.8</v>
      </c>
      <c r="G251" s="5">
        <v>1246</v>
      </c>
      <c r="H251" t="s">
        <v>25</v>
      </c>
      <c r="I251" s="4">
        <v>0.39650735259056091</v>
      </c>
      <c r="L251">
        <v>100.7</v>
      </c>
      <c r="M251">
        <v>103.3</v>
      </c>
      <c r="N251">
        <v>98.3</v>
      </c>
      <c r="O251">
        <v>519719</v>
      </c>
      <c r="P251" s="8">
        <v>97.066040000000001</v>
      </c>
      <c r="Q251" s="1" t="e">
        <v>#N/A</v>
      </c>
      <c r="S251" t="str">
        <f t="shared" si="3"/>
        <v>2020-Q4</v>
      </c>
    </row>
    <row r="252" spans="1:19" x14ac:dyDescent="0.2">
      <c r="A252" s="1">
        <v>44136</v>
      </c>
      <c r="B252" s="9" t="e">
        <v>#N/A</v>
      </c>
      <c r="C252" s="8">
        <v>-0.61476190476190495</v>
      </c>
      <c r="D252">
        <v>0.2</v>
      </c>
      <c r="E252" t="e">
        <v>#N/A</v>
      </c>
      <c r="F252">
        <v>3.8</v>
      </c>
      <c r="G252" s="5">
        <v>1246</v>
      </c>
      <c r="H252" t="e">
        <v>#N/A</v>
      </c>
      <c r="I252" s="4">
        <v>0.33038130402565002</v>
      </c>
      <c r="L252">
        <v>102</v>
      </c>
      <c r="M252">
        <v>104.3</v>
      </c>
      <c r="N252" t="e">
        <v>#N/A</v>
      </c>
      <c r="O252" t="e">
        <v>#N/A</v>
      </c>
      <c r="P252" s="8">
        <v>95.814880000000002</v>
      </c>
      <c r="Q252" s="1" t="s">
        <v>28</v>
      </c>
      <c r="S252" t="str">
        <f t="shared" si="3"/>
        <v/>
      </c>
    </row>
    <row r="253" spans="1:19" x14ac:dyDescent="0.2">
      <c r="A253" s="1">
        <v>44166</v>
      </c>
      <c r="B253" s="9" t="e">
        <v>#N/A</v>
      </c>
      <c r="C253" s="8">
        <v>-0.61850000000000005</v>
      </c>
      <c r="D253">
        <v>0</v>
      </c>
      <c r="E253" t="e">
        <v>#N/A</v>
      </c>
      <c r="F253">
        <v>3.8</v>
      </c>
      <c r="G253" s="5">
        <v>1258</v>
      </c>
      <c r="H253" t="e">
        <v>#N/A</v>
      </c>
      <c r="I253" s="4">
        <v>0.39660057425498962</v>
      </c>
      <c r="L253">
        <v>101.9</v>
      </c>
      <c r="M253">
        <v>99.9</v>
      </c>
      <c r="N253" t="e">
        <v>#N/A</v>
      </c>
      <c r="O253" t="e">
        <v>#N/A</v>
      </c>
      <c r="P253" s="8">
        <v>97.049869999999999</v>
      </c>
      <c r="Q253" s="1" t="e">
        <v>#N/A</v>
      </c>
      <c r="S253" t="str">
        <f t="shared" si="3"/>
        <v/>
      </c>
    </row>
    <row r="254" spans="1:19" x14ac:dyDescent="0.2">
      <c r="A254" s="1">
        <v>44197</v>
      </c>
      <c r="B254" s="9">
        <v>460988</v>
      </c>
      <c r="C254" s="8">
        <v>-0.58350000000000002</v>
      </c>
      <c r="D254">
        <v>2.1</v>
      </c>
      <c r="E254">
        <v>45</v>
      </c>
      <c r="F254">
        <v>3.9</v>
      </c>
      <c r="G254" s="5">
        <v>1277</v>
      </c>
      <c r="H254">
        <v>30</v>
      </c>
      <c r="I254" s="4">
        <v>0.29191914200782776</v>
      </c>
      <c r="L254">
        <v>101.6</v>
      </c>
      <c r="M254">
        <v>90.2</v>
      </c>
      <c r="N254">
        <v>98.6</v>
      </c>
      <c r="O254">
        <v>454561</v>
      </c>
      <c r="P254" s="8">
        <v>102.5399</v>
      </c>
      <c r="Q254" s="1" t="s">
        <v>31</v>
      </c>
      <c r="S254" t="str">
        <f t="shared" si="3"/>
        <v>2021-Q1</v>
      </c>
    </row>
    <row r="255" spans="1:19" x14ac:dyDescent="0.2">
      <c r="A255" s="1">
        <v>44228</v>
      </c>
      <c r="B255" s="9" t="e">
        <v>#N/A</v>
      </c>
      <c r="C255" s="8">
        <v>-0.44550000000000001</v>
      </c>
      <c r="D255">
        <v>1.7</v>
      </c>
      <c r="E255" t="e">
        <v>#N/A</v>
      </c>
      <c r="F255">
        <v>3.9</v>
      </c>
      <c r="G255" s="5">
        <v>1292</v>
      </c>
      <c r="H255" t="e">
        <v>#N/A</v>
      </c>
      <c r="I255" s="4">
        <v>0.40112119913101196</v>
      </c>
      <c r="L255">
        <v>99.5</v>
      </c>
      <c r="M255">
        <v>93.4</v>
      </c>
      <c r="N255" t="e">
        <v>#N/A</v>
      </c>
      <c r="O255" t="e">
        <v>#N/A</v>
      </c>
      <c r="P255" s="8">
        <v>104.0652</v>
      </c>
      <c r="Q255" s="1" t="e">
        <v>#N/A</v>
      </c>
      <c r="S255" t="str">
        <f t="shared" si="3"/>
        <v/>
      </c>
    </row>
    <row r="256" spans="1:19" x14ac:dyDescent="0.2">
      <c r="A256" s="1">
        <v>44256</v>
      </c>
      <c r="B256" s="9" t="e">
        <v>#N/A</v>
      </c>
      <c r="C256" s="8">
        <v>-0.36478260869565199</v>
      </c>
      <c r="D256">
        <v>1.7</v>
      </c>
      <c r="E256" t="e">
        <v>#N/A</v>
      </c>
      <c r="F256">
        <v>3.9</v>
      </c>
      <c r="G256" s="5">
        <v>1294</v>
      </c>
      <c r="H256" t="e">
        <v>#N/A</v>
      </c>
      <c r="I256" s="4">
        <v>0.37117904424667358</v>
      </c>
      <c r="L256">
        <v>100.9</v>
      </c>
      <c r="M256">
        <v>103.2</v>
      </c>
      <c r="N256" t="e">
        <v>#N/A</v>
      </c>
      <c r="O256" t="e">
        <v>#N/A</v>
      </c>
      <c r="P256" s="8">
        <v>106.4919</v>
      </c>
      <c r="Q256" s="1" t="e">
        <v>#N/A</v>
      </c>
      <c r="S256" t="str">
        <f t="shared" si="3"/>
        <v/>
      </c>
    </row>
    <row r="257" spans="1:19" x14ac:dyDescent="0.2">
      <c r="A257" s="1">
        <v>44287</v>
      </c>
      <c r="B257" s="9">
        <v>466043</v>
      </c>
      <c r="C257" s="8">
        <v>-0.32500000000000001</v>
      </c>
      <c r="D257">
        <v>1.3</v>
      </c>
      <c r="E257">
        <v>45.1</v>
      </c>
      <c r="F257">
        <v>3.8</v>
      </c>
      <c r="G257" s="5">
        <v>1282</v>
      </c>
      <c r="H257">
        <v>33.1</v>
      </c>
      <c r="I257" s="4">
        <v>0.47488245368003845</v>
      </c>
      <c r="L257">
        <v>101</v>
      </c>
      <c r="M257">
        <v>97.1</v>
      </c>
      <c r="N257">
        <v>100.8</v>
      </c>
      <c r="O257">
        <v>473510</v>
      </c>
      <c r="P257" s="8">
        <v>106.5403</v>
      </c>
      <c r="Q257" s="1" t="e">
        <v>#N/A</v>
      </c>
      <c r="S257" t="str">
        <f t="shared" si="3"/>
        <v>2021-Q2</v>
      </c>
    </row>
    <row r="258" spans="1:19" x14ac:dyDescent="0.2">
      <c r="A258" s="1">
        <v>44317</v>
      </c>
      <c r="B258" s="9" t="e">
        <v>#N/A</v>
      </c>
      <c r="C258" s="8">
        <v>-0.2235</v>
      </c>
      <c r="D258">
        <v>1.6</v>
      </c>
      <c r="E258" t="e">
        <v>#N/A</v>
      </c>
      <c r="F258">
        <v>3.7</v>
      </c>
      <c r="G258" s="5">
        <v>1257</v>
      </c>
      <c r="H258" t="e">
        <v>#N/A</v>
      </c>
      <c r="I258" s="4">
        <v>0.52703315019607544</v>
      </c>
      <c r="L258">
        <v>100.3</v>
      </c>
      <c r="M258">
        <v>100.1</v>
      </c>
      <c r="N258" t="e">
        <v>#N/A</v>
      </c>
      <c r="O258" t="e">
        <v>#N/A</v>
      </c>
      <c r="P258" s="8">
        <v>107.10639999999999</v>
      </c>
      <c r="Q258" s="1" t="e">
        <v>#N/A</v>
      </c>
      <c r="S258" t="str">
        <f t="shared" si="3"/>
        <v/>
      </c>
    </row>
    <row r="259" spans="1:19" x14ac:dyDescent="0.2">
      <c r="A259" s="1">
        <v>44348</v>
      </c>
      <c r="B259" s="9" t="e">
        <v>#N/A</v>
      </c>
      <c r="C259" s="8">
        <v>-0.28863636363636402</v>
      </c>
      <c r="D259">
        <v>1.3</v>
      </c>
      <c r="E259" t="e">
        <v>#N/A</v>
      </c>
      <c r="F259">
        <v>3.6</v>
      </c>
      <c r="G259" s="5">
        <v>1227</v>
      </c>
      <c r="H259" t="e">
        <v>#N/A</v>
      </c>
      <c r="I259" s="4">
        <v>0.38989973068237305</v>
      </c>
      <c r="L259">
        <v>98.3</v>
      </c>
      <c r="M259">
        <v>106.2</v>
      </c>
      <c r="N259" t="e">
        <v>#N/A</v>
      </c>
      <c r="O259" t="e">
        <v>#N/A</v>
      </c>
      <c r="P259" s="8">
        <v>108.0581</v>
      </c>
      <c r="Q259" s="1" t="e">
        <v>#N/A</v>
      </c>
      <c r="S259" t="str">
        <f t="shared" ref="S259:S313" si="4">IF(MONTH($A259) = 1, YEAR($A259)&amp;"-Q"&amp;MONTH($A259), IF(MONTH($A259) = 4, YEAR($A259)&amp;"-Q2", IF(MONTH($A259) = 7, YEAR($A259)&amp;"-Q3", IF(MONTH($A259) = 10, YEAR($A259)&amp;"-Q4",""))))</f>
        <v/>
      </c>
    </row>
    <row r="260" spans="1:19" x14ac:dyDescent="0.2">
      <c r="A260" s="1">
        <v>44378</v>
      </c>
      <c r="B260" s="9">
        <v>462887</v>
      </c>
      <c r="C260" s="8">
        <v>-0.45136363636363602</v>
      </c>
      <c r="D260">
        <v>2.1</v>
      </c>
      <c r="E260">
        <v>45.2</v>
      </c>
      <c r="F260">
        <v>3.5</v>
      </c>
      <c r="G260" s="5">
        <v>1200</v>
      </c>
      <c r="H260">
        <v>35</v>
      </c>
      <c r="I260" s="4">
        <v>0.21511158347129822</v>
      </c>
      <c r="L260">
        <v>100.3</v>
      </c>
      <c r="M260">
        <v>99.8</v>
      </c>
      <c r="N260">
        <v>98.8</v>
      </c>
      <c r="O260">
        <v>490030</v>
      </c>
      <c r="P260" s="8">
        <v>109.5014</v>
      </c>
      <c r="Q260" s="1" t="e">
        <v>#N/A</v>
      </c>
      <c r="S260" t="str">
        <f t="shared" si="4"/>
        <v>2021-Q3</v>
      </c>
    </row>
    <row r="261" spans="1:19" x14ac:dyDescent="0.2">
      <c r="A261" s="1">
        <v>44409</v>
      </c>
      <c r="B261" s="9" t="e">
        <v>#N/A</v>
      </c>
      <c r="C261" s="8">
        <v>-0.53863636363636402</v>
      </c>
      <c r="D261">
        <v>2.4</v>
      </c>
      <c r="E261" t="e">
        <v>#N/A</v>
      </c>
      <c r="F261">
        <v>3.4</v>
      </c>
      <c r="G261" s="5">
        <v>1182</v>
      </c>
      <c r="H261" t="e">
        <v>#N/A</v>
      </c>
      <c r="I261" s="4">
        <v>0.44412261247634888</v>
      </c>
      <c r="L261">
        <v>95</v>
      </c>
      <c r="M261">
        <v>101.8</v>
      </c>
      <c r="N261" t="e">
        <v>#N/A</v>
      </c>
      <c r="O261" t="e">
        <v>#N/A</v>
      </c>
      <c r="P261" s="8">
        <v>110.1495</v>
      </c>
      <c r="Q261" s="1" t="e">
        <v>#N/A</v>
      </c>
      <c r="S261" t="str">
        <f t="shared" si="4"/>
        <v/>
      </c>
    </row>
    <row r="262" spans="1:19" x14ac:dyDescent="0.2">
      <c r="A262" s="1">
        <v>44440</v>
      </c>
      <c r="B262" s="9" t="e">
        <v>#N/A</v>
      </c>
      <c r="C262" s="8">
        <v>-0.36272727272727301</v>
      </c>
      <c r="D262">
        <v>2.9</v>
      </c>
      <c r="E262" t="e">
        <v>#N/A</v>
      </c>
      <c r="F262">
        <v>3.4</v>
      </c>
      <c r="G262" s="5">
        <v>1176</v>
      </c>
      <c r="H262" t="e">
        <v>#N/A</v>
      </c>
      <c r="I262" s="4">
        <v>0.23408240079879761</v>
      </c>
      <c r="L262">
        <v>95.7</v>
      </c>
      <c r="M262">
        <v>100.1</v>
      </c>
      <c r="N262" t="e">
        <v>#N/A</v>
      </c>
      <c r="O262" t="e">
        <v>#N/A</v>
      </c>
      <c r="P262" s="8">
        <v>110.7007</v>
      </c>
      <c r="Q262" s="1" t="e">
        <v>#N/A</v>
      </c>
      <c r="S262" t="str">
        <f t="shared" si="4"/>
        <v/>
      </c>
    </row>
    <row r="263" spans="1:19" x14ac:dyDescent="0.2">
      <c r="A263" s="1">
        <v>44470</v>
      </c>
      <c r="B263" s="9">
        <v>475901</v>
      </c>
      <c r="C263" s="8">
        <v>-0.20428571428571399</v>
      </c>
      <c r="D263">
        <v>3</v>
      </c>
      <c r="E263">
        <v>45.7</v>
      </c>
      <c r="F263">
        <v>3.4</v>
      </c>
      <c r="G263" s="5">
        <v>1175</v>
      </c>
      <c r="H263">
        <v>33.200000000000003</v>
      </c>
      <c r="I263" s="4">
        <v>0.29573866724967957</v>
      </c>
      <c r="L263">
        <v>99.3</v>
      </c>
      <c r="M263">
        <v>102.6</v>
      </c>
      <c r="N263">
        <v>100.5</v>
      </c>
      <c r="O263">
        <v>544931</v>
      </c>
      <c r="P263" s="8">
        <v>114.72320000000001</v>
      </c>
      <c r="Q263" s="1" t="e">
        <v>#N/A</v>
      </c>
      <c r="S263" t="str">
        <f t="shared" si="4"/>
        <v>2021-Q4</v>
      </c>
    </row>
    <row r="264" spans="1:19" x14ac:dyDescent="0.2">
      <c r="A264" s="1">
        <v>44501</v>
      </c>
      <c r="B264" s="9" t="e">
        <v>#N/A</v>
      </c>
      <c r="C264" s="8">
        <v>-0.31363636363636399</v>
      </c>
      <c r="D264">
        <v>4.0999999999999996</v>
      </c>
      <c r="E264" t="e">
        <v>#N/A</v>
      </c>
      <c r="F264">
        <v>3.4</v>
      </c>
      <c r="G264" s="5">
        <v>1175</v>
      </c>
      <c r="H264" t="e">
        <v>#N/A</v>
      </c>
      <c r="I264" s="4">
        <v>0.72020846605300903</v>
      </c>
      <c r="L264">
        <v>99.7</v>
      </c>
      <c r="M264">
        <v>103.4</v>
      </c>
      <c r="N264" t="e">
        <v>#N/A</v>
      </c>
      <c r="O264" t="e">
        <v>#N/A</v>
      </c>
      <c r="P264" s="8">
        <v>117.0548</v>
      </c>
      <c r="Q264" s="1" t="s">
        <v>28</v>
      </c>
      <c r="S264" t="str">
        <f t="shared" si="4"/>
        <v/>
      </c>
    </row>
    <row r="265" spans="1:19" x14ac:dyDescent="0.2">
      <c r="A265" s="1">
        <v>44531</v>
      </c>
      <c r="B265" s="9" t="e">
        <v>#N/A</v>
      </c>
      <c r="C265" s="8">
        <v>-0.38428571428571401</v>
      </c>
      <c r="D265">
        <v>4.0999999999999996</v>
      </c>
      <c r="E265" t="e">
        <v>#N/A</v>
      </c>
      <c r="F265">
        <v>3.4</v>
      </c>
      <c r="G265" s="5">
        <v>1170</v>
      </c>
      <c r="H265" t="e">
        <v>#N/A</v>
      </c>
      <c r="I265" s="4">
        <v>0.86398422718048096</v>
      </c>
      <c r="L265">
        <v>100.9</v>
      </c>
      <c r="M265">
        <v>102.1</v>
      </c>
      <c r="N265" t="e">
        <v>#N/A</v>
      </c>
      <c r="O265" t="e">
        <v>#N/A</v>
      </c>
      <c r="P265" s="8">
        <v>114.967</v>
      </c>
      <c r="Q265" s="1" t="s">
        <v>28</v>
      </c>
      <c r="S265" t="str">
        <f t="shared" si="4"/>
        <v/>
      </c>
    </row>
    <row r="266" spans="1:19" x14ac:dyDescent="0.2">
      <c r="A266" s="1">
        <v>44562</v>
      </c>
      <c r="B266" s="9">
        <v>464485</v>
      </c>
      <c r="C266" s="8">
        <v>-0.114761904761905</v>
      </c>
      <c r="D266">
        <v>3.2</v>
      </c>
      <c r="E266">
        <v>44.8</v>
      </c>
      <c r="F266">
        <v>3.3</v>
      </c>
      <c r="G266" s="5">
        <v>1156</v>
      </c>
      <c r="H266">
        <v>36.299999999999997</v>
      </c>
      <c r="I266" s="4">
        <v>1.2410316467285156</v>
      </c>
      <c r="L266">
        <v>100.8</v>
      </c>
      <c r="M266">
        <v>103.1</v>
      </c>
      <c r="N266">
        <v>101.3</v>
      </c>
      <c r="O266">
        <v>488285</v>
      </c>
      <c r="P266" s="8">
        <v>122.0406</v>
      </c>
      <c r="Q266" s="1" t="e">
        <v>#N/A</v>
      </c>
      <c r="S266" t="str">
        <f t="shared" si="4"/>
        <v>2022-Q1</v>
      </c>
    </row>
    <row r="267" spans="1:19" x14ac:dyDescent="0.2">
      <c r="A267" s="1">
        <v>44593</v>
      </c>
      <c r="B267" s="9" t="e">
        <v>#N/A</v>
      </c>
      <c r="C267" s="8">
        <v>0.15</v>
      </c>
      <c r="D267">
        <v>3.3</v>
      </c>
      <c r="E267" t="e">
        <v>#N/A</v>
      </c>
      <c r="F267">
        <v>3.2</v>
      </c>
      <c r="G267" s="5">
        <v>1136</v>
      </c>
      <c r="H267" t="e">
        <v>#N/A</v>
      </c>
      <c r="I267" s="4">
        <v>2.5722339153289795</v>
      </c>
      <c r="L267">
        <v>101.1</v>
      </c>
      <c r="M267">
        <v>103.5</v>
      </c>
      <c r="N267" t="e">
        <v>#N/A</v>
      </c>
      <c r="O267" t="e">
        <v>#N/A</v>
      </c>
      <c r="P267" s="8">
        <v>126.07769999999999</v>
      </c>
      <c r="Q267" s="1" t="e">
        <v>#N/A</v>
      </c>
      <c r="S267" t="str">
        <f t="shared" si="4"/>
        <v/>
      </c>
    </row>
    <row r="268" spans="1:19" x14ac:dyDescent="0.2">
      <c r="A268" s="1">
        <v>44621</v>
      </c>
      <c r="B268" s="9" t="e">
        <v>#N/A</v>
      </c>
      <c r="C268" s="8">
        <v>0.28173913043478299</v>
      </c>
      <c r="D268">
        <v>3.7</v>
      </c>
      <c r="E268" t="e">
        <v>#N/A</v>
      </c>
      <c r="F268">
        <v>3.2</v>
      </c>
      <c r="G268" s="5">
        <v>1114</v>
      </c>
      <c r="H268" t="e">
        <v>#N/A</v>
      </c>
      <c r="I268" s="4">
        <v>2.6624939441680908</v>
      </c>
      <c r="L268">
        <v>95.7</v>
      </c>
      <c r="M268">
        <v>104</v>
      </c>
      <c r="N268" t="e">
        <v>#N/A</v>
      </c>
      <c r="O268" t="e">
        <v>#N/A</v>
      </c>
      <c r="P268" s="8">
        <v>144.14619999999999</v>
      </c>
      <c r="Q268" s="1" t="e">
        <v>#N/A</v>
      </c>
      <c r="S268" t="str">
        <f t="shared" si="4"/>
        <v/>
      </c>
    </row>
    <row r="269" spans="1:19" x14ac:dyDescent="0.2">
      <c r="A269" s="1">
        <v>44652</v>
      </c>
      <c r="B269" s="9">
        <v>466936</v>
      </c>
      <c r="C269" s="8">
        <v>0.74631578947368404</v>
      </c>
      <c r="D269">
        <v>4.4000000000000004</v>
      </c>
      <c r="E269">
        <v>44.9</v>
      </c>
      <c r="F269">
        <v>3.1</v>
      </c>
      <c r="G269" s="5">
        <v>1097</v>
      </c>
      <c r="H269">
        <v>34.9</v>
      </c>
      <c r="I269" s="4">
        <v>1.6738598346710205</v>
      </c>
      <c r="L269">
        <v>97.7</v>
      </c>
      <c r="M269">
        <v>100</v>
      </c>
      <c r="N269">
        <v>101.3</v>
      </c>
      <c r="O269">
        <v>502359</v>
      </c>
      <c r="P269" s="8">
        <v>141.04599999999999</v>
      </c>
      <c r="Q269" s="1" t="e">
        <v>#N/A</v>
      </c>
      <c r="S269" t="str">
        <f t="shared" si="4"/>
        <v>2022-Q2</v>
      </c>
    </row>
    <row r="270" spans="1:19" x14ac:dyDescent="0.2">
      <c r="A270" s="1">
        <v>44682</v>
      </c>
      <c r="B270" s="9" t="e">
        <v>#N/A</v>
      </c>
      <c r="C270" s="8">
        <v>0.95272727272727298</v>
      </c>
      <c r="D270">
        <v>5</v>
      </c>
      <c r="E270" t="e">
        <v>#N/A</v>
      </c>
      <c r="F270">
        <v>3.1</v>
      </c>
      <c r="G270" s="5">
        <v>1088</v>
      </c>
      <c r="H270" t="e">
        <v>#N/A</v>
      </c>
      <c r="I270" s="4">
        <v>1.0469130277633667</v>
      </c>
      <c r="L270">
        <v>99.2</v>
      </c>
      <c r="M270">
        <v>99.8</v>
      </c>
      <c r="N270" t="e">
        <v>#N/A</v>
      </c>
      <c r="O270" t="e">
        <v>#N/A</v>
      </c>
      <c r="P270" s="8">
        <v>144.83760000000001</v>
      </c>
      <c r="Q270" s="1" t="e">
        <v>#N/A</v>
      </c>
      <c r="S270" t="str">
        <f t="shared" si="4"/>
        <v/>
      </c>
    </row>
    <row r="271" spans="1:19" x14ac:dyDescent="0.2">
      <c r="A271" s="1">
        <v>44713</v>
      </c>
      <c r="B271" s="9" t="e">
        <v>#N/A</v>
      </c>
      <c r="C271" s="8">
        <v>1.4450000000000001</v>
      </c>
      <c r="D271">
        <v>4.5</v>
      </c>
      <c r="E271" t="e">
        <v>#N/A</v>
      </c>
      <c r="F271">
        <v>3.1</v>
      </c>
      <c r="G271" s="5">
        <v>1089</v>
      </c>
      <c r="H271" t="e">
        <v>#N/A</v>
      </c>
      <c r="I271" s="4">
        <v>1.2832587957382202</v>
      </c>
      <c r="L271">
        <v>99.5</v>
      </c>
      <c r="M271">
        <v>98.2</v>
      </c>
      <c r="N271" t="e">
        <v>#N/A</v>
      </c>
      <c r="O271" t="e">
        <v>#N/A</v>
      </c>
      <c r="P271" s="8">
        <v>144.42240000000001</v>
      </c>
      <c r="Q271" s="1" t="e">
        <v>#N/A</v>
      </c>
      <c r="S271" t="str">
        <f t="shared" si="4"/>
        <v/>
      </c>
    </row>
    <row r="272" spans="1:19" x14ac:dyDescent="0.2">
      <c r="A272" s="1">
        <v>44743</v>
      </c>
      <c r="B272" s="9">
        <v>491495</v>
      </c>
      <c r="C272" s="8">
        <v>1.0819047619047599</v>
      </c>
      <c r="D272">
        <v>4.9000000000000004</v>
      </c>
      <c r="E272">
        <v>45</v>
      </c>
      <c r="F272">
        <v>3.1</v>
      </c>
      <c r="G272" s="5">
        <v>1095</v>
      </c>
      <c r="H272">
        <v>32.200000000000003</v>
      </c>
      <c r="I272" s="4">
        <v>0.89462065696716309</v>
      </c>
      <c r="L272">
        <v>99.6</v>
      </c>
      <c r="M272">
        <v>98.2</v>
      </c>
      <c r="N272">
        <v>101.8</v>
      </c>
      <c r="O272">
        <v>513564</v>
      </c>
      <c r="P272" s="8">
        <v>141.07259999999999</v>
      </c>
      <c r="Q272" s="1" t="e">
        <v>#N/A</v>
      </c>
      <c r="S272" t="str">
        <f t="shared" si="4"/>
        <v>2022-Q3</v>
      </c>
    </row>
    <row r="273" spans="1:19" x14ac:dyDescent="0.2">
      <c r="A273" s="1">
        <v>44774</v>
      </c>
      <c r="B273" s="9" t="e">
        <v>#N/A</v>
      </c>
      <c r="C273" s="8">
        <v>1.0343478260869601</v>
      </c>
      <c r="D273">
        <v>5.3</v>
      </c>
      <c r="E273" t="e">
        <v>#N/A</v>
      </c>
      <c r="F273">
        <v>3.1</v>
      </c>
      <c r="G273" s="5">
        <v>1102</v>
      </c>
      <c r="H273" t="e">
        <v>#N/A</v>
      </c>
      <c r="I273" s="4">
        <v>0.60990053415298462</v>
      </c>
      <c r="L273">
        <v>98.3</v>
      </c>
      <c r="M273">
        <v>97.6</v>
      </c>
      <c r="N273" t="e">
        <v>#N/A</v>
      </c>
      <c r="O273" t="e">
        <v>#N/A</v>
      </c>
      <c r="P273" s="8">
        <v>141.12729999999999</v>
      </c>
      <c r="Q273" s="1" t="e">
        <v>#N/A</v>
      </c>
      <c r="S273" t="str">
        <f t="shared" si="4"/>
        <v/>
      </c>
    </row>
    <row r="274" spans="1:19" x14ac:dyDescent="0.2">
      <c r="A274" s="1">
        <v>44805</v>
      </c>
      <c r="B274" s="9" t="e">
        <v>#N/A</v>
      </c>
      <c r="C274" s="8">
        <v>1.7954545454545501</v>
      </c>
      <c r="D274">
        <v>6.5</v>
      </c>
      <c r="E274" t="e">
        <v>#N/A</v>
      </c>
      <c r="F274">
        <v>3.2</v>
      </c>
      <c r="G274" s="5">
        <v>1104</v>
      </c>
      <c r="H274" t="e">
        <v>#N/A</v>
      </c>
      <c r="I274" s="4">
        <v>0.98969072103500366</v>
      </c>
      <c r="L274">
        <v>100.4</v>
      </c>
      <c r="M274">
        <v>99.6</v>
      </c>
      <c r="N274" t="e">
        <v>#N/A</v>
      </c>
      <c r="O274" t="e">
        <v>#N/A</v>
      </c>
      <c r="P274" s="8">
        <v>151.93559999999999</v>
      </c>
      <c r="Q274" s="1" t="e">
        <v>#N/A</v>
      </c>
      <c r="S274" t="str">
        <f t="shared" si="4"/>
        <v/>
      </c>
    </row>
    <row r="275" spans="1:19" x14ac:dyDescent="0.2">
      <c r="A275" s="1">
        <v>44835</v>
      </c>
      <c r="B275" s="9">
        <v>516292</v>
      </c>
      <c r="C275" s="8">
        <v>2.1866666666666701</v>
      </c>
      <c r="D275">
        <v>7.2</v>
      </c>
      <c r="E275">
        <v>44.6</v>
      </c>
      <c r="F275">
        <v>3.1</v>
      </c>
      <c r="G275" s="5">
        <v>1101</v>
      </c>
      <c r="H275">
        <v>31</v>
      </c>
      <c r="I275" s="4">
        <v>0.84062254428863525</v>
      </c>
      <c r="L275">
        <v>99.2</v>
      </c>
      <c r="M275">
        <v>95.8</v>
      </c>
      <c r="N275">
        <v>101</v>
      </c>
      <c r="O275">
        <v>577445</v>
      </c>
      <c r="P275" s="8">
        <v>156.13669999999999</v>
      </c>
      <c r="Q275" s="1" t="s">
        <v>28</v>
      </c>
      <c r="S275" t="str">
        <f t="shared" si="4"/>
        <v>2022-Q4</v>
      </c>
    </row>
    <row r="276" spans="1:19" x14ac:dyDescent="0.2">
      <c r="A276" s="1">
        <v>44866</v>
      </c>
      <c r="B276" s="9" t="e">
        <v>#N/A</v>
      </c>
      <c r="C276" s="8">
        <v>2.06636363636364</v>
      </c>
      <c r="D276">
        <v>7.4</v>
      </c>
      <c r="E276" t="e">
        <v>#N/A</v>
      </c>
      <c r="F276">
        <v>3.1</v>
      </c>
      <c r="G276" s="5">
        <v>1092</v>
      </c>
      <c r="H276" t="e">
        <v>#N/A</v>
      </c>
      <c r="I276" s="4">
        <v>0.70129424333572388</v>
      </c>
      <c r="L276">
        <v>100</v>
      </c>
      <c r="M276">
        <v>96.8</v>
      </c>
      <c r="N276" t="e">
        <v>#N/A</v>
      </c>
      <c r="O276" t="e">
        <v>#N/A</v>
      </c>
      <c r="P276" s="8">
        <v>155.24549999999999</v>
      </c>
      <c r="Q276" s="1" t="s">
        <v>28</v>
      </c>
      <c r="S276" t="str">
        <f t="shared" si="4"/>
        <v/>
      </c>
    </row>
    <row r="277" spans="1:19" x14ac:dyDescent="0.2">
      <c r="A277" s="1">
        <v>44896</v>
      </c>
      <c r="B277" s="9" t="e">
        <v>#N/A</v>
      </c>
      <c r="C277" s="8">
        <v>2.0852380952381</v>
      </c>
      <c r="D277">
        <v>7.5</v>
      </c>
      <c r="E277" t="e">
        <v>#N/A</v>
      </c>
      <c r="F277">
        <v>3.1</v>
      </c>
      <c r="G277" s="5">
        <v>1078</v>
      </c>
      <c r="H277" t="e">
        <v>#N/A</v>
      </c>
      <c r="I277" s="4">
        <v>0.5207364559173584</v>
      </c>
      <c r="L277">
        <v>97.8</v>
      </c>
      <c r="M277">
        <v>96</v>
      </c>
      <c r="N277" t="e">
        <v>#N/A</v>
      </c>
      <c r="O277" t="e">
        <v>#N/A</v>
      </c>
      <c r="P277" s="8">
        <v>139.6104</v>
      </c>
      <c r="Q277" s="1" t="e">
        <v>#N/A</v>
      </c>
      <c r="S277" t="str">
        <f t="shared" si="4"/>
        <v/>
      </c>
    </row>
    <row r="278" spans="1:19" x14ac:dyDescent="0.2">
      <c r="A278" s="1">
        <v>44927</v>
      </c>
      <c r="B278" s="9">
        <v>496660</v>
      </c>
      <c r="C278" s="8">
        <v>2.1927272727272702</v>
      </c>
      <c r="D278">
        <v>7.2</v>
      </c>
      <c r="E278">
        <v>44.4</v>
      </c>
      <c r="F278">
        <v>3</v>
      </c>
      <c r="G278" s="5">
        <v>1064</v>
      </c>
      <c r="H278">
        <v>32.5</v>
      </c>
      <c r="I278" s="4">
        <v>0.89714431762695312</v>
      </c>
      <c r="L278">
        <v>99.2</v>
      </c>
      <c r="M278">
        <v>96.5</v>
      </c>
      <c r="N278">
        <v>102.1</v>
      </c>
      <c r="O278">
        <v>520999</v>
      </c>
      <c r="P278" s="8">
        <v>151.36240000000001</v>
      </c>
      <c r="Q278" s="1" t="e">
        <v>#N/A</v>
      </c>
      <c r="S278" t="str">
        <f t="shared" si="4"/>
        <v>2023-Q1</v>
      </c>
    </row>
    <row r="279" spans="1:19" x14ac:dyDescent="0.2">
      <c r="A279" s="1">
        <v>44958</v>
      </c>
      <c r="B279" s="9" t="e">
        <v>#N/A</v>
      </c>
      <c r="C279" s="8">
        <v>2.3704999999999998</v>
      </c>
      <c r="D279">
        <v>7.8</v>
      </c>
      <c r="E279" t="e">
        <v>#N/A</v>
      </c>
      <c r="F279">
        <v>3</v>
      </c>
      <c r="G279" s="5">
        <v>1051</v>
      </c>
      <c r="H279" t="e">
        <v>#N/A</v>
      </c>
      <c r="I279" s="4">
        <v>0.8005337119102478</v>
      </c>
      <c r="L279">
        <v>101.5</v>
      </c>
      <c r="M279">
        <v>96.7</v>
      </c>
      <c r="N279" t="e">
        <v>#N/A</v>
      </c>
      <c r="O279" t="e">
        <v>#N/A</v>
      </c>
      <c r="P279" s="8">
        <v>151.26750000000001</v>
      </c>
      <c r="Q279" s="1" t="s">
        <v>31</v>
      </c>
      <c r="S279" t="str">
        <f t="shared" si="4"/>
        <v/>
      </c>
    </row>
    <row r="280" spans="1:19" x14ac:dyDescent="0.2">
      <c r="A280" s="1">
        <v>44986</v>
      </c>
      <c r="B280" s="9" t="e">
        <v>#N/A</v>
      </c>
      <c r="C280" s="8">
        <v>2.3834782608695702</v>
      </c>
      <c r="D280">
        <v>8.3000000000000007</v>
      </c>
      <c r="E280" t="e">
        <v>#N/A</v>
      </c>
      <c r="F280">
        <v>3</v>
      </c>
      <c r="G280" s="5">
        <v>1043</v>
      </c>
      <c r="H280" t="e">
        <v>#N/A</v>
      </c>
      <c r="I280" s="4">
        <v>0.63686758279800415</v>
      </c>
      <c r="L280">
        <v>99.1</v>
      </c>
      <c r="M280">
        <v>95.4</v>
      </c>
      <c r="N280" t="e">
        <v>#N/A</v>
      </c>
      <c r="O280" t="e">
        <v>#N/A</v>
      </c>
      <c r="P280" s="8">
        <v>151.32159999999999</v>
      </c>
      <c r="Q280" s="1" t="e">
        <v>#N/A</v>
      </c>
      <c r="S280" t="str">
        <f t="shared" si="4"/>
        <v/>
      </c>
    </row>
    <row r="281" spans="1:19" x14ac:dyDescent="0.2">
      <c r="A281" s="1">
        <v>45017</v>
      </c>
      <c r="B281" s="9">
        <v>501717</v>
      </c>
      <c r="C281" s="8">
        <v>2.3594444444444398</v>
      </c>
      <c r="D281">
        <v>7.6</v>
      </c>
      <c r="E281">
        <v>44</v>
      </c>
      <c r="F281">
        <v>3</v>
      </c>
      <c r="G281" s="5">
        <v>1042</v>
      </c>
      <c r="H281">
        <v>32.1</v>
      </c>
      <c r="I281" s="4">
        <v>0.60959792137145996</v>
      </c>
      <c r="L281">
        <v>98.1</v>
      </c>
      <c r="M281">
        <v>95.8</v>
      </c>
      <c r="N281">
        <v>102.2</v>
      </c>
      <c r="O281">
        <v>538096</v>
      </c>
      <c r="P281" s="8">
        <v>152.30090000000001</v>
      </c>
      <c r="Q281" s="1" t="s">
        <v>28</v>
      </c>
      <c r="S281" t="str">
        <f t="shared" si="4"/>
        <v>2023-Q2</v>
      </c>
    </row>
    <row r="282" spans="1:19" x14ac:dyDescent="0.2">
      <c r="A282" s="1">
        <v>45047</v>
      </c>
      <c r="B282" s="9" t="e">
        <v>#N/A</v>
      </c>
      <c r="C282" s="8">
        <v>2.3422727272727299</v>
      </c>
      <c r="D282">
        <v>6.7</v>
      </c>
      <c r="E282" t="e">
        <v>#N/A</v>
      </c>
      <c r="F282">
        <v>3</v>
      </c>
      <c r="G282" s="5">
        <v>1048</v>
      </c>
      <c r="H282" t="e">
        <v>#N/A</v>
      </c>
      <c r="I282" s="4">
        <v>0.61795711517333984</v>
      </c>
      <c r="L282">
        <v>99.7</v>
      </c>
      <c r="M282">
        <v>97.8</v>
      </c>
      <c r="N282" t="e">
        <v>#N/A</v>
      </c>
      <c r="O282" t="e">
        <v>#N/A</v>
      </c>
      <c r="P282" s="8">
        <v>150.2208</v>
      </c>
      <c r="Q282" s="1" t="e">
        <v>#N/A</v>
      </c>
      <c r="S282" t="str">
        <f t="shared" si="4"/>
        <v/>
      </c>
    </row>
    <row r="283" spans="1:19" x14ac:dyDescent="0.2">
      <c r="A283" s="1">
        <v>45078</v>
      </c>
      <c r="B283" s="9" t="e">
        <v>#N/A</v>
      </c>
      <c r="C283" s="8">
        <v>2.37636363636364</v>
      </c>
      <c r="D283">
        <v>7.4</v>
      </c>
      <c r="E283" t="e">
        <v>#N/A</v>
      </c>
      <c r="F283">
        <v>3</v>
      </c>
      <c r="G283" s="5">
        <v>1058</v>
      </c>
      <c r="H283" t="e">
        <v>#N/A</v>
      </c>
      <c r="I283" s="4">
        <v>0.69729036092758179</v>
      </c>
      <c r="L283">
        <v>97.3</v>
      </c>
      <c r="M283">
        <v>97.7</v>
      </c>
      <c r="N283" t="e">
        <v>#N/A</v>
      </c>
      <c r="O283" t="e">
        <v>#N/A</v>
      </c>
      <c r="P283" s="8">
        <v>149.8725</v>
      </c>
      <c r="Q283" s="1" t="e">
        <v>#N/A</v>
      </c>
      <c r="S283" t="str">
        <f t="shared" si="4"/>
        <v/>
      </c>
    </row>
    <row r="284" spans="1:19" x14ac:dyDescent="0.2">
      <c r="A284" s="1">
        <v>45108</v>
      </c>
      <c r="B284" s="9">
        <v>512364</v>
      </c>
      <c r="C284" s="8">
        <v>2.4566666666666701</v>
      </c>
      <c r="D284">
        <v>7</v>
      </c>
      <c r="E284">
        <v>44.5</v>
      </c>
      <c r="F284">
        <v>3.1</v>
      </c>
      <c r="G284" s="5">
        <v>1073</v>
      </c>
      <c r="H284">
        <v>29.5</v>
      </c>
      <c r="I284" s="4">
        <v>0.70789867639541626</v>
      </c>
      <c r="L284">
        <v>96.5</v>
      </c>
      <c r="M284">
        <v>96.6</v>
      </c>
      <c r="N284">
        <v>102.3</v>
      </c>
      <c r="O284">
        <v>550313</v>
      </c>
      <c r="P284" s="8">
        <v>149.8639</v>
      </c>
      <c r="Q284" s="1" t="e">
        <v>#N/A</v>
      </c>
      <c r="S284" t="str">
        <f t="shared" si="4"/>
        <v>2023-Q3</v>
      </c>
    </row>
    <row r="285" spans="1:19" x14ac:dyDescent="0.2">
      <c r="A285" s="1">
        <v>45139</v>
      </c>
      <c r="B285" s="9" t="e">
        <v>#N/A</v>
      </c>
      <c r="C285" s="8">
        <v>2.54565217391304</v>
      </c>
      <c r="D285">
        <v>6.8</v>
      </c>
      <c r="E285" t="e">
        <v>#N/A</v>
      </c>
      <c r="F285">
        <v>3.1</v>
      </c>
      <c r="G285" s="5">
        <v>1089</v>
      </c>
      <c r="H285" t="e">
        <v>#N/A</v>
      </c>
      <c r="I285" s="4">
        <v>0.47931075096130371</v>
      </c>
      <c r="L285">
        <v>96</v>
      </c>
      <c r="M285">
        <v>95.6</v>
      </c>
      <c r="N285" t="e">
        <v>#N/A</v>
      </c>
      <c r="O285" t="e">
        <v>#N/A</v>
      </c>
      <c r="P285" s="8">
        <v>152.81899999999999</v>
      </c>
      <c r="Q285" s="1" t="e">
        <v>#N/A</v>
      </c>
      <c r="S285" t="str">
        <f t="shared" si="4"/>
        <v/>
      </c>
    </row>
    <row r="286" spans="1:19" x14ac:dyDescent="0.2">
      <c r="A286" s="1">
        <v>45170</v>
      </c>
      <c r="B286" s="9" t="e">
        <v>#N/A</v>
      </c>
      <c r="C286" s="8">
        <v>2.6614285714285701</v>
      </c>
      <c r="D286">
        <v>5.5</v>
      </c>
      <c r="E286" t="e">
        <v>#N/A</v>
      </c>
      <c r="F286">
        <v>3.1</v>
      </c>
      <c r="G286" s="5">
        <v>1104</v>
      </c>
      <c r="H286" t="e">
        <v>#N/A</v>
      </c>
      <c r="I286" s="4">
        <v>0.45374795794487</v>
      </c>
      <c r="L286">
        <v>95.4</v>
      </c>
      <c r="M286">
        <v>95.5</v>
      </c>
      <c r="N286" t="e">
        <v>#N/A</v>
      </c>
      <c r="O286" t="e">
        <v>#N/A</v>
      </c>
      <c r="P286" s="8">
        <v>154.00710000000001</v>
      </c>
      <c r="Q286" s="1" t="s">
        <v>28</v>
      </c>
      <c r="S286" t="str">
        <f t="shared" si="4"/>
        <v/>
      </c>
    </row>
    <row r="287" spans="1:19" x14ac:dyDescent="0.2">
      <c r="A287" s="1">
        <v>45200</v>
      </c>
      <c r="B287" s="9">
        <v>520692</v>
      </c>
      <c r="C287" s="8">
        <v>2.82318181818182</v>
      </c>
      <c r="D287">
        <v>4.7</v>
      </c>
      <c r="E287">
        <v>44</v>
      </c>
      <c r="F287">
        <v>3.2</v>
      </c>
      <c r="G287" s="5">
        <v>1117</v>
      </c>
      <c r="H287">
        <v>30.2</v>
      </c>
      <c r="I287" s="4">
        <v>0.79417210817337036</v>
      </c>
      <c r="L287">
        <v>95.2</v>
      </c>
      <c r="M287">
        <v>95.8</v>
      </c>
      <c r="N287">
        <v>101.4</v>
      </c>
      <c r="O287">
        <v>614160</v>
      </c>
      <c r="P287" s="8">
        <v>151.3518</v>
      </c>
      <c r="Q287" s="1" t="s">
        <v>28</v>
      </c>
      <c r="S287" t="str">
        <f t="shared" si="4"/>
        <v>2023-Q4</v>
      </c>
    </row>
    <row r="288" spans="1:19" x14ac:dyDescent="0.2">
      <c r="A288" s="1">
        <v>45231</v>
      </c>
      <c r="B288" s="9" t="e">
        <v>#N/A</v>
      </c>
      <c r="C288" s="8">
        <v>2.6013636363636401</v>
      </c>
      <c r="D288">
        <v>4.0999999999999996</v>
      </c>
      <c r="E288" t="e">
        <v>#N/A</v>
      </c>
      <c r="F288">
        <v>3.2</v>
      </c>
      <c r="G288" s="5">
        <v>1125</v>
      </c>
      <c r="H288" t="e">
        <v>#N/A</v>
      </c>
      <c r="I288" s="4">
        <v>0.32542711496353149</v>
      </c>
      <c r="L288">
        <v>95.1</v>
      </c>
      <c r="M288">
        <v>95.2</v>
      </c>
      <c r="N288" t="e">
        <v>#N/A</v>
      </c>
      <c r="O288" t="e">
        <v>#N/A</v>
      </c>
      <c r="P288" s="8">
        <v>148.2713</v>
      </c>
      <c r="Q288" s="1" t="e">
        <v>#N/A</v>
      </c>
      <c r="S288" t="str">
        <f t="shared" si="4"/>
        <v/>
      </c>
    </row>
    <row r="289" spans="1:19" x14ac:dyDescent="0.2">
      <c r="A289" s="1">
        <v>45261</v>
      </c>
      <c r="B289" s="9" t="e">
        <v>#N/A</v>
      </c>
      <c r="C289" s="8">
        <v>2.10210526315789</v>
      </c>
      <c r="D289">
        <v>3.8</v>
      </c>
      <c r="E289" t="e">
        <v>#N/A</v>
      </c>
      <c r="F289">
        <v>3.2</v>
      </c>
      <c r="G289" s="5">
        <v>1131</v>
      </c>
      <c r="H289" t="e">
        <v>#N/A</v>
      </c>
      <c r="I289" s="4">
        <v>0.51493304967880249</v>
      </c>
      <c r="L289">
        <v>93.5</v>
      </c>
      <c r="M289">
        <v>95.7</v>
      </c>
      <c r="N289" t="e">
        <v>#N/A</v>
      </c>
      <c r="O289" t="e">
        <v>#N/A</v>
      </c>
      <c r="P289" s="8">
        <v>145.2944</v>
      </c>
      <c r="Q289" s="1" t="e">
        <v>#N/A</v>
      </c>
      <c r="S289" t="str">
        <f t="shared" si="4"/>
        <v/>
      </c>
    </row>
    <row r="290" spans="1:19" x14ac:dyDescent="0.2">
      <c r="A290" s="1">
        <v>45292</v>
      </c>
      <c r="B290" s="9">
        <v>525500</v>
      </c>
      <c r="C290" s="8">
        <v>2.1745454545454499</v>
      </c>
      <c r="D290">
        <v>3.8</v>
      </c>
      <c r="E290">
        <v>43.8</v>
      </c>
      <c r="F290">
        <v>3.2</v>
      </c>
      <c r="G290" s="5">
        <v>1139</v>
      </c>
      <c r="H290">
        <v>29.7</v>
      </c>
      <c r="I290" s="4">
        <v>0.53864461183547974</v>
      </c>
      <c r="L290">
        <v>94.2</v>
      </c>
      <c r="M290">
        <v>95</v>
      </c>
      <c r="N290">
        <v>101.5</v>
      </c>
      <c r="O290">
        <v>554713</v>
      </c>
      <c r="P290" s="8">
        <v>147.04640000000001</v>
      </c>
      <c r="Q290" s="1" t="e">
        <v>#N/A</v>
      </c>
      <c r="S290" t="str">
        <f t="shared" si="4"/>
        <v>2024-Q1</v>
      </c>
    </row>
    <row r="291" spans="1:19" x14ac:dyDescent="0.2">
      <c r="A291" s="1">
        <v>45323</v>
      </c>
      <c r="B291" s="9" t="e">
        <v>#N/A</v>
      </c>
      <c r="C291" s="8">
        <v>2.3319047619047599</v>
      </c>
      <c r="D291">
        <v>3.3</v>
      </c>
      <c r="E291" t="e">
        <v>#N/A</v>
      </c>
      <c r="F291">
        <v>3.3</v>
      </c>
      <c r="G291" s="5">
        <v>1149</v>
      </c>
      <c r="H291" t="e">
        <v>#N/A</v>
      </c>
      <c r="I291" s="4">
        <v>0.70666754245758057</v>
      </c>
      <c r="L291">
        <v>95.1</v>
      </c>
      <c r="M291">
        <v>94.7</v>
      </c>
      <c r="N291" t="e">
        <v>#N/A</v>
      </c>
      <c r="O291" t="e">
        <v>#N/A</v>
      </c>
      <c r="P291" s="8">
        <v>147.7782</v>
      </c>
      <c r="Q291" s="1" t="e">
        <v>#N/A</v>
      </c>
      <c r="S291" t="str">
        <f t="shared" si="4"/>
        <v/>
      </c>
    </row>
    <row r="292" spans="1:19" x14ac:dyDescent="0.2">
      <c r="A292" s="1">
        <v>45352</v>
      </c>
      <c r="B292" s="9" t="e">
        <v>#N/A</v>
      </c>
      <c r="C292" s="8">
        <v>2.3494999999999999</v>
      </c>
      <c r="D292">
        <v>3</v>
      </c>
      <c r="E292" t="e">
        <v>#N/A</v>
      </c>
      <c r="F292">
        <v>3.3</v>
      </c>
      <c r="G292" s="5">
        <v>1163</v>
      </c>
      <c r="H292" t="e">
        <v>#N/A</v>
      </c>
      <c r="I292" s="4">
        <v>0.65773296356201172</v>
      </c>
      <c r="L292">
        <v>93.8</v>
      </c>
      <c r="M292">
        <v>96.3</v>
      </c>
      <c r="N292" t="e">
        <v>#N/A</v>
      </c>
      <c r="O292" t="e">
        <v>#N/A</v>
      </c>
      <c r="P292" s="8">
        <v>147.32560000000001</v>
      </c>
      <c r="Q292" s="1" t="s">
        <v>28</v>
      </c>
      <c r="S292" t="str">
        <f t="shared" si="4"/>
        <v/>
      </c>
    </row>
    <row r="293" spans="1:19" x14ac:dyDescent="0.2">
      <c r="A293" s="1">
        <v>45383</v>
      </c>
      <c r="B293" s="9">
        <v>530637</v>
      </c>
      <c r="C293" s="8">
        <v>2.4457142857142902</v>
      </c>
      <c r="D293">
        <v>2.8</v>
      </c>
      <c r="E293">
        <v>43.3</v>
      </c>
      <c r="F293">
        <v>3.4</v>
      </c>
      <c r="G293" s="5">
        <v>1179</v>
      </c>
      <c r="H293">
        <v>27.6</v>
      </c>
      <c r="I293" s="4">
        <v>0.7214733362197876</v>
      </c>
      <c r="L293">
        <v>94.1</v>
      </c>
      <c r="M293">
        <v>96.4</v>
      </c>
      <c r="N293">
        <v>101.9</v>
      </c>
      <c r="O293">
        <v>569904</v>
      </c>
      <c r="P293" s="8">
        <v>150.6936</v>
      </c>
      <c r="Q293" s="1" t="e">
        <v>#N/A</v>
      </c>
      <c r="S293" t="str">
        <f t="shared" si="4"/>
        <v>2024-Q2</v>
      </c>
    </row>
    <row r="294" spans="1:19" x14ac:dyDescent="0.2">
      <c r="A294" s="1">
        <v>45413</v>
      </c>
      <c r="B294" s="9" t="e">
        <v>#N/A</v>
      </c>
      <c r="C294" s="8">
        <v>2.5195454545454501</v>
      </c>
      <c r="D294">
        <v>3.2</v>
      </c>
      <c r="E294" t="e">
        <v>#N/A</v>
      </c>
      <c r="F294">
        <v>3.4</v>
      </c>
      <c r="G294" s="5">
        <v>1194</v>
      </c>
      <c r="H294" t="e">
        <v>#N/A</v>
      </c>
      <c r="I294" s="4">
        <v>0.47712257504463196</v>
      </c>
      <c r="L294">
        <v>91.9</v>
      </c>
      <c r="M294">
        <v>96.4</v>
      </c>
      <c r="N294" t="e">
        <v>#N/A</v>
      </c>
      <c r="O294" t="e">
        <v>#N/A</v>
      </c>
      <c r="P294" s="8">
        <v>148.62270000000001</v>
      </c>
      <c r="Q294" s="1" t="e">
        <v>#N/A</v>
      </c>
      <c r="S294" t="str">
        <f t="shared" si="4"/>
        <v/>
      </c>
    </row>
    <row r="295" spans="1:19" x14ac:dyDescent="0.2">
      <c r="A295" s="1">
        <v>45444</v>
      </c>
      <c r="B295" s="9" t="e">
        <v>#N/A</v>
      </c>
      <c r="C295" s="8">
        <v>2.4845000000000002</v>
      </c>
      <c r="D295">
        <v>3.1</v>
      </c>
      <c r="E295" t="e">
        <v>#N/A</v>
      </c>
      <c r="F295">
        <v>3.4</v>
      </c>
      <c r="G295" s="5">
        <v>1204</v>
      </c>
      <c r="H295" t="e">
        <v>#N/A</v>
      </c>
      <c r="I295" s="4">
        <v>0.45016485452651978</v>
      </c>
      <c r="L295">
        <v>93.6</v>
      </c>
      <c r="M295">
        <v>95.8</v>
      </c>
      <c r="N295" t="e">
        <v>#N/A</v>
      </c>
      <c r="O295" t="e">
        <v>#N/A</v>
      </c>
      <c r="P295" s="8">
        <v>146.86410000000001</v>
      </c>
      <c r="Q295" s="1" t="e">
        <v>#N/A</v>
      </c>
      <c r="S295" t="str">
        <f t="shared" si="4"/>
        <v/>
      </c>
    </row>
    <row r="296" spans="1:19" x14ac:dyDescent="0.2">
      <c r="A296" s="1">
        <v>45474</v>
      </c>
      <c r="B296" s="9">
        <v>538292</v>
      </c>
      <c r="C296" s="8">
        <v>2.4582608695652199</v>
      </c>
      <c r="D296">
        <v>3.1</v>
      </c>
      <c r="E296">
        <v>43.6</v>
      </c>
      <c r="F296">
        <v>3.4</v>
      </c>
      <c r="G296" s="5">
        <v>1208</v>
      </c>
      <c r="H296">
        <v>26.7</v>
      </c>
      <c r="I296" s="4">
        <v>0.43108758330345154</v>
      </c>
      <c r="L296">
        <v>91.4</v>
      </c>
      <c r="M296">
        <v>96.5</v>
      </c>
      <c r="N296">
        <v>101.6</v>
      </c>
      <c r="O296">
        <v>581011</v>
      </c>
      <c r="P296" s="8">
        <v>147.29329999999999</v>
      </c>
      <c r="Q296" s="1" t="e">
        <v>#N/A</v>
      </c>
      <c r="S296" t="str">
        <f t="shared" si="4"/>
        <v>2024-Q3</v>
      </c>
    </row>
    <row r="297" spans="1:19" x14ac:dyDescent="0.2">
      <c r="A297" s="1">
        <v>45505</v>
      </c>
      <c r="B297" s="9" t="e">
        <v>#N/A</v>
      </c>
      <c r="C297" s="8">
        <v>2.2077272727272699</v>
      </c>
      <c r="D297">
        <v>2.9</v>
      </c>
      <c r="E297" t="e">
        <v>#N/A</v>
      </c>
      <c r="F297">
        <v>3.4</v>
      </c>
      <c r="G297" s="5">
        <v>1208</v>
      </c>
      <c r="H297" t="e">
        <v>#N/A</v>
      </c>
      <c r="I297" s="4">
        <v>0.42410430312156677</v>
      </c>
      <c r="L297">
        <v>93</v>
      </c>
      <c r="M297">
        <v>97.9</v>
      </c>
      <c r="N297" t="e">
        <v>#N/A</v>
      </c>
      <c r="O297" t="e">
        <v>#N/A</v>
      </c>
      <c r="P297" s="8">
        <v>145.1216</v>
      </c>
      <c r="Q297" s="1" t="e">
        <v>#N/A</v>
      </c>
      <c r="S297" t="str">
        <f t="shared" si="4"/>
        <v/>
      </c>
    </row>
    <row r="298" spans="1:19" x14ac:dyDescent="0.2">
      <c r="A298" s="1">
        <v>45536</v>
      </c>
      <c r="B298" s="9" t="e">
        <v>#N/A</v>
      </c>
      <c r="C298" s="8">
        <v>2.1671428571428599</v>
      </c>
      <c r="D298">
        <v>2.9</v>
      </c>
      <c r="E298" t="e">
        <v>#N/A</v>
      </c>
      <c r="F298">
        <v>3.4</v>
      </c>
      <c r="G298" s="5">
        <v>1206</v>
      </c>
      <c r="H298" t="e">
        <v>#N/A</v>
      </c>
      <c r="I298" s="4">
        <v>0.494437575340271</v>
      </c>
      <c r="L298">
        <v>91.5</v>
      </c>
      <c r="M298">
        <v>99.9</v>
      </c>
      <c r="N298" t="e">
        <v>#N/A</v>
      </c>
      <c r="O298" t="e">
        <v>#N/A</v>
      </c>
      <c r="P298" s="8">
        <v>142.3768</v>
      </c>
      <c r="Q298" s="1" t="s">
        <v>28</v>
      </c>
      <c r="S298" t="str">
        <f t="shared" si="4"/>
        <v/>
      </c>
    </row>
    <row r="299" spans="1:19" x14ac:dyDescent="0.2">
      <c r="A299" s="1">
        <v>45566</v>
      </c>
      <c r="B299" s="9">
        <v>545287</v>
      </c>
      <c r="C299" s="8">
        <v>2.2295652173913001</v>
      </c>
      <c r="D299">
        <v>3.3</v>
      </c>
      <c r="E299">
        <v>43.7</v>
      </c>
      <c r="F299">
        <v>3.4</v>
      </c>
      <c r="G299" s="5">
        <v>1208</v>
      </c>
      <c r="H299">
        <v>27.2</v>
      </c>
      <c r="I299" s="4">
        <v>0.5502658486366272</v>
      </c>
      <c r="L299">
        <v>91.2</v>
      </c>
      <c r="M299">
        <v>98.5</v>
      </c>
      <c r="N299">
        <v>102</v>
      </c>
      <c r="O299">
        <v>642424</v>
      </c>
      <c r="P299" s="8">
        <v>142.99279999999999</v>
      </c>
      <c r="Q299" s="1" t="e">
        <v>#N/A</v>
      </c>
      <c r="S299" t="str">
        <f t="shared" si="4"/>
        <v>2024-Q4</v>
      </c>
    </row>
    <row r="300" spans="1:19" x14ac:dyDescent="0.2">
      <c r="A300" s="1">
        <v>45597</v>
      </c>
      <c r="B300" s="9" t="e">
        <v>#N/A</v>
      </c>
      <c r="C300" s="8">
        <v>2.30571428571429</v>
      </c>
      <c r="D300">
        <v>3.1</v>
      </c>
      <c r="E300" t="e">
        <v>#N/A</v>
      </c>
      <c r="F300">
        <v>3.5</v>
      </c>
      <c r="G300" s="5">
        <v>1215</v>
      </c>
      <c r="H300" t="e">
        <v>#N/A</v>
      </c>
      <c r="I300" s="4">
        <v>0.6989484429359436</v>
      </c>
      <c r="L300">
        <v>92.3</v>
      </c>
      <c r="M300">
        <v>98.8</v>
      </c>
      <c r="N300" t="e">
        <v>#N/A</v>
      </c>
      <c r="O300" t="e">
        <v>#N/A</v>
      </c>
      <c r="P300" s="8">
        <v>142.72239999999999</v>
      </c>
      <c r="Q300" s="1" t="e">
        <v>#N/A</v>
      </c>
      <c r="S300" t="str">
        <f t="shared" si="4"/>
        <v/>
      </c>
    </row>
    <row r="301" spans="1:19" x14ac:dyDescent="0.2">
      <c r="A301" s="1">
        <v>45627</v>
      </c>
      <c r="B301" s="9" t="e">
        <v>#N/A</v>
      </c>
      <c r="C301" s="8">
        <v>2.1788888888888902</v>
      </c>
      <c r="D301">
        <v>3.4</v>
      </c>
      <c r="E301" t="e">
        <v>#N/A</v>
      </c>
      <c r="F301">
        <v>3.5</v>
      </c>
      <c r="G301" s="5">
        <v>1229</v>
      </c>
      <c r="H301" t="e">
        <v>#N/A</v>
      </c>
      <c r="I301" s="4">
        <v>0.53550314903259277</v>
      </c>
      <c r="L301">
        <v>90.7</v>
      </c>
      <c r="M301">
        <v>98.9</v>
      </c>
      <c r="N301" t="e">
        <v>#N/A</v>
      </c>
      <c r="O301" t="e">
        <v>#N/A</v>
      </c>
      <c r="P301" s="8">
        <v>142.86510000000001</v>
      </c>
      <c r="Q301" s="1" t="e">
        <v>#N/A</v>
      </c>
      <c r="S301" t="str">
        <f t="shared" si="4"/>
        <v/>
      </c>
    </row>
    <row r="302" spans="1:19" x14ac:dyDescent="0.2">
      <c r="A302" s="1">
        <v>45658</v>
      </c>
      <c r="B302" s="9">
        <v>549573</v>
      </c>
      <c r="C302" s="8">
        <v>2.4836363636363599</v>
      </c>
      <c r="D302">
        <v>3.2</v>
      </c>
      <c r="E302">
        <v>43.4</v>
      </c>
      <c r="F302">
        <v>3.5</v>
      </c>
      <c r="G302" s="5">
        <v>1249</v>
      </c>
      <c r="H302">
        <v>24.4</v>
      </c>
      <c r="I302" s="4">
        <v>0.52704226970672607</v>
      </c>
      <c r="L302">
        <v>91.7</v>
      </c>
      <c r="M302">
        <v>99.1</v>
      </c>
      <c r="N302">
        <v>101.7</v>
      </c>
      <c r="O302" t="e">
        <v>#N/A</v>
      </c>
      <c r="P302" s="8">
        <v>144.89009999999999</v>
      </c>
      <c r="Q302" s="1" t="e">
        <v>#N/A</v>
      </c>
      <c r="S302" t="str">
        <f t="shared" si="4"/>
        <v>2025-Q1</v>
      </c>
    </row>
    <row r="303" spans="1:19" x14ac:dyDescent="0.2">
      <c r="A303" s="1">
        <v>45689</v>
      </c>
      <c r="B303" s="9" t="e">
        <v>#N/A</v>
      </c>
      <c r="C303" s="8">
        <v>2.4055</v>
      </c>
      <c r="D303">
        <v>3.1</v>
      </c>
      <c r="E303" t="e">
        <v>#N/A</v>
      </c>
      <c r="F303">
        <v>3.6</v>
      </c>
      <c r="G303" s="5">
        <v>1272</v>
      </c>
      <c r="H303" t="e">
        <v>#N/A</v>
      </c>
      <c r="I303" s="4">
        <v>1.1460158824920654</v>
      </c>
      <c r="L303">
        <v>91.3</v>
      </c>
      <c r="M303">
        <v>99.7</v>
      </c>
      <c r="N303" t="e">
        <v>#N/A</v>
      </c>
      <c r="O303" t="e">
        <v>#N/A</v>
      </c>
      <c r="P303" s="8">
        <v>145.47579999999999</v>
      </c>
      <c r="Q303" s="1" t="s">
        <v>28</v>
      </c>
      <c r="S303" t="str">
        <f t="shared" si="4"/>
        <v/>
      </c>
    </row>
    <row r="304" spans="1:19" x14ac:dyDescent="0.2">
      <c r="A304" s="1">
        <v>45717</v>
      </c>
      <c r="B304" s="9" t="e">
        <v>#N/A</v>
      </c>
      <c r="C304" s="8">
        <v>2.7414285714285702</v>
      </c>
      <c r="D304">
        <v>3</v>
      </c>
      <c r="E304" t="e">
        <v>#N/A</v>
      </c>
      <c r="F304">
        <v>3.6</v>
      </c>
      <c r="G304" s="5">
        <v>1294</v>
      </c>
      <c r="H304" t="e">
        <v>#N/A</v>
      </c>
      <c r="I304" s="4">
        <v>0.94328427314758301</v>
      </c>
      <c r="L304">
        <v>93.7</v>
      </c>
      <c r="M304">
        <v>100.7</v>
      </c>
      <c r="N304" t="e">
        <v>#N/A</v>
      </c>
      <c r="O304" t="e">
        <v>#N/A</v>
      </c>
      <c r="P304" s="8">
        <v>143.20009999999999</v>
      </c>
      <c r="Q304" s="1" t="e">
        <v>#N/A</v>
      </c>
      <c r="S304" t="str">
        <f t="shared" si="4"/>
        <v/>
      </c>
    </row>
    <row r="305" spans="1:19" x14ac:dyDescent="0.2">
      <c r="A305" s="1">
        <v>45748</v>
      </c>
      <c r="B305" s="9">
        <v>557050</v>
      </c>
      <c r="C305" s="8">
        <v>2.5105</v>
      </c>
      <c r="D305">
        <v>3.1</v>
      </c>
      <c r="E305">
        <v>43.9</v>
      </c>
      <c r="F305">
        <v>3.7</v>
      </c>
      <c r="G305" s="5">
        <v>1313</v>
      </c>
      <c r="H305">
        <v>28</v>
      </c>
      <c r="I305" s="4">
        <v>0.60127544403076172</v>
      </c>
      <c r="L305">
        <v>91.7</v>
      </c>
      <c r="M305">
        <v>100.4</v>
      </c>
      <c r="N305">
        <v>101.5</v>
      </c>
      <c r="O305" t="e">
        <v>#N/A</v>
      </c>
      <c r="Q305" s="1" t="e">
        <v>#N/A</v>
      </c>
      <c r="S305" t="str">
        <f t="shared" si="4"/>
        <v>2025-Q2</v>
      </c>
    </row>
    <row r="306" spans="1:19" x14ac:dyDescent="0.2">
      <c r="A306" s="1">
        <v>45778</v>
      </c>
      <c r="B306" s="9" t="e">
        <v>#N/A</v>
      </c>
      <c r="C306" s="8">
        <v>2.5628571428571401</v>
      </c>
      <c r="D306">
        <v>2.9</v>
      </c>
      <c r="E306" t="e">
        <v>#N/A</v>
      </c>
      <c r="F306">
        <v>3.7</v>
      </c>
      <c r="G306" s="5">
        <v>1328</v>
      </c>
      <c r="H306" t="e">
        <v>#N/A</v>
      </c>
      <c r="I306" s="4">
        <v>0.68031197786331177</v>
      </c>
      <c r="L306">
        <v>92.1</v>
      </c>
      <c r="M306">
        <v>100</v>
      </c>
      <c r="N306" t="e">
        <v>#N/A</v>
      </c>
      <c r="O306" t="e">
        <v>#N/A</v>
      </c>
      <c r="Q306" s="1" t="s">
        <v>31</v>
      </c>
      <c r="S306" t="str">
        <f t="shared" si="4"/>
        <v/>
      </c>
    </row>
    <row r="307" spans="1:19" x14ac:dyDescent="0.2">
      <c r="A307" s="1">
        <v>45809</v>
      </c>
      <c r="B307" s="9" t="e">
        <v>#N/A</v>
      </c>
      <c r="C307" s="8">
        <v>2.5190476190476199</v>
      </c>
      <c r="D307">
        <v>2.5</v>
      </c>
      <c r="E307" t="e">
        <v>#N/A</v>
      </c>
      <c r="F307">
        <v>3.7</v>
      </c>
      <c r="G307" s="5">
        <v>1337</v>
      </c>
      <c r="H307" t="e">
        <v>#N/A</v>
      </c>
      <c r="I307" s="4">
        <v>0.92269325256347656</v>
      </c>
      <c r="L307">
        <v>91.8</v>
      </c>
      <c r="M307">
        <v>101.2</v>
      </c>
      <c r="N307" t="e">
        <v>#N/A</v>
      </c>
      <c r="O307" t="e">
        <v>#N/A</v>
      </c>
      <c r="Q307" s="1" t="e">
        <v>#N/A</v>
      </c>
      <c r="S307" t="str">
        <f t="shared" si="4"/>
        <v/>
      </c>
    </row>
    <row r="308" spans="1:19" x14ac:dyDescent="0.2">
      <c r="A308" s="1">
        <v>45839</v>
      </c>
      <c r="B308" s="9">
        <v>567018</v>
      </c>
      <c r="C308" s="8">
        <v>2.6313043478260898</v>
      </c>
      <c r="D308">
        <v>2.4</v>
      </c>
      <c r="E308">
        <v>44.6</v>
      </c>
      <c r="F308">
        <v>3.8</v>
      </c>
      <c r="G308" s="5">
        <v>1343</v>
      </c>
      <c r="H308">
        <v>27.1</v>
      </c>
      <c r="I308" s="4">
        <v>0.65392351150512695</v>
      </c>
      <c r="L308">
        <v>93.3</v>
      </c>
      <c r="M308">
        <v>100.5</v>
      </c>
      <c r="N308">
        <v>101.6</v>
      </c>
      <c r="O308" t="e">
        <v>#N/A</v>
      </c>
      <c r="Q308" s="1" t="s">
        <v>28</v>
      </c>
      <c r="S308" t="str">
        <f t="shared" si="4"/>
        <v>2025-Q3</v>
      </c>
    </row>
    <row r="309" spans="1:19" x14ac:dyDescent="0.2">
      <c r="A309" s="1">
        <v>45870</v>
      </c>
      <c r="B309" s="9" t="e">
        <v>#N/A</v>
      </c>
      <c r="C309" s="8">
        <v>2.6733333333333298</v>
      </c>
      <c r="D309">
        <v>2.5</v>
      </c>
      <c r="E309" t="e">
        <v>#N/A</v>
      </c>
      <c r="F309">
        <v>3.8</v>
      </c>
      <c r="G309" s="5">
        <v>1348</v>
      </c>
      <c r="H309" t="e">
        <v>#N/A</v>
      </c>
      <c r="I309" s="4">
        <v>0.93063211441040039</v>
      </c>
      <c r="L309">
        <v>89.2</v>
      </c>
      <c r="M309">
        <v>99.9</v>
      </c>
      <c r="N309" t="e">
        <v>#N/A</v>
      </c>
      <c r="O309" t="e">
        <v>#N/A</v>
      </c>
      <c r="Q309" s="1" t="e">
        <v>#N/A</v>
      </c>
      <c r="S309" t="str">
        <f t="shared" si="4"/>
        <v/>
      </c>
    </row>
    <row r="310" spans="1:19" x14ac:dyDescent="0.2">
      <c r="A310" s="1">
        <v>45901</v>
      </c>
      <c r="B310" s="9" t="e">
        <v>#N/A</v>
      </c>
      <c r="C310" s="8">
        <v>2.6931818181818201</v>
      </c>
      <c r="D310">
        <v>2.7</v>
      </c>
      <c r="E310" t="e">
        <v>#N/A</v>
      </c>
      <c r="F310">
        <v>3.8</v>
      </c>
      <c r="G310" s="5">
        <v>1352</v>
      </c>
      <c r="H310" t="e">
        <v>#N/A</v>
      </c>
      <c r="I310" s="4">
        <v>0.68332266807556152</v>
      </c>
      <c r="L310">
        <v>90.9</v>
      </c>
      <c r="M310">
        <v>100.8</v>
      </c>
      <c r="N310" t="e">
        <v>#N/A</v>
      </c>
      <c r="O310" t="e">
        <v>#N/A</v>
      </c>
      <c r="Q310" s="1" t="s">
        <v>28</v>
      </c>
      <c r="S310" t="str">
        <f t="shared" si="4"/>
        <v/>
      </c>
    </row>
    <row r="311" spans="1:19" x14ac:dyDescent="0.2">
      <c r="A311" s="1">
        <v>45931</v>
      </c>
      <c r="B311" s="9" t="e">
        <v>#N/A</v>
      </c>
      <c r="C311" s="8">
        <v>2.6178260869565202</v>
      </c>
      <c r="D311">
        <v>2.6</v>
      </c>
      <c r="E311" t="e">
        <v>#N/A</v>
      </c>
      <c r="F311">
        <v>3.8</v>
      </c>
      <c r="G311" s="5">
        <v>1359</v>
      </c>
      <c r="H311" t="e">
        <v>#N/A</v>
      </c>
      <c r="I311" s="4">
        <v>0.52359533309936523</v>
      </c>
      <c r="L311" t="e">
        <v>#N/A</v>
      </c>
      <c r="M311">
        <v>99.5</v>
      </c>
      <c r="N311" t="e">
        <v>#N/A</v>
      </c>
      <c r="O311" t="e">
        <v>#N/A</v>
      </c>
      <c r="Q311" s="1" t="e">
        <v>#N/A</v>
      </c>
      <c r="S311" t="str">
        <f t="shared" si="4"/>
        <v>2025-Q4</v>
      </c>
    </row>
    <row r="312" spans="1:19" x14ac:dyDescent="0.2">
      <c r="A312" s="1">
        <v>45962</v>
      </c>
      <c r="B312" s="9" t="e">
        <v>#N/A</v>
      </c>
      <c r="C312" s="8">
        <v>2.6575000000000002</v>
      </c>
      <c r="D312">
        <v>2.8</v>
      </c>
      <c r="E312" t="e">
        <v>#N/A</v>
      </c>
      <c r="F312">
        <v>3.8</v>
      </c>
      <c r="G312" s="5">
        <v>1369</v>
      </c>
      <c r="H312" t="e">
        <v>#N/A</v>
      </c>
      <c r="I312" s="4">
        <v>0.54820418357849121</v>
      </c>
      <c r="L312" t="e">
        <v>#N/A</v>
      </c>
      <c r="M312" t="e">
        <v>#N/A</v>
      </c>
      <c r="N312" t="e">
        <v>#N/A</v>
      </c>
      <c r="O312" t="e">
        <v>#N/A</v>
      </c>
      <c r="Q312" s="1" t="e">
        <v>#N/A</v>
      </c>
      <c r="S312" t="str">
        <f t="shared" si="4"/>
        <v/>
      </c>
    </row>
    <row r="313" spans="1:19" x14ac:dyDescent="0.2">
      <c r="A313" s="1">
        <v>45992</v>
      </c>
      <c r="B313" s="9" t="e">
        <v>#N/A</v>
      </c>
      <c r="C313" s="8">
        <v>2.8142105263157902</v>
      </c>
      <c r="D313">
        <v>2.2999999999999998</v>
      </c>
      <c r="E313" t="e">
        <v>#N/A</v>
      </c>
      <c r="F313">
        <v>3.8</v>
      </c>
      <c r="G313" s="5">
        <v>1379</v>
      </c>
      <c r="H313" t="e">
        <v>#N/A</v>
      </c>
      <c r="I313" s="4">
        <v>0.66792505979537964</v>
      </c>
      <c r="L313" t="e">
        <v>#N/A</v>
      </c>
      <c r="M313" t="e">
        <v>#N/A</v>
      </c>
      <c r="N313" t="e">
        <v>#N/A</v>
      </c>
      <c r="O313" t="e">
        <v>#N/A</v>
      </c>
      <c r="Q313" s="1" t="e">
        <v>#N/A</v>
      </c>
      <c r="S313" t="str">
        <f t="shared" si="4"/>
        <v/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Recettes</vt:lpstr>
      <vt:lpstr>Depenses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Timothee Dangleterre</cp:lastModifiedBy>
  <dcterms:created xsi:type="dcterms:W3CDTF">2026-02-09T16:09:26Z</dcterms:created>
  <dcterms:modified xsi:type="dcterms:W3CDTF">2026-02-23T14:02:34Z</dcterms:modified>
</cp:coreProperties>
</file>